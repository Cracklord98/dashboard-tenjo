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pet\Downloads\"/>
    </mc:Choice>
  </mc:AlternateContent>
  <xr:revisionPtr revIDLastSave="0" documentId="13_ncr:1_{4C9D9E7C-481B-4FFC-9D3F-A6EC118C2D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DM" sheetId="1" r:id="rId1"/>
    <sheet name="Hoja 1" sheetId="4" state="hidden" r:id="rId2"/>
    <sheet name="CONSOLIDADO PROGRAMAS" sheetId="5" state="hidden" r:id="rId3"/>
    <sheet name="Nombre Eje" sheetId="6" state="hidden" r:id="rId4"/>
  </sheets>
  <definedNames>
    <definedName name="_xlnm._FilterDatabase" localSheetId="2" hidden="1">'CONSOLIDADO PROGRAMAS'!$A$1:$AA$39</definedName>
    <definedName name="_xlnm._FilterDatabase" localSheetId="0" hidden="1">PDM!$A$1:$CD$336</definedName>
    <definedName name="coeff_d_02913344_4cc8_4f3c_b5cd_7d7e9a7f0abe">#REF!</definedName>
    <definedName name="coeff_d_345d0e54_e172_4e98_9782_d533d7cc86fc">#REF!</definedName>
    <definedName name="OTRO1">#REF!</definedName>
    <definedName name="OTRO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E35" i="5"/>
  <c r="I35" i="5" s="1"/>
  <c r="F34" i="5"/>
  <c r="E34" i="5"/>
  <c r="F33" i="5"/>
  <c r="E33" i="5"/>
  <c r="L33" i="5" s="1"/>
  <c r="F32" i="5"/>
  <c r="E32" i="5"/>
  <c r="I32" i="5" s="1"/>
  <c r="F31" i="5"/>
  <c r="E31" i="5"/>
  <c r="I31" i="5" s="1"/>
  <c r="F30" i="5"/>
  <c r="E30" i="5"/>
  <c r="F29" i="5"/>
  <c r="E29" i="5"/>
  <c r="I29" i="5" s="1"/>
  <c r="F28" i="5"/>
  <c r="E28" i="5"/>
  <c r="F27" i="5"/>
  <c r="E27" i="5"/>
  <c r="F26" i="5"/>
  <c r="E26" i="5"/>
  <c r="I26" i="5" s="1"/>
  <c r="F25" i="5"/>
  <c r="E25" i="5"/>
  <c r="F24" i="5"/>
  <c r="E24" i="5"/>
  <c r="I24" i="5" s="1"/>
  <c r="F23" i="5"/>
  <c r="E23" i="5"/>
  <c r="I23" i="5" s="1"/>
  <c r="F22" i="5"/>
  <c r="E22" i="5"/>
  <c r="I22" i="5" s="1"/>
  <c r="F21" i="5"/>
  <c r="E21" i="5"/>
  <c r="L21" i="5" s="1"/>
  <c r="F20" i="5"/>
  <c r="E20" i="5"/>
  <c r="F19" i="5"/>
  <c r="E19" i="5"/>
  <c r="F18" i="5"/>
  <c r="E18" i="5"/>
  <c r="I18" i="5" s="1"/>
  <c r="F17" i="5"/>
  <c r="E17" i="5"/>
  <c r="F16" i="5"/>
  <c r="E16" i="5"/>
  <c r="I16" i="5" s="1"/>
  <c r="F15" i="5"/>
  <c r="E15" i="5"/>
  <c r="I15" i="5" s="1"/>
  <c r="F14" i="5"/>
  <c r="E14" i="5"/>
  <c r="I14" i="5" s="1"/>
  <c r="F13" i="5"/>
  <c r="E13" i="5"/>
  <c r="F12" i="5"/>
  <c r="E12" i="5"/>
  <c r="F11" i="5"/>
  <c r="E11" i="5"/>
  <c r="F10" i="5"/>
  <c r="E10" i="5"/>
  <c r="I10" i="5" s="1"/>
  <c r="F9" i="5"/>
  <c r="E9" i="5"/>
  <c r="L9" i="5" s="1"/>
  <c r="F8" i="5"/>
  <c r="E8" i="5"/>
  <c r="F7" i="5"/>
  <c r="E7" i="5"/>
  <c r="I7" i="5" s="1"/>
  <c r="F6" i="5"/>
  <c r="E6" i="5"/>
  <c r="I6" i="5" s="1"/>
  <c r="F5" i="5"/>
  <c r="E5" i="5"/>
  <c r="I5" i="5" s="1"/>
  <c r="F4" i="5"/>
  <c r="E4" i="5"/>
  <c r="I4" i="5" s="1"/>
  <c r="F3" i="5"/>
  <c r="E3" i="5"/>
  <c r="L3" i="5" s="1"/>
  <c r="F2" i="5"/>
  <c r="E2" i="5"/>
  <c r="I2" i="5" s="1"/>
  <c r="F1" i="5"/>
  <c r="E1" i="5"/>
  <c r="Y76" i="4"/>
  <c r="X76" i="4"/>
  <c r="Y75" i="4"/>
  <c r="Z75" i="4" s="1"/>
  <c r="X75" i="4"/>
  <c r="Y74" i="4"/>
  <c r="X74" i="4"/>
  <c r="AB73" i="4"/>
  <c r="AA73" i="4"/>
  <c r="Y73" i="4"/>
  <c r="Z73" i="4" s="1"/>
  <c r="X73" i="4"/>
  <c r="AB72" i="4"/>
  <c r="AA72" i="4"/>
  <c r="Z72" i="4"/>
  <c r="Y72" i="4"/>
  <c r="X72" i="4"/>
  <c r="Y71" i="4"/>
  <c r="X71" i="4"/>
  <c r="AB71" i="4" s="1"/>
  <c r="Z70" i="4"/>
  <c r="Y70" i="4"/>
  <c r="X70" i="4"/>
  <c r="AB70" i="4" s="1"/>
  <c r="Y69" i="4"/>
  <c r="Z69" i="4" s="1"/>
  <c r="X69" i="4"/>
  <c r="AB69" i="4" s="1"/>
  <c r="Y68" i="4"/>
  <c r="X68" i="4"/>
  <c r="AB67" i="4"/>
  <c r="AA67" i="4"/>
  <c r="Z67" i="4"/>
  <c r="Y67" i="4"/>
  <c r="X67" i="4"/>
  <c r="AB66" i="4"/>
  <c r="AA66" i="4"/>
  <c r="Z66" i="4"/>
  <c r="Y66" i="4"/>
  <c r="X66" i="4"/>
  <c r="AA65" i="4"/>
  <c r="Z65" i="4"/>
  <c r="Y65" i="4"/>
  <c r="X65" i="4"/>
  <c r="AB65" i="4" s="1"/>
  <c r="Z64" i="4"/>
  <c r="Y64" i="4"/>
  <c r="X64" i="4"/>
  <c r="Y63" i="4"/>
  <c r="X63" i="4"/>
  <c r="Y62" i="4"/>
  <c r="X62" i="4"/>
  <c r="AB61" i="4"/>
  <c r="AA61" i="4"/>
  <c r="Y61" i="4"/>
  <c r="Z61" i="4" s="1"/>
  <c r="X61" i="4"/>
  <c r="AB60" i="4"/>
  <c r="AA60" i="4"/>
  <c r="Z60" i="4"/>
  <c r="Y60" i="4"/>
  <c r="X60" i="4"/>
  <c r="AA59" i="4"/>
  <c r="Y59" i="4"/>
  <c r="Z59" i="4" s="1"/>
  <c r="X59" i="4"/>
  <c r="AB59" i="4" s="1"/>
  <c r="S10" i="4"/>
  <c r="AE7" i="4"/>
  <c r="AD7" i="4"/>
  <c r="W7" i="4" s="1"/>
  <c r="AF7" i="4" s="1"/>
  <c r="AC7" i="4"/>
  <c r="AA7" i="4"/>
  <c r="Z7" i="4"/>
  <c r="Y7" i="4"/>
  <c r="X7" i="4"/>
  <c r="AF6" i="4"/>
  <c r="AB6" i="4"/>
  <c r="W6" i="4"/>
  <c r="AF5" i="4"/>
  <c r="AB5" i="4"/>
  <c r="W5" i="4"/>
  <c r="AF4" i="4"/>
  <c r="AB4" i="4"/>
  <c r="W4" i="4"/>
  <c r="AF3" i="4"/>
  <c r="W3" i="4"/>
  <c r="AF2" i="4"/>
  <c r="AB2" i="4"/>
  <c r="AB7" i="4" s="1"/>
  <c r="W2" i="4"/>
  <c r="BX333" i="1"/>
  <c r="BW333" i="1"/>
  <c r="BV333" i="1"/>
  <c r="BU333" i="1"/>
  <c r="BQ333" i="1"/>
  <c r="BP333" i="1"/>
  <c r="BO333" i="1"/>
  <c r="BN333" i="1"/>
  <c r="BY332" i="1"/>
  <c r="BS332" i="1"/>
  <c r="BR332" i="1"/>
  <c r="BH332" i="1"/>
  <c r="BG332" i="1"/>
  <c r="BJ332" i="1" s="1"/>
  <c r="AS332" i="1"/>
  <c r="AR332" i="1"/>
  <c r="Z332" i="1"/>
  <c r="BY331" i="1"/>
  <c r="BS331" i="1"/>
  <c r="BR331" i="1"/>
  <c r="BJ331" i="1"/>
  <c r="BI331" i="1"/>
  <c r="BH331" i="1"/>
  <c r="BG331" i="1"/>
  <c r="BK331" i="1" s="1"/>
  <c r="AV331" i="1"/>
  <c r="AU331" i="1"/>
  <c r="AT331" i="1"/>
  <c r="AS331" i="1"/>
  <c r="Z331" i="1"/>
  <c r="BY330" i="1"/>
  <c r="BS330" i="1"/>
  <c r="BR330" i="1"/>
  <c r="BJ330" i="1"/>
  <c r="BI330" i="1"/>
  <c r="BH330" i="1"/>
  <c r="BG330" i="1"/>
  <c r="BK330" i="1" s="1"/>
  <c r="AS330" i="1"/>
  <c r="AR330" i="1"/>
  <c r="Z330" i="1"/>
  <c r="BY329" i="1"/>
  <c r="BS329" i="1"/>
  <c r="BR329" i="1"/>
  <c r="BJ329" i="1"/>
  <c r="BI329" i="1"/>
  <c r="BH329" i="1"/>
  <c r="BG329" i="1"/>
  <c r="BK329" i="1" s="1"/>
  <c r="AV329" i="1"/>
  <c r="AU329" i="1"/>
  <c r="AT329" i="1"/>
  <c r="AS329" i="1"/>
  <c r="Z329" i="1"/>
  <c r="BY328" i="1"/>
  <c r="BS328" i="1"/>
  <c r="BR328" i="1"/>
  <c r="BH328" i="1"/>
  <c r="BG328" i="1"/>
  <c r="BJ328" i="1" s="1"/>
  <c r="AS328" i="1"/>
  <c r="AR328" i="1"/>
  <c r="AV328" i="1" s="1"/>
  <c r="Z328" i="1"/>
  <c r="BY327" i="1"/>
  <c r="BS327" i="1"/>
  <c r="BR327" i="1"/>
  <c r="BH327" i="1"/>
  <c r="BG327" i="1"/>
  <c r="AS327" i="1"/>
  <c r="AR327" i="1"/>
  <c r="AU327" i="1" s="1"/>
  <c r="Z327" i="1"/>
  <c r="BY326" i="1"/>
  <c r="BS326" i="1"/>
  <c r="BR326" i="1"/>
  <c r="BH326" i="1"/>
  <c r="BG326" i="1"/>
  <c r="BJ326" i="1" s="1"/>
  <c r="AS326" i="1"/>
  <c r="AR326" i="1"/>
  <c r="AU326" i="1" s="1"/>
  <c r="Z326" i="1"/>
  <c r="BY325" i="1"/>
  <c r="BS325" i="1"/>
  <c r="BR325" i="1"/>
  <c r="BH325" i="1"/>
  <c r="BG325" i="1"/>
  <c r="AS325" i="1"/>
  <c r="AR325" i="1"/>
  <c r="AU325" i="1" s="1"/>
  <c r="Z325" i="1"/>
  <c r="BY324" i="1"/>
  <c r="BS324" i="1"/>
  <c r="BR324" i="1"/>
  <c r="BJ324" i="1"/>
  <c r="BI324" i="1"/>
  <c r="BH324" i="1"/>
  <c r="BG324" i="1"/>
  <c r="BK324" i="1" s="1"/>
  <c r="AV324" i="1"/>
  <c r="AU324" i="1"/>
  <c r="AT324" i="1"/>
  <c r="AS324" i="1"/>
  <c r="Z324" i="1"/>
  <c r="BY323" i="1"/>
  <c r="BS323" i="1"/>
  <c r="BR323" i="1"/>
  <c r="BT323" i="1" s="1"/>
  <c r="BH323" i="1"/>
  <c r="BG323" i="1"/>
  <c r="BJ323" i="1" s="1"/>
  <c r="AS323" i="1"/>
  <c r="AR323" i="1"/>
  <c r="Z323" i="1"/>
  <c r="AA323" i="1" s="1"/>
  <c r="BY322" i="1"/>
  <c r="BS322" i="1"/>
  <c r="BR322" i="1"/>
  <c r="BT322" i="1" s="1"/>
  <c r="BH322" i="1"/>
  <c r="BG322" i="1"/>
  <c r="BJ322" i="1" s="1"/>
  <c r="AV322" i="1"/>
  <c r="AU322" i="1"/>
  <c r="AT322" i="1"/>
  <c r="AS322" i="1"/>
  <c r="Z322" i="1"/>
  <c r="BY321" i="1"/>
  <c r="BS321" i="1"/>
  <c r="BR321" i="1"/>
  <c r="BH321" i="1"/>
  <c r="BG321" i="1"/>
  <c r="BJ321" i="1" s="1"/>
  <c r="AS321" i="1"/>
  <c r="AR321" i="1"/>
  <c r="AU321" i="1" s="1"/>
  <c r="Z321" i="1"/>
  <c r="BY320" i="1"/>
  <c r="BS320" i="1"/>
  <c r="BR320" i="1"/>
  <c r="BJ320" i="1"/>
  <c r="BI320" i="1"/>
  <c r="BH320" i="1"/>
  <c r="BG320" i="1"/>
  <c r="BK320" i="1" s="1"/>
  <c r="AS320" i="1"/>
  <c r="AR320" i="1"/>
  <c r="Z320" i="1"/>
  <c r="AA320" i="1" s="1"/>
  <c r="BY319" i="1"/>
  <c r="BS319" i="1"/>
  <c r="BR319" i="1"/>
  <c r="BH319" i="1"/>
  <c r="BG319" i="1"/>
  <c r="BJ319" i="1" s="1"/>
  <c r="AV319" i="1"/>
  <c r="AU319" i="1"/>
  <c r="AT319" i="1"/>
  <c r="AS319" i="1"/>
  <c r="Z319" i="1"/>
  <c r="BY318" i="1"/>
  <c r="BS318" i="1"/>
  <c r="BR318" i="1"/>
  <c r="BH318" i="1"/>
  <c r="BG318" i="1"/>
  <c r="BJ318" i="1" s="1"/>
  <c r="AS318" i="1"/>
  <c r="AR318" i="1"/>
  <c r="AU318" i="1" s="1"/>
  <c r="Z318" i="1"/>
  <c r="BY317" i="1"/>
  <c r="BS317" i="1"/>
  <c r="BR317" i="1"/>
  <c r="BH317" i="1"/>
  <c r="BG317" i="1"/>
  <c r="AS317" i="1"/>
  <c r="AR317" i="1"/>
  <c r="AU317" i="1" s="1"/>
  <c r="Z317" i="1"/>
  <c r="BY316" i="1"/>
  <c r="BS316" i="1"/>
  <c r="BR316" i="1"/>
  <c r="BH316" i="1"/>
  <c r="BG316" i="1"/>
  <c r="AS316" i="1"/>
  <c r="AR316" i="1"/>
  <c r="Z316" i="1"/>
  <c r="BY315" i="1"/>
  <c r="BS315" i="1"/>
  <c r="BR315" i="1"/>
  <c r="BH315" i="1"/>
  <c r="BG315" i="1"/>
  <c r="AS315" i="1"/>
  <c r="AR315" i="1"/>
  <c r="Z315" i="1"/>
  <c r="BY314" i="1"/>
  <c r="BS314" i="1"/>
  <c r="BR314" i="1"/>
  <c r="BH314" i="1"/>
  <c r="BG314" i="1"/>
  <c r="BJ314" i="1" s="1"/>
  <c r="AV314" i="1"/>
  <c r="AU314" i="1"/>
  <c r="AT314" i="1"/>
  <c r="AS314" i="1"/>
  <c r="Z314" i="1"/>
  <c r="BY313" i="1"/>
  <c r="BS313" i="1"/>
  <c r="BR313" i="1"/>
  <c r="BH313" i="1"/>
  <c r="BG313" i="1"/>
  <c r="BJ313" i="1" s="1"/>
  <c r="AS313" i="1"/>
  <c r="AR313" i="1"/>
  <c r="Z313" i="1"/>
  <c r="BY312" i="1"/>
  <c r="BS312" i="1"/>
  <c r="BR312" i="1"/>
  <c r="BH312" i="1"/>
  <c r="BG312" i="1"/>
  <c r="AS312" i="1"/>
  <c r="AR312" i="1"/>
  <c r="Z312" i="1"/>
  <c r="BY311" i="1"/>
  <c r="BS311" i="1"/>
  <c r="BR311" i="1"/>
  <c r="BH311" i="1"/>
  <c r="BK311" i="1" s="1"/>
  <c r="BG311" i="1"/>
  <c r="BJ311" i="1" s="1"/>
  <c r="AS311" i="1"/>
  <c r="AR311" i="1"/>
  <c r="Z311" i="1"/>
  <c r="BY310" i="1"/>
  <c r="BS310" i="1"/>
  <c r="BR310" i="1"/>
  <c r="BH310" i="1"/>
  <c r="BG310" i="1"/>
  <c r="BJ310" i="1" s="1"/>
  <c r="AS310" i="1"/>
  <c r="AR310" i="1"/>
  <c r="AU310" i="1" s="1"/>
  <c r="Z310" i="1"/>
  <c r="BY309" i="1"/>
  <c r="BS309" i="1"/>
  <c r="BR309" i="1"/>
  <c r="BJ309" i="1"/>
  <c r="BI309" i="1"/>
  <c r="BH309" i="1"/>
  <c r="BG309" i="1"/>
  <c r="BK309" i="1" s="1"/>
  <c r="AS309" i="1"/>
  <c r="AR309" i="1"/>
  <c r="AT309" i="1" s="1"/>
  <c r="Z309" i="1"/>
  <c r="BY308" i="1"/>
  <c r="BS308" i="1"/>
  <c r="BR308" i="1"/>
  <c r="BH308" i="1"/>
  <c r="BG308" i="1"/>
  <c r="BJ308" i="1" s="1"/>
  <c r="AS308" i="1"/>
  <c r="AR308" i="1"/>
  <c r="AU308" i="1" s="1"/>
  <c r="Z308" i="1"/>
  <c r="BY307" i="1"/>
  <c r="BS307" i="1"/>
  <c r="BR307" i="1"/>
  <c r="BH307" i="1"/>
  <c r="BG307" i="1"/>
  <c r="BJ307" i="1" s="1"/>
  <c r="AS307" i="1"/>
  <c r="AR307" i="1"/>
  <c r="AU307" i="1" s="1"/>
  <c r="Z307" i="1"/>
  <c r="AA307" i="1" s="1"/>
  <c r="BY306" i="1"/>
  <c r="BS306" i="1"/>
  <c r="BR306" i="1"/>
  <c r="BT306" i="1" s="1"/>
  <c r="BH306" i="1"/>
  <c r="BG306" i="1"/>
  <c r="BJ306" i="1" s="1"/>
  <c r="AV306" i="1"/>
  <c r="AU306" i="1"/>
  <c r="AT306" i="1"/>
  <c r="AS306" i="1"/>
  <c r="Z306" i="1"/>
  <c r="BY305" i="1"/>
  <c r="BS305" i="1"/>
  <c r="BR305" i="1"/>
  <c r="BH305" i="1"/>
  <c r="BG305" i="1"/>
  <c r="AS305" i="1"/>
  <c r="AR305" i="1"/>
  <c r="Z305" i="1"/>
  <c r="BY304" i="1"/>
  <c r="BS304" i="1"/>
  <c r="BR304" i="1"/>
  <c r="BH304" i="1"/>
  <c r="BG304" i="1"/>
  <c r="BJ304" i="1" s="1"/>
  <c r="AS304" i="1"/>
  <c r="AR304" i="1"/>
  <c r="Z304" i="1"/>
  <c r="BY303" i="1"/>
  <c r="BS303" i="1"/>
  <c r="BR303" i="1"/>
  <c r="BH303" i="1"/>
  <c r="BG303" i="1"/>
  <c r="AS303" i="1"/>
  <c r="AR303" i="1"/>
  <c r="Z303" i="1"/>
  <c r="BY302" i="1"/>
  <c r="BS302" i="1"/>
  <c r="BR302" i="1"/>
  <c r="BH302" i="1"/>
  <c r="BG302" i="1"/>
  <c r="AS302" i="1"/>
  <c r="AR302" i="1"/>
  <c r="Z302" i="1"/>
  <c r="BY301" i="1"/>
  <c r="BS301" i="1"/>
  <c r="BR301" i="1"/>
  <c r="BH301" i="1"/>
  <c r="BG301" i="1"/>
  <c r="AS301" i="1"/>
  <c r="AR301" i="1"/>
  <c r="AU301" i="1" s="1"/>
  <c r="Z301" i="1"/>
  <c r="BY300" i="1"/>
  <c r="BS300" i="1"/>
  <c r="BR300" i="1"/>
  <c r="BH300" i="1"/>
  <c r="BG300" i="1"/>
  <c r="AS300" i="1"/>
  <c r="AR300" i="1"/>
  <c r="Z300" i="1"/>
  <c r="BY299" i="1"/>
  <c r="BS299" i="1"/>
  <c r="BR299" i="1"/>
  <c r="BH299" i="1"/>
  <c r="BG299" i="1"/>
  <c r="AS299" i="1"/>
  <c r="AR299" i="1"/>
  <c r="AU299" i="1" s="1"/>
  <c r="Z299" i="1"/>
  <c r="BY298" i="1"/>
  <c r="BS298" i="1"/>
  <c r="BR298" i="1"/>
  <c r="BH298" i="1"/>
  <c r="BG298" i="1"/>
  <c r="AS298" i="1"/>
  <c r="AR298" i="1"/>
  <c r="Z298" i="1"/>
  <c r="BY297" i="1"/>
  <c r="BS297" i="1"/>
  <c r="BR297" i="1"/>
  <c r="BH297" i="1"/>
  <c r="BG297" i="1"/>
  <c r="BJ297" i="1" s="1"/>
  <c r="AS297" i="1"/>
  <c r="AR297" i="1"/>
  <c r="Z297" i="1"/>
  <c r="BY296" i="1"/>
  <c r="BS296" i="1"/>
  <c r="BR296" i="1"/>
  <c r="BH296" i="1"/>
  <c r="BG296" i="1"/>
  <c r="AS296" i="1"/>
  <c r="AR296" i="1"/>
  <c r="Z296" i="1"/>
  <c r="BY295" i="1"/>
  <c r="BS295" i="1"/>
  <c r="BR295" i="1"/>
  <c r="BH295" i="1"/>
  <c r="BG295" i="1"/>
  <c r="BK295" i="1" s="1"/>
  <c r="AV295" i="1"/>
  <c r="AU295" i="1"/>
  <c r="AT295" i="1"/>
  <c r="AS295" i="1"/>
  <c r="Z295" i="1"/>
  <c r="BY294" i="1"/>
  <c r="BS294" i="1"/>
  <c r="BR294" i="1"/>
  <c r="BT294" i="1" s="1"/>
  <c r="BH294" i="1"/>
  <c r="BG294" i="1"/>
  <c r="AV294" i="1"/>
  <c r="AU294" i="1"/>
  <c r="AT294" i="1"/>
  <c r="AS294" i="1"/>
  <c r="Z294" i="1"/>
  <c r="BY293" i="1"/>
  <c r="BS293" i="1"/>
  <c r="BR293" i="1"/>
  <c r="BH293" i="1"/>
  <c r="BG293" i="1"/>
  <c r="BJ293" i="1" s="1"/>
  <c r="AS293" i="1"/>
  <c r="AR293" i="1"/>
  <c r="AU293" i="1" s="1"/>
  <c r="Z293" i="1"/>
  <c r="BY292" i="1"/>
  <c r="BS292" i="1"/>
  <c r="BR292" i="1"/>
  <c r="BH292" i="1"/>
  <c r="BG292" i="1"/>
  <c r="BJ292" i="1" s="1"/>
  <c r="AS292" i="1"/>
  <c r="AR292" i="1"/>
  <c r="AU292" i="1" s="1"/>
  <c r="Z292" i="1"/>
  <c r="BY291" i="1"/>
  <c r="BS291" i="1"/>
  <c r="BR291" i="1"/>
  <c r="BH291" i="1"/>
  <c r="BG291" i="1"/>
  <c r="BJ291" i="1" s="1"/>
  <c r="AS291" i="1"/>
  <c r="AR291" i="1"/>
  <c r="AU291" i="1" s="1"/>
  <c r="Z291" i="1"/>
  <c r="BY290" i="1"/>
  <c r="BS290" i="1"/>
  <c r="BR290" i="1"/>
  <c r="BJ290" i="1"/>
  <c r="BI290" i="1"/>
  <c r="BH290" i="1"/>
  <c r="BG290" i="1"/>
  <c r="BK290" i="1" s="1"/>
  <c r="AV290" i="1"/>
  <c r="AU290" i="1"/>
  <c r="AT290" i="1"/>
  <c r="AS290" i="1"/>
  <c r="Z290" i="1"/>
  <c r="BY289" i="1"/>
  <c r="BS289" i="1"/>
  <c r="BR289" i="1"/>
  <c r="BH289" i="1"/>
  <c r="BG289" i="1"/>
  <c r="BJ289" i="1" s="1"/>
  <c r="AS289" i="1"/>
  <c r="AR289" i="1"/>
  <c r="Z289" i="1"/>
  <c r="BY288" i="1"/>
  <c r="BS288" i="1"/>
  <c r="BR288" i="1"/>
  <c r="BH288" i="1"/>
  <c r="BG288" i="1"/>
  <c r="BJ288" i="1" s="1"/>
  <c r="AS288" i="1"/>
  <c r="AR288" i="1"/>
  <c r="Z288" i="1"/>
  <c r="BY287" i="1"/>
  <c r="BS287" i="1"/>
  <c r="BR287" i="1"/>
  <c r="BH287" i="1"/>
  <c r="BG287" i="1"/>
  <c r="BJ287" i="1" s="1"/>
  <c r="AV287" i="1"/>
  <c r="AU287" i="1"/>
  <c r="AT287" i="1"/>
  <c r="AS287" i="1"/>
  <c r="Z287" i="1"/>
  <c r="BY286" i="1"/>
  <c r="BS286" i="1"/>
  <c r="BR286" i="1"/>
  <c r="BH286" i="1"/>
  <c r="BG286" i="1"/>
  <c r="AS286" i="1"/>
  <c r="AR286" i="1"/>
  <c r="AU286" i="1" s="1"/>
  <c r="Z286" i="1"/>
  <c r="BY285" i="1"/>
  <c r="BS285" i="1"/>
  <c r="BR285" i="1"/>
  <c r="BH285" i="1"/>
  <c r="BG285" i="1"/>
  <c r="AS285" i="1"/>
  <c r="AR285" i="1"/>
  <c r="AU285" i="1" s="1"/>
  <c r="Z285" i="1"/>
  <c r="BY284" i="1"/>
  <c r="BS284" i="1"/>
  <c r="BR284" i="1"/>
  <c r="BH284" i="1"/>
  <c r="BG284" i="1"/>
  <c r="BJ284" i="1" s="1"/>
  <c r="AS284" i="1"/>
  <c r="AR284" i="1"/>
  <c r="AU284" i="1" s="1"/>
  <c r="Z284" i="1"/>
  <c r="BY283" i="1"/>
  <c r="BS283" i="1"/>
  <c r="BR283" i="1"/>
  <c r="BH283" i="1"/>
  <c r="BG283" i="1"/>
  <c r="AS283" i="1"/>
  <c r="AR283" i="1"/>
  <c r="AU283" i="1" s="1"/>
  <c r="Z283" i="1"/>
  <c r="BY282" i="1"/>
  <c r="BS282" i="1"/>
  <c r="BR282" i="1"/>
  <c r="BH282" i="1"/>
  <c r="BG282" i="1"/>
  <c r="AS282" i="1"/>
  <c r="AR282" i="1"/>
  <c r="AU282" i="1" s="1"/>
  <c r="Z282" i="1"/>
  <c r="BY281" i="1"/>
  <c r="BS281" i="1"/>
  <c r="BR281" i="1"/>
  <c r="BH281" i="1"/>
  <c r="BG281" i="1"/>
  <c r="AV281" i="1"/>
  <c r="AU281" i="1"/>
  <c r="AT281" i="1"/>
  <c r="AS281" i="1"/>
  <c r="Z281" i="1"/>
  <c r="BY280" i="1"/>
  <c r="BS280" i="1"/>
  <c r="BR280" i="1"/>
  <c r="BH280" i="1"/>
  <c r="BG280" i="1"/>
  <c r="BJ280" i="1" s="1"/>
  <c r="AV280" i="1"/>
  <c r="AU280" i="1"/>
  <c r="AT280" i="1"/>
  <c r="AS280" i="1"/>
  <c r="Z280" i="1"/>
  <c r="BY279" i="1"/>
  <c r="BS279" i="1"/>
  <c r="BR279" i="1"/>
  <c r="BJ279" i="1"/>
  <c r="BH279" i="1"/>
  <c r="BG279" i="1"/>
  <c r="AS279" i="1"/>
  <c r="AR279" i="1"/>
  <c r="AV279" i="1" s="1"/>
  <c r="Z279" i="1"/>
  <c r="BY278" i="1"/>
  <c r="BS278" i="1"/>
  <c r="BR278" i="1"/>
  <c r="BH278" i="1"/>
  <c r="BG278" i="1"/>
  <c r="AV278" i="1"/>
  <c r="AU278" i="1"/>
  <c r="AT278" i="1"/>
  <c r="AS278" i="1"/>
  <c r="Z278" i="1"/>
  <c r="BY277" i="1"/>
  <c r="BS277" i="1"/>
  <c r="BR277" i="1"/>
  <c r="BH277" i="1"/>
  <c r="BG277" i="1"/>
  <c r="AV277" i="1"/>
  <c r="AU277" i="1"/>
  <c r="AT277" i="1"/>
  <c r="AS277" i="1"/>
  <c r="Z277" i="1"/>
  <c r="BY276" i="1"/>
  <c r="BS276" i="1"/>
  <c r="BR276" i="1"/>
  <c r="BH276" i="1"/>
  <c r="BG276" i="1"/>
  <c r="AS276" i="1"/>
  <c r="AR276" i="1"/>
  <c r="Z276" i="1"/>
  <c r="BY275" i="1"/>
  <c r="BS275" i="1"/>
  <c r="BR275" i="1"/>
  <c r="BH275" i="1"/>
  <c r="BG275" i="1"/>
  <c r="BJ275" i="1" s="1"/>
  <c r="AS275" i="1"/>
  <c r="AR275" i="1"/>
  <c r="AU275" i="1" s="1"/>
  <c r="Z275" i="1"/>
  <c r="BY274" i="1"/>
  <c r="BS274" i="1"/>
  <c r="BR274" i="1"/>
  <c r="BH274" i="1"/>
  <c r="BG274" i="1"/>
  <c r="AS274" i="1"/>
  <c r="AR274" i="1"/>
  <c r="AU274" i="1" s="1"/>
  <c r="Z274" i="1"/>
  <c r="BY273" i="1"/>
  <c r="BS273" i="1"/>
  <c r="BR273" i="1"/>
  <c r="BH273" i="1"/>
  <c r="BG273" i="1"/>
  <c r="AS273" i="1"/>
  <c r="AR273" i="1"/>
  <c r="AU273" i="1" s="1"/>
  <c r="Z273" i="1"/>
  <c r="BY272" i="1"/>
  <c r="BS272" i="1"/>
  <c r="BR272" i="1"/>
  <c r="BT272" i="1" s="1"/>
  <c r="BH272" i="1"/>
  <c r="BG272" i="1"/>
  <c r="BJ272" i="1" s="1"/>
  <c r="AT272" i="1"/>
  <c r="AS272" i="1"/>
  <c r="AR272" i="1"/>
  <c r="AV272" i="1" s="1"/>
  <c r="Z272" i="1"/>
  <c r="BY271" i="1"/>
  <c r="BS271" i="1"/>
  <c r="BR271" i="1"/>
  <c r="BH271" i="1"/>
  <c r="BG271" i="1"/>
  <c r="AS271" i="1"/>
  <c r="AR271" i="1"/>
  <c r="AU271" i="1" s="1"/>
  <c r="Z271" i="1"/>
  <c r="BY270" i="1"/>
  <c r="BS270" i="1"/>
  <c r="BR270" i="1"/>
  <c r="BH270" i="1"/>
  <c r="BG270" i="1"/>
  <c r="AS270" i="1"/>
  <c r="AR270" i="1"/>
  <c r="AU270" i="1" s="1"/>
  <c r="Z270" i="1"/>
  <c r="BY269" i="1"/>
  <c r="BS269" i="1"/>
  <c r="BR269" i="1"/>
  <c r="BH269" i="1"/>
  <c r="BG269" i="1"/>
  <c r="BJ269" i="1" s="1"/>
  <c r="AS269" i="1"/>
  <c r="AR269" i="1"/>
  <c r="AU269" i="1" s="1"/>
  <c r="Z269" i="1"/>
  <c r="BY268" i="1"/>
  <c r="BS268" i="1"/>
  <c r="BR268" i="1"/>
  <c r="BT268" i="1" s="1"/>
  <c r="BH268" i="1"/>
  <c r="BG268" i="1"/>
  <c r="BJ268" i="1" s="1"/>
  <c r="AS268" i="1"/>
  <c r="AR268" i="1"/>
  <c r="AU268" i="1" s="1"/>
  <c r="Z268" i="1"/>
  <c r="BY267" i="1"/>
  <c r="BS267" i="1"/>
  <c r="BR267" i="1"/>
  <c r="BH267" i="1"/>
  <c r="BG267" i="1"/>
  <c r="AV267" i="1"/>
  <c r="AU267" i="1"/>
  <c r="AT267" i="1"/>
  <c r="AS267" i="1"/>
  <c r="Z267" i="1"/>
  <c r="BY266" i="1"/>
  <c r="BS266" i="1"/>
  <c r="BR266" i="1"/>
  <c r="BH266" i="1"/>
  <c r="BG266" i="1"/>
  <c r="BJ266" i="1" s="1"/>
  <c r="AS266" i="1"/>
  <c r="AR266" i="1"/>
  <c r="AU266" i="1" s="1"/>
  <c r="Z266" i="1"/>
  <c r="BY265" i="1"/>
  <c r="BS265" i="1"/>
  <c r="BR265" i="1"/>
  <c r="BH265" i="1"/>
  <c r="BG265" i="1"/>
  <c r="AS265" i="1"/>
  <c r="AR265" i="1"/>
  <c r="AU265" i="1" s="1"/>
  <c r="Z265" i="1"/>
  <c r="BY264" i="1"/>
  <c r="BS264" i="1"/>
  <c r="BR264" i="1"/>
  <c r="BH264" i="1"/>
  <c r="BG264" i="1"/>
  <c r="BJ264" i="1" s="1"/>
  <c r="AS264" i="1"/>
  <c r="AR264" i="1"/>
  <c r="Z264" i="1"/>
  <c r="BY263" i="1"/>
  <c r="BS263" i="1"/>
  <c r="BR263" i="1"/>
  <c r="BJ263" i="1"/>
  <c r="BI263" i="1"/>
  <c r="BH263" i="1"/>
  <c r="BG263" i="1"/>
  <c r="BK263" i="1" s="1"/>
  <c r="AV263" i="1"/>
  <c r="AU263" i="1"/>
  <c r="AT263" i="1"/>
  <c r="AS263" i="1"/>
  <c r="Z263" i="1"/>
  <c r="BY262" i="1"/>
  <c r="BS262" i="1"/>
  <c r="BR262" i="1"/>
  <c r="BH262" i="1"/>
  <c r="BG262" i="1"/>
  <c r="BJ262" i="1" s="1"/>
  <c r="AV262" i="1"/>
  <c r="AU262" i="1"/>
  <c r="AT262" i="1"/>
  <c r="AS262" i="1"/>
  <c r="Z262" i="1"/>
  <c r="BY261" i="1"/>
  <c r="BS261" i="1"/>
  <c r="BR261" i="1"/>
  <c r="BH261" i="1"/>
  <c r="BG261" i="1"/>
  <c r="AS261" i="1"/>
  <c r="AR261" i="1"/>
  <c r="Z261" i="1"/>
  <c r="BY260" i="1"/>
  <c r="BS260" i="1"/>
  <c r="BR260" i="1"/>
  <c r="BH260" i="1"/>
  <c r="BG260" i="1"/>
  <c r="AS260" i="1"/>
  <c r="AR260" i="1"/>
  <c r="AU260" i="1" s="1"/>
  <c r="Z260" i="1"/>
  <c r="BY259" i="1"/>
  <c r="BS259" i="1"/>
  <c r="BR259" i="1"/>
  <c r="BH259" i="1"/>
  <c r="BG259" i="1"/>
  <c r="BJ259" i="1" s="1"/>
  <c r="AS259" i="1"/>
  <c r="AR259" i="1"/>
  <c r="AU259" i="1" s="1"/>
  <c r="Z259" i="1"/>
  <c r="BY258" i="1"/>
  <c r="BS258" i="1"/>
  <c r="BR258" i="1"/>
  <c r="BH258" i="1"/>
  <c r="BG258" i="1"/>
  <c r="AT258" i="1"/>
  <c r="AP258" i="1"/>
  <c r="AS258" i="1" s="1"/>
  <c r="AO258" i="1"/>
  <c r="AR258" i="1" s="1"/>
  <c r="Z258" i="1"/>
  <c r="BY257" i="1"/>
  <c r="BS257" i="1"/>
  <c r="BR257" i="1"/>
  <c r="BH257" i="1"/>
  <c r="BG257" i="1"/>
  <c r="AS257" i="1"/>
  <c r="AR257" i="1"/>
  <c r="Z257" i="1"/>
  <c r="BY256" i="1"/>
  <c r="BS256" i="1"/>
  <c r="BR256" i="1"/>
  <c r="BH256" i="1"/>
  <c r="BG256" i="1"/>
  <c r="AS256" i="1"/>
  <c r="AR256" i="1"/>
  <c r="Z256" i="1"/>
  <c r="BY255" i="1"/>
  <c r="BS255" i="1"/>
  <c r="BR255" i="1"/>
  <c r="BH255" i="1"/>
  <c r="BG255" i="1"/>
  <c r="BK255" i="1" s="1"/>
  <c r="AS255" i="1"/>
  <c r="AR255" i="1"/>
  <c r="Z255" i="1"/>
  <c r="BY254" i="1"/>
  <c r="BS254" i="1"/>
  <c r="BR254" i="1"/>
  <c r="BH254" i="1"/>
  <c r="BG254" i="1"/>
  <c r="BJ254" i="1" s="1"/>
  <c r="AS254" i="1"/>
  <c r="AR254" i="1"/>
  <c r="AU254" i="1" s="1"/>
  <c r="Z254" i="1"/>
  <c r="BY253" i="1"/>
  <c r="BS253" i="1"/>
  <c r="BR253" i="1"/>
  <c r="BH253" i="1"/>
  <c r="BG253" i="1"/>
  <c r="AS253" i="1"/>
  <c r="AR253" i="1"/>
  <c r="Z253" i="1"/>
  <c r="BY252" i="1"/>
  <c r="BS252" i="1"/>
  <c r="BR252" i="1"/>
  <c r="BH252" i="1"/>
  <c r="BG252" i="1"/>
  <c r="AS252" i="1"/>
  <c r="AR252" i="1"/>
  <c r="AU252" i="1" s="1"/>
  <c r="Z252" i="1"/>
  <c r="BY251" i="1"/>
  <c r="BS251" i="1"/>
  <c r="BR251" i="1"/>
  <c r="BH251" i="1"/>
  <c r="BG251" i="1"/>
  <c r="BJ251" i="1" s="1"/>
  <c r="AS251" i="1"/>
  <c r="AR251" i="1"/>
  <c r="Z251" i="1"/>
  <c r="BY250" i="1"/>
  <c r="BS250" i="1"/>
  <c r="BR250" i="1"/>
  <c r="BH250" i="1"/>
  <c r="BG250" i="1"/>
  <c r="BJ250" i="1" s="1"/>
  <c r="AS250" i="1"/>
  <c r="AR250" i="1"/>
  <c r="AU250" i="1" s="1"/>
  <c r="Z250" i="1"/>
  <c r="AA250" i="1" s="1"/>
  <c r="BY249" i="1"/>
  <c r="BS249" i="1"/>
  <c r="BR249" i="1"/>
  <c r="BH249" i="1"/>
  <c r="BG249" i="1"/>
  <c r="BK249" i="1" s="1"/>
  <c r="AV249" i="1"/>
  <c r="AU249" i="1"/>
  <c r="AT249" i="1"/>
  <c r="AS249" i="1"/>
  <c r="Z249" i="1"/>
  <c r="BY248" i="1"/>
  <c r="BS248" i="1"/>
  <c r="BR248" i="1"/>
  <c r="BH248" i="1"/>
  <c r="BG248" i="1"/>
  <c r="AS248" i="1"/>
  <c r="AR248" i="1"/>
  <c r="Z248" i="1"/>
  <c r="BY247" i="1"/>
  <c r="BS247" i="1"/>
  <c r="BR247" i="1"/>
  <c r="BH247" i="1"/>
  <c r="BG247" i="1"/>
  <c r="BJ247" i="1" s="1"/>
  <c r="AV247" i="1"/>
  <c r="AU247" i="1"/>
  <c r="AT247" i="1"/>
  <c r="AS247" i="1"/>
  <c r="Z247" i="1"/>
  <c r="BY246" i="1"/>
  <c r="BS246" i="1"/>
  <c r="BR246" i="1"/>
  <c r="BH246" i="1"/>
  <c r="BG246" i="1"/>
  <c r="AS246" i="1"/>
  <c r="AR246" i="1"/>
  <c r="AV246" i="1" s="1"/>
  <c r="Z246" i="1"/>
  <c r="BY245" i="1"/>
  <c r="BS245" i="1"/>
  <c r="BR245" i="1"/>
  <c r="BH245" i="1"/>
  <c r="BG245" i="1"/>
  <c r="BJ245" i="1" s="1"/>
  <c r="AS245" i="1"/>
  <c r="AR245" i="1"/>
  <c r="AU245" i="1" s="1"/>
  <c r="Z245" i="1"/>
  <c r="BY244" i="1"/>
  <c r="BS244" i="1"/>
  <c r="BR244" i="1"/>
  <c r="BH244" i="1"/>
  <c r="BG244" i="1"/>
  <c r="AS244" i="1"/>
  <c r="AR244" i="1"/>
  <c r="AU244" i="1" s="1"/>
  <c r="Z244" i="1"/>
  <c r="BY243" i="1"/>
  <c r="BS243" i="1"/>
  <c r="BR243" i="1"/>
  <c r="BH243" i="1"/>
  <c r="BG243" i="1"/>
  <c r="BJ243" i="1" s="1"/>
  <c r="AS243" i="1"/>
  <c r="AR243" i="1"/>
  <c r="AU243" i="1" s="1"/>
  <c r="Z243" i="1"/>
  <c r="BY242" i="1"/>
  <c r="BS242" i="1"/>
  <c r="BR242" i="1"/>
  <c r="BH242" i="1"/>
  <c r="BG242" i="1"/>
  <c r="AS242" i="1"/>
  <c r="AR242" i="1"/>
  <c r="AT242" i="1" s="1"/>
  <c r="Z242" i="1"/>
  <c r="BY241" i="1"/>
  <c r="BS241" i="1"/>
  <c r="BR241" i="1"/>
  <c r="BH241" i="1"/>
  <c r="BG241" i="1"/>
  <c r="BJ241" i="1" s="1"/>
  <c r="AS241" i="1"/>
  <c r="AR241" i="1"/>
  <c r="AT241" i="1" s="1"/>
  <c r="Z241" i="1"/>
  <c r="BY240" i="1"/>
  <c r="BS240" i="1"/>
  <c r="BR240" i="1"/>
  <c r="BH240" i="1"/>
  <c r="BG240" i="1"/>
  <c r="AS240" i="1"/>
  <c r="AR240" i="1"/>
  <c r="Z240" i="1"/>
  <c r="AA240" i="1" s="1"/>
  <c r="BY239" i="1"/>
  <c r="BS239" i="1"/>
  <c r="BR239" i="1"/>
  <c r="BH239" i="1"/>
  <c r="BG239" i="1"/>
  <c r="BJ239" i="1" s="1"/>
  <c r="AV239" i="1"/>
  <c r="AU239" i="1"/>
  <c r="AT239" i="1"/>
  <c r="AS239" i="1"/>
  <c r="Z239" i="1"/>
  <c r="BY238" i="1"/>
  <c r="BS238" i="1"/>
  <c r="BR238" i="1"/>
  <c r="BH238" i="1"/>
  <c r="BG238" i="1"/>
  <c r="AS238" i="1"/>
  <c r="AR238" i="1"/>
  <c r="Z238" i="1"/>
  <c r="BY237" i="1"/>
  <c r="BS237" i="1"/>
  <c r="BR237" i="1"/>
  <c r="BJ237" i="1"/>
  <c r="BI237" i="1"/>
  <c r="BH237" i="1"/>
  <c r="BG237" i="1"/>
  <c r="BK237" i="1" s="1"/>
  <c r="AV237" i="1"/>
  <c r="AU237" i="1"/>
  <c r="AT237" i="1"/>
  <c r="AS237" i="1"/>
  <c r="Z237" i="1"/>
  <c r="BY236" i="1"/>
  <c r="BS236" i="1"/>
  <c r="BR236" i="1"/>
  <c r="BH236" i="1"/>
  <c r="BG236" i="1"/>
  <c r="AS236" i="1"/>
  <c r="AA236" i="1" s="1"/>
  <c r="AR236" i="1"/>
  <c r="AT236" i="1" s="1"/>
  <c r="Z236" i="1"/>
  <c r="BY235" i="1"/>
  <c r="BS235" i="1"/>
  <c r="BR235" i="1"/>
  <c r="BT235" i="1" s="1"/>
  <c r="BJ235" i="1"/>
  <c r="BI235" i="1"/>
  <c r="BH235" i="1"/>
  <c r="BG235" i="1"/>
  <c r="BK235" i="1" s="1"/>
  <c r="AS235" i="1"/>
  <c r="AR235" i="1"/>
  <c r="Z235" i="1"/>
  <c r="BY234" i="1"/>
  <c r="BS234" i="1"/>
  <c r="BR234" i="1"/>
  <c r="BT234" i="1" s="1"/>
  <c r="BH234" i="1"/>
  <c r="BG234" i="1"/>
  <c r="AS234" i="1"/>
  <c r="AR234" i="1"/>
  <c r="AU234" i="1" s="1"/>
  <c r="Z234" i="1"/>
  <c r="BY233" i="1"/>
  <c r="BS233" i="1"/>
  <c r="BR233" i="1"/>
  <c r="BJ233" i="1"/>
  <c r="BI233" i="1"/>
  <c r="BH233" i="1"/>
  <c r="BG233" i="1"/>
  <c r="BK233" i="1" s="1"/>
  <c r="AV233" i="1"/>
  <c r="AU233" i="1"/>
  <c r="AT233" i="1"/>
  <c r="AS233" i="1"/>
  <c r="Z233" i="1"/>
  <c r="BY232" i="1"/>
  <c r="BS232" i="1"/>
  <c r="BR232" i="1"/>
  <c r="BH232" i="1"/>
  <c r="BG232" i="1"/>
  <c r="AS232" i="1"/>
  <c r="AR232" i="1"/>
  <c r="Z232" i="1"/>
  <c r="BY231" i="1"/>
  <c r="BS231" i="1"/>
  <c r="BR231" i="1"/>
  <c r="BH231" i="1"/>
  <c r="BG231" i="1"/>
  <c r="AS231" i="1"/>
  <c r="AR231" i="1"/>
  <c r="Z231" i="1"/>
  <c r="BY230" i="1"/>
  <c r="BS230" i="1"/>
  <c r="BR230" i="1"/>
  <c r="BH230" i="1"/>
  <c r="BG230" i="1"/>
  <c r="BJ230" i="1" s="1"/>
  <c r="AS230" i="1"/>
  <c r="AR230" i="1"/>
  <c r="AT230" i="1" s="1"/>
  <c r="Z230" i="1"/>
  <c r="BY229" i="1"/>
  <c r="BS229" i="1"/>
  <c r="BR229" i="1"/>
  <c r="BH229" i="1"/>
  <c r="BG229" i="1"/>
  <c r="BJ229" i="1" s="1"/>
  <c r="AS229" i="1"/>
  <c r="AR229" i="1"/>
  <c r="Z229" i="1"/>
  <c r="BY228" i="1"/>
  <c r="BS228" i="1"/>
  <c r="BR228" i="1"/>
  <c r="BH228" i="1"/>
  <c r="BG228" i="1"/>
  <c r="AS228" i="1"/>
  <c r="AR228" i="1"/>
  <c r="AT228" i="1" s="1"/>
  <c r="Z228" i="1"/>
  <c r="BY227" i="1"/>
  <c r="BS227" i="1"/>
  <c r="BR227" i="1"/>
  <c r="BH227" i="1"/>
  <c r="BG227" i="1"/>
  <c r="BJ227" i="1" s="1"/>
  <c r="AV227" i="1"/>
  <c r="AU227" i="1"/>
  <c r="AT227" i="1"/>
  <c r="AS227" i="1"/>
  <c r="Z227" i="1"/>
  <c r="AA227" i="1" s="1"/>
  <c r="BY226" i="1"/>
  <c r="BS226" i="1"/>
  <c r="BR226" i="1"/>
  <c r="BH226" i="1"/>
  <c r="BG226" i="1"/>
  <c r="BJ226" i="1" s="1"/>
  <c r="AV226" i="1"/>
  <c r="AU226" i="1"/>
  <c r="AT226" i="1"/>
  <c r="AS226" i="1"/>
  <c r="Z226" i="1"/>
  <c r="BY225" i="1"/>
  <c r="BS225" i="1"/>
  <c r="BR225" i="1"/>
  <c r="BH225" i="1"/>
  <c r="BG225" i="1"/>
  <c r="BJ225" i="1" s="1"/>
  <c r="AS225" i="1"/>
  <c r="AV225" i="1" s="1"/>
  <c r="AR225" i="1"/>
  <c r="Z225" i="1"/>
  <c r="AA225" i="1" s="1"/>
  <c r="BY224" i="1"/>
  <c r="BS224" i="1"/>
  <c r="BR224" i="1"/>
  <c r="BH224" i="1"/>
  <c r="BG224" i="1"/>
  <c r="AS224" i="1"/>
  <c r="AV224" i="1" s="1"/>
  <c r="AR224" i="1"/>
  <c r="AU224" i="1" s="1"/>
  <c r="Z224" i="1"/>
  <c r="BY223" i="1"/>
  <c r="BS223" i="1"/>
  <c r="BR223" i="1"/>
  <c r="BH223" i="1"/>
  <c r="BG223" i="1"/>
  <c r="AS223" i="1"/>
  <c r="AR223" i="1"/>
  <c r="AU223" i="1" s="1"/>
  <c r="Z223" i="1"/>
  <c r="BY222" i="1"/>
  <c r="BS222" i="1"/>
  <c r="BR222" i="1"/>
  <c r="BH222" i="1"/>
  <c r="BG222" i="1"/>
  <c r="AS222" i="1"/>
  <c r="AR222" i="1"/>
  <c r="AT222" i="1" s="1"/>
  <c r="Z222" i="1"/>
  <c r="BY221" i="1"/>
  <c r="BS221" i="1"/>
  <c r="BR221" i="1"/>
  <c r="BH221" i="1"/>
  <c r="BG221" i="1"/>
  <c r="BJ221" i="1" s="1"/>
  <c r="AS221" i="1"/>
  <c r="AR221" i="1"/>
  <c r="AU221" i="1" s="1"/>
  <c r="Z221" i="1"/>
  <c r="BY220" i="1"/>
  <c r="BS220" i="1"/>
  <c r="BR220" i="1"/>
  <c r="BH220" i="1"/>
  <c r="BG220" i="1"/>
  <c r="BI220" i="1" s="1"/>
  <c r="AS220" i="1"/>
  <c r="AR220" i="1"/>
  <c r="AU220" i="1" s="1"/>
  <c r="Z220" i="1"/>
  <c r="BY219" i="1"/>
  <c r="BS219" i="1"/>
  <c r="BR219" i="1"/>
  <c r="BH219" i="1"/>
  <c r="BI219" i="1" s="1"/>
  <c r="AB219" i="1" s="1"/>
  <c r="BG219" i="1"/>
  <c r="BJ219" i="1" s="1"/>
  <c r="AS219" i="1"/>
  <c r="AR219" i="1"/>
  <c r="AU219" i="1" s="1"/>
  <c r="Z219" i="1"/>
  <c r="BY218" i="1"/>
  <c r="BS218" i="1"/>
  <c r="BR218" i="1"/>
  <c r="BH218" i="1"/>
  <c r="BG218" i="1"/>
  <c r="AS218" i="1"/>
  <c r="AR218" i="1"/>
  <c r="Z218" i="1"/>
  <c r="BY217" i="1"/>
  <c r="BS217" i="1"/>
  <c r="BR217" i="1"/>
  <c r="BH217" i="1"/>
  <c r="BG217" i="1"/>
  <c r="AS217" i="1"/>
  <c r="AR217" i="1"/>
  <c r="AT217" i="1" s="1"/>
  <c r="Z217" i="1"/>
  <c r="BY216" i="1"/>
  <c r="BS216" i="1"/>
  <c r="BR216" i="1"/>
  <c r="BH216" i="1"/>
  <c r="BG216" i="1"/>
  <c r="AS216" i="1"/>
  <c r="AR216" i="1"/>
  <c r="AU216" i="1" s="1"/>
  <c r="Z216" i="1"/>
  <c r="BY215" i="1"/>
  <c r="BS215" i="1"/>
  <c r="BR215" i="1"/>
  <c r="BH215" i="1"/>
  <c r="BG215" i="1"/>
  <c r="AS215" i="1"/>
  <c r="AR215" i="1"/>
  <c r="AU215" i="1" s="1"/>
  <c r="Z215" i="1"/>
  <c r="BY214" i="1"/>
  <c r="BS214" i="1"/>
  <c r="BR214" i="1"/>
  <c r="BH214" i="1"/>
  <c r="BG214" i="1"/>
  <c r="AS214" i="1"/>
  <c r="AR214" i="1"/>
  <c r="Z214" i="1"/>
  <c r="BY213" i="1"/>
  <c r="BS213" i="1"/>
  <c r="BR213" i="1"/>
  <c r="BH213" i="1"/>
  <c r="BG213" i="1"/>
  <c r="BJ213" i="1" s="1"/>
  <c r="AS213" i="1"/>
  <c r="AR213" i="1"/>
  <c r="Z213" i="1"/>
  <c r="BY212" i="1"/>
  <c r="BS212" i="1"/>
  <c r="BR212" i="1"/>
  <c r="BH212" i="1"/>
  <c r="BG212" i="1"/>
  <c r="AS212" i="1"/>
  <c r="AR212" i="1"/>
  <c r="AU212" i="1" s="1"/>
  <c r="Z212" i="1"/>
  <c r="AA212" i="1" s="1"/>
  <c r="BY211" i="1"/>
  <c r="BS211" i="1"/>
  <c r="BR211" i="1"/>
  <c r="BH211" i="1"/>
  <c r="BG211" i="1"/>
  <c r="AS211" i="1"/>
  <c r="AR211" i="1"/>
  <c r="Z211" i="1"/>
  <c r="BY210" i="1"/>
  <c r="BS210" i="1"/>
  <c r="BR210" i="1"/>
  <c r="BH210" i="1"/>
  <c r="BG210" i="1"/>
  <c r="AS210" i="1"/>
  <c r="AR210" i="1"/>
  <c r="AU210" i="1" s="1"/>
  <c r="Z210" i="1"/>
  <c r="AA210" i="1" s="1"/>
  <c r="BY209" i="1"/>
  <c r="BS209" i="1"/>
  <c r="BR209" i="1"/>
  <c r="BH209" i="1"/>
  <c r="BG209" i="1"/>
  <c r="BJ209" i="1" s="1"/>
  <c r="AS209" i="1"/>
  <c r="AR209" i="1"/>
  <c r="AU209" i="1" s="1"/>
  <c r="Z209" i="1"/>
  <c r="AA209" i="1" s="1"/>
  <c r="BY208" i="1"/>
  <c r="BS208" i="1"/>
  <c r="BR208" i="1"/>
  <c r="BH208" i="1"/>
  <c r="BG208" i="1"/>
  <c r="BJ208" i="1" s="1"/>
  <c r="AS208" i="1"/>
  <c r="AR208" i="1"/>
  <c r="Z208" i="1"/>
  <c r="BY207" i="1"/>
  <c r="BS207" i="1"/>
  <c r="BR207" i="1"/>
  <c r="BH207" i="1"/>
  <c r="BG207" i="1"/>
  <c r="AS207" i="1"/>
  <c r="AR207" i="1"/>
  <c r="AV207" i="1" s="1"/>
  <c r="Z207" i="1"/>
  <c r="BY206" i="1"/>
  <c r="BS206" i="1"/>
  <c r="BR206" i="1"/>
  <c r="BH206" i="1"/>
  <c r="BG206" i="1"/>
  <c r="BJ206" i="1" s="1"/>
  <c r="AS206" i="1"/>
  <c r="AR206" i="1"/>
  <c r="AU206" i="1" s="1"/>
  <c r="Z206" i="1"/>
  <c r="BY205" i="1"/>
  <c r="BS205" i="1"/>
  <c r="BR205" i="1"/>
  <c r="BH205" i="1"/>
  <c r="BG205" i="1"/>
  <c r="BJ205" i="1" s="1"/>
  <c r="AS205" i="1"/>
  <c r="AR205" i="1"/>
  <c r="AU205" i="1" s="1"/>
  <c r="Z205" i="1"/>
  <c r="BY204" i="1"/>
  <c r="BS204" i="1"/>
  <c r="BR204" i="1"/>
  <c r="BH204" i="1"/>
  <c r="BG204" i="1"/>
  <c r="AS204" i="1"/>
  <c r="AR204" i="1"/>
  <c r="Z204" i="1"/>
  <c r="BY203" i="1"/>
  <c r="BS203" i="1"/>
  <c r="BR203" i="1"/>
  <c r="BH203" i="1"/>
  <c r="BG203" i="1"/>
  <c r="AS203" i="1"/>
  <c r="AR203" i="1"/>
  <c r="AU203" i="1" s="1"/>
  <c r="Z203" i="1"/>
  <c r="BY202" i="1"/>
  <c r="BS202" i="1"/>
  <c r="BR202" i="1"/>
  <c r="BH202" i="1"/>
  <c r="BG202" i="1"/>
  <c r="BK202" i="1" s="1"/>
  <c r="AS202" i="1"/>
  <c r="AR202" i="1"/>
  <c r="Z202" i="1"/>
  <c r="BY201" i="1"/>
  <c r="BS201" i="1"/>
  <c r="BR201" i="1"/>
  <c r="BH201" i="1"/>
  <c r="BG201" i="1"/>
  <c r="BJ201" i="1" s="1"/>
  <c r="AS201" i="1"/>
  <c r="AR201" i="1"/>
  <c r="AU201" i="1" s="1"/>
  <c r="Z201" i="1"/>
  <c r="BY200" i="1"/>
  <c r="BS200" i="1"/>
  <c r="BR200" i="1"/>
  <c r="BH200" i="1"/>
  <c r="BG200" i="1"/>
  <c r="AS200" i="1"/>
  <c r="AR200" i="1"/>
  <c r="AU200" i="1" s="1"/>
  <c r="Z200" i="1"/>
  <c r="BY199" i="1"/>
  <c r="BS199" i="1"/>
  <c r="BR199" i="1"/>
  <c r="BH199" i="1"/>
  <c r="BG199" i="1"/>
  <c r="AS199" i="1"/>
  <c r="AA199" i="1" s="1"/>
  <c r="AR199" i="1"/>
  <c r="BY198" i="1"/>
  <c r="BS198" i="1"/>
  <c r="BR198" i="1"/>
  <c r="BH198" i="1"/>
  <c r="BG198" i="1"/>
  <c r="BJ198" i="1" s="1"/>
  <c r="AS198" i="1"/>
  <c r="AR198" i="1"/>
  <c r="Z198" i="1"/>
  <c r="BY197" i="1"/>
  <c r="BS197" i="1"/>
  <c r="BR197" i="1"/>
  <c r="BH197" i="1"/>
  <c r="BG197" i="1"/>
  <c r="AS197" i="1"/>
  <c r="AR197" i="1"/>
  <c r="Z197" i="1"/>
  <c r="BY196" i="1"/>
  <c r="BS196" i="1"/>
  <c r="BR196" i="1"/>
  <c r="BH196" i="1"/>
  <c r="BG196" i="1"/>
  <c r="BJ196" i="1" s="1"/>
  <c r="AV196" i="1"/>
  <c r="AU196" i="1"/>
  <c r="AT196" i="1"/>
  <c r="AS196" i="1"/>
  <c r="Z196" i="1"/>
  <c r="BY195" i="1"/>
  <c r="BS195" i="1"/>
  <c r="BR195" i="1"/>
  <c r="BH195" i="1"/>
  <c r="BG195" i="1"/>
  <c r="AS195" i="1"/>
  <c r="AR195" i="1"/>
  <c r="Z195" i="1"/>
  <c r="BY194" i="1"/>
  <c r="BS194" i="1"/>
  <c r="BR194" i="1"/>
  <c r="BH194" i="1"/>
  <c r="BG194" i="1"/>
  <c r="AS194" i="1"/>
  <c r="AR194" i="1"/>
  <c r="AU194" i="1" s="1"/>
  <c r="Z194" i="1"/>
  <c r="BY193" i="1"/>
  <c r="BS193" i="1"/>
  <c r="BR193" i="1"/>
  <c r="BT193" i="1" s="1"/>
  <c r="BH193" i="1"/>
  <c r="BG193" i="1"/>
  <c r="BJ193" i="1" s="1"/>
  <c r="AS193" i="1"/>
  <c r="AR193" i="1"/>
  <c r="Z193" i="1"/>
  <c r="BY192" i="1"/>
  <c r="BS192" i="1"/>
  <c r="BR192" i="1"/>
  <c r="BH192" i="1"/>
  <c r="BG192" i="1"/>
  <c r="AS192" i="1"/>
  <c r="AR192" i="1"/>
  <c r="AU192" i="1" s="1"/>
  <c r="Z192" i="1"/>
  <c r="BY191" i="1"/>
  <c r="BS191" i="1"/>
  <c r="BR191" i="1"/>
  <c r="BH191" i="1"/>
  <c r="BG191" i="1"/>
  <c r="BJ191" i="1" s="1"/>
  <c r="AS191" i="1"/>
  <c r="AR191" i="1"/>
  <c r="AU191" i="1" s="1"/>
  <c r="Z191" i="1"/>
  <c r="BY190" i="1"/>
  <c r="BS190" i="1"/>
  <c r="BR190" i="1"/>
  <c r="BH190" i="1"/>
  <c r="BG190" i="1"/>
  <c r="AS190" i="1"/>
  <c r="AR190" i="1"/>
  <c r="AU190" i="1" s="1"/>
  <c r="Z190" i="1"/>
  <c r="BY189" i="1"/>
  <c r="BS189" i="1"/>
  <c r="BR189" i="1"/>
  <c r="BH189" i="1"/>
  <c r="BG189" i="1"/>
  <c r="AS189" i="1"/>
  <c r="AR189" i="1"/>
  <c r="Z189" i="1"/>
  <c r="AA189" i="1" s="1"/>
  <c r="BY188" i="1"/>
  <c r="BS188" i="1"/>
  <c r="BR188" i="1"/>
  <c r="BJ188" i="1"/>
  <c r="BI188" i="1"/>
  <c r="BH188" i="1"/>
  <c r="BG188" i="1"/>
  <c r="BK188" i="1" s="1"/>
  <c r="AS188" i="1"/>
  <c r="AR188" i="1"/>
  <c r="AU188" i="1" s="1"/>
  <c r="Z188" i="1"/>
  <c r="BY187" i="1"/>
  <c r="BS187" i="1"/>
  <c r="BR187" i="1"/>
  <c r="BH187" i="1"/>
  <c r="BG187" i="1"/>
  <c r="BJ187" i="1" s="1"/>
  <c r="AS187" i="1"/>
  <c r="AR187" i="1"/>
  <c r="AU187" i="1" s="1"/>
  <c r="Z187" i="1"/>
  <c r="BY186" i="1"/>
  <c r="BS186" i="1"/>
  <c r="BR186" i="1"/>
  <c r="BH186" i="1"/>
  <c r="BG186" i="1"/>
  <c r="BJ186" i="1" s="1"/>
  <c r="AS186" i="1"/>
  <c r="AR186" i="1"/>
  <c r="AT186" i="1" s="1"/>
  <c r="BY185" i="1"/>
  <c r="BS185" i="1"/>
  <c r="BR185" i="1"/>
  <c r="BH185" i="1"/>
  <c r="BG185" i="1"/>
  <c r="BJ185" i="1" s="1"/>
  <c r="AS185" i="1"/>
  <c r="AR185" i="1"/>
  <c r="AU185" i="1" s="1"/>
  <c r="Z185" i="1"/>
  <c r="BY184" i="1"/>
  <c r="BS184" i="1"/>
  <c r="BR184" i="1"/>
  <c r="BH184" i="1"/>
  <c r="BG184" i="1"/>
  <c r="AS184" i="1"/>
  <c r="AR184" i="1"/>
  <c r="AU184" i="1" s="1"/>
  <c r="Z184" i="1"/>
  <c r="BY183" i="1"/>
  <c r="BS183" i="1"/>
  <c r="BR183" i="1"/>
  <c r="BH183" i="1"/>
  <c r="BG183" i="1"/>
  <c r="BJ183" i="1" s="1"/>
  <c r="AS183" i="1"/>
  <c r="AR183" i="1"/>
  <c r="Z183" i="1"/>
  <c r="BY182" i="1"/>
  <c r="BS182" i="1"/>
  <c r="BR182" i="1"/>
  <c r="BH182" i="1"/>
  <c r="BG182" i="1"/>
  <c r="AS182" i="1"/>
  <c r="AR182" i="1"/>
  <c r="Z182" i="1"/>
  <c r="BY181" i="1"/>
  <c r="BS181" i="1"/>
  <c r="BR181" i="1"/>
  <c r="BH181" i="1"/>
  <c r="BG181" i="1"/>
  <c r="BJ181" i="1" s="1"/>
  <c r="AS181" i="1"/>
  <c r="AR181" i="1"/>
  <c r="Z181" i="1"/>
  <c r="BY180" i="1"/>
  <c r="BS180" i="1"/>
  <c r="BR180" i="1"/>
  <c r="BH180" i="1"/>
  <c r="BG180" i="1"/>
  <c r="BJ180" i="1" s="1"/>
  <c r="AS180" i="1"/>
  <c r="AR180" i="1"/>
  <c r="AU180" i="1" s="1"/>
  <c r="Z180" i="1"/>
  <c r="BY179" i="1"/>
  <c r="BS179" i="1"/>
  <c r="BR179" i="1"/>
  <c r="BH179" i="1"/>
  <c r="BG179" i="1"/>
  <c r="AS179" i="1"/>
  <c r="AR179" i="1"/>
  <c r="AU179" i="1" s="1"/>
  <c r="Z179" i="1"/>
  <c r="BY178" i="1"/>
  <c r="BS178" i="1"/>
  <c r="BR178" i="1"/>
  <c r="BH178" i="1"/>
  <c r="BG178" i="1"/>
  <c r="BJ178" i="1" s="1"/>
  <c r="AS178" i="1"/>
  <c r="AR178" i="1"/>
  <c r="Z178" i="1"/>
  <c r="BY177" i="1"/>
  <c r="BS177" i="1"/>
  <c r="BR177" i="1"/>
  <c r="BH177" i="1"/>
  <c r="BG177" i="1"/>
  <c r="BJ177" i="1" s="1"/>
  <c r="AS177" i="1"/>
  <c r="AR177" i="1"/>
  <c r="Z177" i="1"/>
  <c r="BY176" i="1"/>
  <c r="BS176" i="1"/>
  <c r="BR176" i="1"/>
  <c r="BH176" i="1"/>
  <c r="BG176" i="1"/>
  <c r="BJ176" i="1" s="1"/>
  <c r="AS176" i="1"/>
  <c r="AR176" i="1"/>
  <c r="Z176" i="1"/>
  <c r="BY175" i="1"/>
  <c r="BS175" i="1"/>
  <c r="BR175" i="1"/>
  <c r="BH175" i="1"/>
  <c r="BG175" i="1"/>
  <c r="BJ175" i="1" s="1"/>
  <c r="AS175" i="1"/>
  <c r="AR175" i="1"/>
  <c r="Z175" i="1"/>
  <c r="BY174" i="1"/>
  <c r="BS174" i="1"/>
  <c r="BR174" i="1"/>
  <c r="BH174" i="1"/>
  <c r="BG174" i="1"/>
  <c r="BJ174" i="1" s="1"/>
  <c r="AS174" i="1"/>
  <c r="AR174" i="1"/>
  <c r="Z174" i="1"/>
  <c r="BY173" i="1"/>
  <c r="BS173" i="1"/>
  <c r="BR173" i="1"/>
  <c r="BH173" i="1"/>
  <c r="BG173" i="1"/>
  <c r="BJ173" i="1" s="1"/>
  <c r="AS173" i="1"/>
  <c r="AR173" i="1"/>
  <c r="Z173" i="1"/>
  <c r="BY172" i="1"/>
  <c r="BS172" i="1"/>
  <c r="BR172" i="1"/>
  <c r="BH172" i="1"/>
  <c r="BG172" i="1"/>
  <c r="BJ172" i="1" s="1"/>
  <c r="AS172" i="1"/>
  <c r="AR172" i="1"/>
  <c r="Z172" i="1"/>
  <c r="BY171" i="1"/>
  <c r="BS171" i="1"/>
  <c r="BR171" i="1"/>
  <c r="BH171" i="1"/>
  <c r="BG171" i="1"/>
  <c r="BJ171" i="1" s="1"/>
  <c r="AS171" i="1"/>
  <c r="AR171" i="1"/>
  <c r="AU171" i="1" s="1"/>
  <c r="Z171" i="1"/>
  <c r="BY170" i="1"/>
  <c r="BS170" i="1"/>
  <c r="BR170" i="1"/>
  <c r="BH170" i="1"/>
  <c r="BG170" i="1"/>
  <c r="BJ170" i="1" s="1"/>
  <c r="AV170" i="1"/>
  <c r="AU170" i="1"/>
  <c r="AT170" i="1"/>
  <c r="AS170" i="1"/>
  <c r="Z170" i="1"/>
  <c r="BY169" i="1"/>
  <c r="BS169" i="1"/>
  <c r="BR169" i="1"/>
  <c r="BH169" i="1"/>
  <c r="BG169" i="1"/>
  <c r="BK169" i="1" s="1"/>
  <c r="AS169" i="1"/>
  <c r="AR169" i="1"/>
  <c r="Z169" i="1"/>
  <c r="BY168" i="1"/>
  <c r="BS168" i="1"/>
  <c r="BR168" i="1"/>
  <c r="BH168" i="1"/>
  <c r="BG168" i="1"/>
  <c r="AV168" i="1"/>
  <c r="AU168" i="1"/>
  <c r="AT168" i="1"/>
  <c r="AS168" i="1"/>
  <c r="Z168" i="1"/>
  <c r="BY167" i="1"/>
  <c r="BS167" i="1"/>
  <c r="BR167" i="1"/>
  <c r="BH167" i="1"/>
  <c r="BG167" i="1"/>
  <c r="AV167" i="1"/>
  <c r="AU167" i="1"/>
  <c r="AT167" i="1"/>
  <c r="AS167" i="1"/>
  <c r="Z167" i="1"/>
  <c r="BY166" i="1"/>
  <c r="BS166" i="1"/>
  <c r="BR166" i="1"/>
  <c r="BH166" i="1"/>
  <c r="BG166" i="1"/>
  <c r="AS166" i="1"/>
  <c r="AR166" i="1"/>
  <c r="Z166" i="1"/>
  <c r="BY165" i="1"/>
  <c r="BS165" i="1"/>
  <c r="BR165" i="1"/>
  <c r="BH165" i="1"/>
  <c r="BG165" i="1"/>
  <c r="BJ165" i="1" s="1"/>
  <c r="AS165" i="1"/>
  <c r="AR165" i="1"/>
  <c r="Z165" i="1"/>
  <c r="BY164" i="1"/>
  <c r="BS164" i="1"/>
  <c r="BR164" i="1"/>
  <c r="BH164" i="1"/>
  <c r="BG164" i="1"/>
  <c r="AS164" i="1"/>
  <c r="AR164" i="1"/>
  <c r="Z164" i="1"/>
  <c r="BY163" i="1"/>
  <c r="BS163" i="1"/>
  <c r="BR163" i="1"/>
  <c r="BH163" i="1"/>
  <c r="BG163" i="1"/>
  <c r="BJ163" i="1" s="1"/>
  <c r="AS163" i="1"/>
  <c r="AR163" i="1"/>
  <c r="AU163" i="1" s="1"/>
  <c r="Z163" i="1"/>
  <c r="BY162" i="1"/>
  <c r="BS162" i="1"/>
  <c r="BR162" i="1"/>
  <c r="BH162" i="1"/>
  <c r="BG162" i="1"/>
  <c r="AS162" i="1"/>
  <c r="AR162" i="1"/>
  <c r="AU162" i="1" s="1"/>
  <c r="Z162" i="1"/>
  <c r="BY161" i="1"/>
  <c r="BS161" i="1"/>
  <c r="BR161" i="1"/>
  <c r="BH161" i="1"/>
  <c r="BG161" i="1"/>
  <c r="BJ161" i="1" s="1"/>
  <c r="AS161" i="1"/>
  <c r="AR161" i="1"/>
  <c r="AU161" i="1" s="1"/>
  <c r="Z161" i="1"/>
  <c r="BY160" i="1"/>
  <c r="BS160" i="1"/>
  <c r="BR160" i="1"/>
  <c r="BH160" i="1"/>
  <c r="BG160" i="1"/>
  <c r="AV160" i="1"/>
  <c r="AU160" i="1"/>
  <c r="AT160" i="1"/>
  <c r="AS160" i="1"/>
  <c r="Z160" i="1"/>
  <c r="BY159" i="1"/>
  <c r="BS159" i="1"/>
  <c r="BR159" i="1"/>
  <c r="BJ159" i="1"/>
  <c r="BI159" i="1"/>
  <c r="BH159" i="1"/>
  <c r="BG159" i="1"/>
  <c r="BK159" i="1" s="1"/>
  <c r="AT159" i="1"/>
  <c r="AS159" i="1"/>
  <c r="AR159" i="1"/>
  <c r="AV159" i="1" s="1"/>
  <c r="Z159" i="1"/>
  <c r="BY158" i="1"/>
  <c r="BS158" i="1"/>
  <c r="BR158" i="1"/>
  <c r="BJ158" i="1"/>
  <c r="BI158" i="1"/>
  <c r="BH158" i="1"/>
  <c r="BG158" i="1"/>
  <c r="BK158" i="1" s="1"/>
  <c r="AV158" i="1"/>
  <c r="AU158" i="1"/>
  <c r="AT158" i="1"/>
  <c r="AS158" i="1"/>
  <c r="Z158" i="1"/>
  <c r="BY157" i="1"/>
  <c r="BS157" i="1"/>
  <c r="BR157" i="1"/>
  <c r="BH157" i="1"/>
  <c r="BG157" i="1"/>
  <c r="BJ157" i="1" s="1"/>
  <c r="AS157" i="1"/>
  <c r="AR157" i="1"/>
  <c r="Z157" i="1"/>
  <c r="BY156" i="1"/>
  <c r="BS156" i="1"/>
  <c r="BR156" i="1"/>
  <c r="BH156" i="1"/>
  <c r="BG156" i="1"/>
  <c r="AV156" i="1"/>
  <c r="AU156" i="1"/>
  <c r="AT156" i="1"/>
  <c r="Z156" i="1"/>
  <c r="AA156" i="1" s="1"/>
  <c r="BY155" i="1"/>
  <c r="BS155" i="1"/>
  <c r="BR155" i="1"/>
  <c r="BH155" i="1"/>
  <c r="BG155" i="1"/>
  <c r="AS155" i="1"/>
  <c r="AR155" i="1"/>
  <c r="Z155" i="1"/>
  <c r="BY154" i="1"/>
  <c r="BS154" i="1"/>
  <c r="BR154" i="1"/>
  <c r="BH154" i="1"/>
  <c r="BG154" i="1"/>
  <c r="BJ154" i="1" s="1"/>
  <c r="AS154" i="1"/>
  <c r="AR154" i="1"/>
  <c r="Z154" i="1"/>
  <c r="BY153" i="1"/>
  <c r="BS153" i="1"/>
  <c r="BR153" i="1"/>
  <c r="BH153" i="1"/>
  <c r="BG153" i="1"/>
  <c r="BJ153" i="1" s="1"/>
  <c r="AV153" i="1"/>
  <c r="AU153" i="1"/>
  <c r="AT153" i="1"/>
  <c r="AS153" i="1"/>
  <c r="Z153" i="1"/>
  <c r="BY152" i="1"/>
  <c r="BS152" i="1"/>
  <c r="BR152" i="1"/>
  <c r="BH152" i="1"/>
  <c r="BG152" i="1"/>
  <c r="AS152" i="1"/>
  <c r="AR152" i="1"/>
  <c r="Z152" i="1"/>
  <c r="BY151" i="1"/>
  <c r="BS151" i="1"/>
  <c r="BR151" i="1"/>
  <c r="BH151" i="1"/>
  <c r="BG151" i="1"/>
  <c r="AS151" i="1"/>
  <c r="AR151" i="1"/>
  <c r="AU151" i="1" s="1"/>
  <c r="Z151" i="1"/>
  <c r="BY150" i="1"/>
  <c r="BS150" i="1"/>
  <c r="BR150" i="1"/>
  <c r="BH150" i="1"/>
  <c r="BG150" i="1"/>
  <c r="AS150" i="1"/>
  <c r="AR150" i="1"/>
  <c r="Z150" i="1"/>
  <c r="BY149" i="1"/>
  <c r="BS149" i="1"/>
  <c r="BR149" i="1"/>
  <c r="BH149" i="1"/>
  <c r="BG149" i="1"/>
  <c r="AS149" i="1"/>
  <c r="AR149" i="1"/>
  <c r="AU149" i="1" s="1"/>
  <c r="Z149" i="1"/>
  <c r="BY148" i="1"/>
  <c r="BS148" i="1"/>
  <c r="BR148" i="1"/>
  <c r="BH148" i="1"/>
  <c r="BG148" i="1"/>
  <c r="AS148" i="1"/>
  <c r="AR148" i="1"/>
  <c r="AT148" i="1" s="1"/>
  <c r="Z148" i="1"/>
  <c r="BY147" i="1"/>
  <c r="BS147" i="1"/>
  <c r="BR147" i="1"/>
  <c r="BH147" i="1"/>
  <c r="BG147" i="1"/>
  <c r="BK147" i="1" s="1"/>
  <c r="AS147" i="1"/>
  <c r="AR147" i="1"/>
  <c r="AU147" i="1" s="1"/>
  <c r="Z147" i="1"/>
  <c r="BY146" i="1"/>
  <c r="BS146" i="1"/>
  <c r="BR146" i="1"/>
  <c r="BH146" i="1"/>
  <c r="BG146" i="1"/>
  <c r="AV146" i="1"/>
  <c r="AU146" i="1"/>
  <c r="AT146" i="1"/>
  <c r="AS146" i="1"/>
  <c r="Z146" i="1"/>
  <c r="BY145" i="1"/>
  <c r="BS145" i="1"/>
  <c r="BR145" i="1"/>
  <c r="BH145" i="1"/>
  <c r="BG145" i="1"/>
  <c r="AS145" i="1"/>
  <c r="AR145" i="1"/>
  <c r="Z145" i="1"/>
  <c r="BY144" i="1"/>
  <c r="BS144" i="1"/>
  <c r="BR144" i="1"/>
  <c r="BH144" i="1"/>
  <c r="BG144" i="1"/>
  <c r="BJ144" i="1" s="1"/>
  <c r="AS144" i="1"/>
  <c r="AR144" i="1"/>
  <c r="AU144" i="1" s="1"/>
  <c r="Z144" i="1"/>
  <c r="BY143" i="1"/>
  <c r="BS143" i="1"/>
  <c r="BR143" i="1"/>
  <c r="BH143" i="1"/>
  <c r="BG143" i="1"/>
  <c r="BJ143" i="1" s="1"/>
  <c r="AS143" i="1"/>
  <c r="AR143" i="1"/>
  <c r="Z143" i="1"/>
  <c r="BY142" i="1"/>
  <c r="BS142" i="1"/>
  <c r="BR142" i="1"/>
  <c r="BH142" i="1"/>
  <c r="BG142" i="1"/>
  <c r="AS142" i="1"/>
  <c r="AR142" i="1"/>
  <c r="Z142" i="1"/>
  <c r="BY141" i="1"/>
  <c r="BS141" i="1"/>
  <c r="BR141" i="1"/>
  <c r="BH141" i="1"/>
  <c r="BG141" i="1"/>
  <c r="BJ141" i="1" s="1"/>
  <c r="AS141" i="1"/>
  <c r="AR141" i="1"/>
  <c r="AU141" i="1" s="1"/>
  <c r="Z141" i="1"/>
  <c r="BY140" i="1"/>
  <c r="BS140" i="1"/>
  <c r="BR140" i="1"/>
  <c r="BH140" i="1"/>
  <c r="BG140" i="1"/>
  <c r="AS140" i="1"/>
  <c r="AR140" i="1"/>
  <c r="AU140" i="1" s="1"/>
  <c r="Z140" i="1"/>
  <c r="BY139" i="1"/>
  <c r="BS139" i="1"/>
  <c r="BR139" i="1"/>
  <c r="BH139" i="1"/>
  <c r="BG139" i="1"/>
  <c r="BJ139" i="1" s="1"/>
  <c r="AS139" i="1"/>
  <c r="AR139" i="1"/>
  <c r="AU139" i="1" s="1"/>
  <c r="Z139" i="1"/>
  <c r="BY138" i="1"/>
  <c r="BS138" i="1"/>
  <c r="BR138" i="1"/>
  <c r="BH138" i="1"/>
  <c r="BG138" i="1"/>
  <c r="AS138" i="1"/>
  <c r="AR138" i="1"/>
  <c r="AU138" i="1" s="1"/>
  <c r="Z138" i="1"/>
  <c r="BY137" i="1"/>
  <c r="BS137" i="1"/>
  <c r="BR137" i="1"/>
  <c r="BH137" i="1"/>
  <c r="BG137" i="1"/>
  <c r="AS137" i="1"/>
  <c r="AR137" i="1"/>
  <c r="AU137" i="1" s="1"/>
  <c r="Z137" i="1"/>
  <c r="BY136" i="1"/>
  <c r="BS136" i="1"/>
  <c r="BR136" i="1"/>
  <c r="BH136" i="1"/>
  <c r="BG136" i="1"/>
  <c r="AV136" i="1"/>
  <c r="AU136" i="1"/>
  <c r="AT136" i="1"/>
  <c r="AS136" i="1"/>
  <c r="Z136" i="1"/>
  <c r="BY135" i="1"/>
  <c r="BS135" i="1"/>
  <c r="BR135" i="1"/>
  <c r="BH135" i="1"/>
  <c r="BG135" i="1"/>
  <c r="BJ135" i="1" s="1"/>
  <c r="AS135" i="1"/>
  <c r="AR135" i="1"/>
  <c r="AT135" i="1" s="1"/>
  <c r="Z135" i="1"/>
  <c r="BY134" i="1"/>
  <c r="BS134" i="1"/>
  <c r="BR134" i="1"/>
  <c r="BH134" i="1"/>
  <c r="BG134" i="1"/>
  <c r="BJ134" i="1" s="1"/>
  <c r="AS134" i="1"/>
  <c r="AR134" i="1"/>
  <c r="AU134" i="1" s="1"/>
  <c r="Z134" i="1"/>
  <c r="BY133" i="1"/>
  <c r="BS133" i="1"/>
  <c r="BR133" i="1"/>
  <c r="BH133" i="1"/>
  <c r="BG133" i="1"/>
  <c r="BJ133" i="1" s="1"/>
  <c r="AS133" i="1"/>
  <c r="AR133" i="1"/>
  <c r="AU133" i="1" s="1"/>
  <c r="Z133" i="1"/>
  <c r="BY132" i="1"/>
  <c r="BS132" i="1"/>
  <c r="BR132" i="1"/>
  <c r="BH132" i="1"/>
  <c r="BG132" i="1"/>
  <c r="BJ132" i="1" s="1"/>
  <c r="AS132" i="1"/>
  <c r="AR132" i="1"/>
  <c r="Z132" i="1"/>
  <c r="BY131" i="1"/>
  <c r="BS131" i="1"/>
  <c r="BR131" i="1"/>
  <c r="BH131" i="1"/>
  <c r="BG131" i="1"/>
  <c r="BJ131" i="1" s="1"/>
  <c r="AS131" i="1"/>
  <c r="AR131" i="1"/>
  <c r="AU131" i="1" s="1"/>
  <c r="Z131" i="1"/>
  <c r="BY130" i="1"/>
  <c r="BS130" i="1"/>
  <c r="BR130" i="1"/>
  <c r="BH130" i="1"/>
  <c r="BG130" i="1"/>
  <c r="BJ130" i="1" s="1"/>
  <c r="AS130" i="1"/>
  <c r="AR130" i="1"/>
  <c r="Z130" i="1"/>
  <c r="BY129" i="1"/>
  <c r="BS129" i="1"/>
  <c r="BR129" i="1"/>
  <c r="BH129" i="1"/>
  <c r="BG129" i="1"/>
  <c r="BJ129" i="1" s="1"/>
  <c r="AS129" i="1"/>
  <c r="AR129" i="1"/>
  <c r="AU129" i="1" s="1"/>
  <c r="Z129" i="1"/>
  <c r="BY128" i="1"/>
  <c r="BS128" i="1"/>
  <c r="BR128" i="1"/>
  <c r="BH128" i="1"/>
  <c r="BG128" i="1"/>
  <c r="BJ128" i="1" s="1"/>
  <c r="AS128" i="1"/>
  <c r="AR128" i="1"/>
  <c r="Z128" i="1"/>
  <c r="BY127" i="1"/>
  <c r="BS127" i="1"/>
  <c r="BR127" i="1"/>
  <c r="BH127" i="1"/>
  <c r="BG127" i="1"/>
  <c r="BJ127" i="1" s="1"/>
  <c r="AS127" i="1"/>
  <c r="AR127" i="1"/>
  <c r="AT127" i="1" s="1"/>
  <c r="Z127" i="1"/>
  <c r="BY126" i="1"/>
  <c r="BS126" i="1"/>
  <c r="BR126" i="1"/>
  <c r="BH126" i="1"/>
  <c r="BG126" i="1"/>
  <c r="BJ126" i="1" s="1"/>
  <c r="AS126" i="1"/>
  <c r="AR126" i="1"/>
  <c r="AU126" i="1" s="1"/>
  <c r="Z126" i="1"/>
  <c r="BY125" i="1"/>
  <c r="BS125" i="1"/>
  <c r="BR125" i="1"/>
  <c r="BT125" i="1" s="1"/>
  <c r="BH125" i="1"/>
  <c r="BG125" i="1"/>
  <c r="BJ125" i="1" s="1"/>
  <c r="AS125" i="1"/>
  <c r="AR125" i="1"/>
  <c r="Z125" i="1"/>
  <c r="BY124" i="1"/>
  <c r="BS124" i="1"/>
  <c r="BR124" i="1"/>
  <c r="BH124" i="1"/>
  <c r="BG124" i="1"/>
  <c r="AS124" i="1"/>
  <c r="AR124" i="1"/>
  <c r="AV124" i="1" s="1"/>
  <c r="Z124" i="1"/>
  <c r="BY123" i="1"/>
  <c r="BS123" i="1"/>
  <c r="BR123" i="1"/>
  <c r="BH123" i="1"/>
  <c r="BG123" i="1"/>
  <c r="BJ123" i="1" s="1"/>
  <c r="AS123" i="1"/>
  <c r="AR123" i="1"/>
  <c r="Z123" i="1"/>
  <c r="BY122" i="1"/>
  <c r="BS122" i="1"/>
  <c r="BR122" i="1"/>
  <c r="BH122" i="1"/>
  <c r="BG122" i="1"/>
  <c r="BJ122" i="1" s="1"/>
  <c r="AS122" i="1"/>
  <c r="AA122" i="1" s="1"/>
  <c r="AR122" i="1"/>
  <c r="Z122" i="1"/>
  <c r="BY121" i="1"/>
  <c r="BS121" i="1"/>
  <c r="BR121" i="1"/>
  <c r="BH121" i="1"/>
  <c r="BG121" i="1"/>
  <c r="BJ121" i="1" s="1"/>
  <c r="AU121" i="1"/>
  <c r="AS121" i="1"/>
  <c r="AV121" i="1" s="1"/>
  <c r="Z121" i="1"/>
  <c r="BY120" i="1"/>
  <c r="BS120" i="1"/>
  <c r="BR120" i="1"/>
  <c r="BH120" i="1"/>
  <c r="BG120" i="1"/>
  <c r="BJ120" i="1" s="1"/>
  <c r="AV120" i="1"/>
  <c r="AU120" i="1"/>
  <c r="AT120" i="1"/>
  <c r="AS120" i="1"/>
  <c r="Z120" i="1"/>
  <c r="BY119" i="1"/>
  <c r="BS119" i="1"/>
  <c r="BR119" i="1"/>
  <c r="BH119" i="1"/>
  <c r="BG119" i="1"/>
  <c r="BJ119" i="1" s="1"/>
  <c r="AV119" i="1"/>
  <c r="AU119" i="1"/>
  <c r="AT119" i="1"/>
  <c r="AS119" i="1"/>
  <c r="Z119" i="1"/>
  <c r="BY118" i="1"/>
  <c r="BS118" i="1"/>
  <c r="BR118" i="1"/>
  <c r="BH118" i="1"/>
  <c r="BG118" i="1"/>
  <c r="BJ118" i="1" s="1"/>
  <c r="AS118" i="1"/>
  <c r="AR118" i="1"/>
  <c r="Z118" i="1"/>
  <c r="BY117" i="1"/>
  <c r="BS117" i="1"/>
  <c r="BR117" i="1"/>
  <c r="BH117" i="1"/>
  <c r="BG117" i="1"/>
  <c r="AS117" i="1"/>
  <c r="AR117" i="1"/>
  <c r="Z117" i="1"/>
  <c r="BY116" i="1"/>
  <c r="BS116" i="1"/>
  <c r="BR116" i="1"/>
  <c r="BH116" i="1"/>
  <c r="BG116" i="1"/>
  <c r="BJ116" i="1" s="1"/>
  <c r="AS116" i="1"/>
  <c r="AR116" i="1"/>
  <c r="Z116" i="1"/>
  <c r="AA116" i="1" s="1"/>
  <c r="BY115" i="1"/>
  <c r="BS115" i="1"/>
  <c r="BR115" i="1"/>
  <c r="BH115" i="1"/>
  <c r="BG115" i="1"/>
  <c r="AS115" i="1"/>
  <c r="AR115" i="1"/>
  <c r="AU115" i="1" s="1"/>
  <c r="Z115" i="1"/>
  <c r="BY114" i="1"/>
  <c r="BS114" i="1"/>
  <c r="BR114" i="1"/>
  <c r="BH114" i="1"/>
  <c r="BG114" i="1"/>
  <c r="AS114" i="1"/>
  <c r="AR114" i="1"/>
  <c r="Z114" i="1"/>
  <c r="BY113" i="1"/>
  <c r="BS113" i="1"/>
  <c r="BR113" i="1"/>
  <c r="BH113" i="1"/>
  <c r="BG113" i="1"/>
  <c r="AV113" i="1"/>
  <c r="AU113" i="1"/>
  <c r="AT113" i="1"/>
  <c r="AS113" i="1"/>
  <c r="Z113" i="1"/>
  <c r="BY112" i="1"/>
  <c r="BS112" i="1"/>
  <c r="BR112" i="1"/>
  <c r="BH112" i="1"/>
  <c r="BG112" i="1"/>
  <c r="BJ112" i="1" s="1"/>
  <c r="AV112" i="1"/>
  <c r="AU112" i="1"/>
  <c r="AT112" i="1"/>
  <c r="AS112" i="1"/>
  <c r="Z112" i="1"/>
  <c r="BY111" i="1"/>
  <c r="BS111" i="1"/>
  <c r="BR111" i="1"/>
  <c r="BH111" i="1"/>
  <c r="BG111" i="1"/>
  <c r="AV111" i="1"/>
  <c r="AU111" i="1"/>
  <c r="AT111" i="1"/>
  <c r="AS111" i="1"/>
  <c r="Z111" i="1"/>
  <c r="BY110" i="1"/>
  <c r="BS110" i="1"/>
  <c r="BR110" i="1"/>
  <c r="BH110" i="1"/>
  <c r="BG110" i="1"/>
  <c r="BJ110" i="1" s="1"/>
  <c r="AV110" i="1"/>
  <c r="AU110" i="1"/>
  <c r="AT110" i="1"/>
  <c r="AS110" i="1"/>
  <c r="Z110" i="1"/>
  <c r="BY109" i="1"/>
  <c r="BS109" i="1"/>
  <c r="BR109" i="1"/>
  <c r="BH109" i="1"/>
  <c r="BG109" i="1"/>
  <c r="BJ109" i="1" s="1"/>
  <c r="AS109" i="1"/>
  <c r="AR109" i="1"/>
  <c r="Z109" i="1"/>
  <c r="BY108" i="1"/>
  <c r="BS108" i="1"/>
  <c r="BR108" i="1"/>
  <c r="BH108" i="1"/>
  <c r="BG108" i="1"/>
  <c r="BJ108" i="1" s="1"/>
  <c r="AS108" i="1"/>
  <c r="AR108" i="1"/>
  <c r="AU108" i="1" s="1"/>
  <c r="Z108" i="1"/>
  <c r="BY107" i="1"/>
  <c r="BS107" i="1"/>
  <c r="BR107" i="1"/>
  <c r="BH107" i="1"/>
  <c r="BG107" i="1"/>
  <c r="BJ107" i="1" s="1"/>
  <c r="AS107" i="1"/>
  <c r="AR107" i="1"/>
  <c r="Z107" i="1"/>
  <c r="BY106" i="1"/>
  <c r="BS106" i="1"/>
  <c r="BR106" i="1"/>
  <c r="BH106" i="1"/>
  <c r="BG106" i="1"/>
  <c r="BJ106" i="1" s="1"/>
  <c r="AS106" i="1"/>
  <c r="AR106" i="1"/>
  <c r="Z106" i="1"/>
  <c r="BY105" i="1"/>
  <c r="BS105" i="1"/>
  <c r="BR105" i="1"/>
  <c r="BJ105" i="1"/>
  <c r="BI105" i="1"/>
  <c r="BH105" i="1"/>
  <c r="BG105" i="1"/>
  <c r="BK105" i="1" s="1"/>
  <c r="AV105" i="1"/>
  <c r="AU105" i="1"/>
  <c r="AT105" i="1"/>
  <c r="Z105" i="1"/>
  <c r="AA105" i="1" s="1"/>
  <c r="BY104" i="1"/>
  <c r="BS104" i="1"/>
  <c r="BR104" i="1"/>
  <c r="BH104" i="1"/>
  <c r="BG104" i="1"/>
  <c r="AS104" i="1"/>
  <c r="AR104" i="1"/>
  <c r="AU104" i="1" s="1"/>
  <c r="Z104" i="1"/>
  <c r="BY103" i="1"/>
  <c r="BS103" i="1"/>
  <c r="BR103" i="1"/>
  <c r="BH103" i="1"/>
  <c r="BG103" i="1"/>
  <c r="AS103" i="1"/>
  <c r="AR103" i="1"/>
  <c r="AU103" i="1" s="1"/>
  <c r="Z103" i="1"/>
  <c r="BY102" i="1"/>
  <c r="BS102" i="1"/>
  <c r="BR102" i="1"/>
  <c r="BH102" i="1"/>
  <c r="BG102" i="1"/>
  <c r="AS102" i="1"/>
  <c r="AR102" i="1"/>
  <c r="Z102" i="1"/>
  <c r="BY101" i="1"/>
  <c r="BS101" i="1"/>
  <c r="BR101" i="1"/>
  <c r="BH101" i="1"/>
  <c r="BG101" i="1"/>
  <c r="BJ101" i="1" s="1"/>
  <c r="AV101" i="1"/>
  <c r="AU101" i="1"/>
  <c r="AT101" i="1"/>
  <c r="AS101" i="1"/>
  <c r="Z101" i="1"/>
  <c r="BY100" i="1"/>
  <c r="BS100" i="1"/>
  <c r="BR100" i="1"/>
  <c r="BH100" i="1"/>
  <c r="BG100" i="1"/>
  <c r="BJ100" i="1" s="1"/>
  <c r="AV100" i="1"/>
  <c r="AU100" i="1"/>
  <c r="AT100" i="1"/>
  <c r="AS100" i="1"/>
  <c r="Z100" i="1"/>
  <c r="BY99" i="1"/>
  <c r="BS99" i="1"/>
  <c r="BR99" i="1"/>
  <c r="BH99" i="1"/>
  <c r="BG99" i="1"/>
  <c r="BJ99" i="1" s="1"/>
  <c r="AS99" i="1"/>
  <c r="AR99" i="1"/>
  <c r="Z99" i="1"/>
  <c r="BY98" i="1"/>
  <c r="BS98" i="1"/>
  <c r="BR98" i="1"/>
  <c r="BH98" i="1"/>
  <c r="BG98" i="1"/>
  <c r="AS98" i="1"/>
  <c r="AR98" i="1"/>
  <c r="AU98" i="1" s="1"/>
  <c r="Z98" i="1"/>
  <c r="BY97" i="1"/>
  <c r="BS97" i="1"/>
  <c r="BR97" i="1"/>
  <c r="BH97" i="1"/>
  <c r="BG97" i="1"/>
  <c r="BJ97" i="1" s="1"/>
  <c r="AS97" i="1"/>
  <c r="AR97" i="1"/>
  <c r="Z97" i="1"/>
  <c r="BY96" i="1"/>
  <c r="BS96" i="1"/>
  <c r="BR96" i="1"/>
  <c r="BH96" i="1"/>
  <c r="BG96" i="1"/>
  <c r="BJ96" i="1" s="1"/>
  <c r="AS96" i="1"/>
  <c r="AR96" i="1"/>
  <c r="AU96" i="1" s="1"/>
  <c r="Z96" i="1"/>
  <c r="BY95" i="1"/>
  <c r="BS95" i="1"/>
  <c r="BR95" i="1"/>
  <c r="BH95" i="1"/>
  <c r="BG95" i="1"/>
  <c r="AV95" i="1"/>
  <c r="AU95" i="1"/>
  <c r="AT95" i="1"/>
  <c r="AS95" i="1"/>
  <c r="Z95" i="1"/>
  <c r="BY94" i="1"/>
  <c r="BS94" i="1"/>
  <c r="BR94" i="1"/>
  <c r="BH94" i="1"/>
  <c r="BG94" i="1"/>
  <c r="BJ94" i="1" s="1"/>
  <c r="AS94" i="1"/>
  <c r="AR94" i="1"/>
  <c r="AV94" i="1" s="1"/>
  <c r="Z94" i="1"/>
  <c r="BY93" i="1"/>
  <c r="BS93" i="1"/>
  <c r="BR93" i="1"/>
  <c r="BH93" i="1"/>
  <c r="BG93" i="1"/>
  <c r="BJ93" i="1" s="1"/>
  <c r="AV93" i="1"/>
  <c r="AU93" i="1"/>
  <c r="AT93" i="1"/>
  <c r="AS93" i="1"/>
  <c r="Z93" i="1"/>
  <c r="BY92" i="1"/>
  <c r="BS92" i="1"/>
  <c r="BR92" i="1"/>
  <c r="BH92" i="1"/>
  <c r="BG92" i="1"/>
  <c r="AV92" i="1"/>
  <c r="AU92" i="1"/>
  <c r="AT92" i="1"/>
  <c r="AS92" i="1"/>
  <c r="Z92" i="1"/>
  <c r="BY91" i="1"/>
  <c r="BS91" i="1"/>
  <c r="BR91" i="1"/>
  <c r="BH91" i="1"/>
  <c r="BG91" i="1"/>
  <c r="BJ91" i="1" s="1"/>
  <c r="AS91" i="1"/>
  <c r="AR91" i="1"/>
  <c r="AU91" i="1" s="1"/>
  <c r="Z91" i="1"/>
  <c r="BY90" i="1"/>
  <c r="BS90" i="1"/>
  <c r="BR90" i="1"/>
  <c r="BH90" i="1"/>
  <c r="BG90" i="1"/>
  <c r="AV90" i="1"/>
  <c r="AU90" i="1"/>
  <c r="AT90" i="1"/>
  <c r="AS90" i="1"/>
  <c r="Z90" i="1"/>
  <c r="BY89" i="1"/>
  <c r="BS89" i="1"/>
  <c r="BR89" i="1"/>
  <c r="BJ89" i="1"/>
  <c r="BI89" i="1"/>
  <c r="BH89" i="1"/>
  <c r="BG89" i="1"/>
  <c r="BK89" i="1" s="1"/>
  <c r="AS89" i="1"/>
  <c r="AR89" i="1"/>
  <c r="AU89" i="1" s="1"/>
  <c r="Z89" i="1"/>
  <c r="BY88" i="1"/>
  <c r="BS88" i="1"/>
  <c r="BR88" i="1"/>
  <c r="BH88" i="1"/>
  <c r="BG88" i="1"/>
  <c r="BJ88" i="1" s="1"/>
  <c r="AS88" i="1"/>
  <c r="AR88" i="1"/>
  <c r="AU88" i="1" s="1"/>
  <c r="Z88" i="1"/>
  <c r="BY87" i="1"/>
  <c r="BS87" i="1"/>
  <c r="BR87" i="1"/>
  <c r="BH87" i="1"/>
  <c r="BG87" i="1"/>
  <c r="AS87" i="1"/>
  <c r="AR87" i="1"/>
  <c r="AU87" i="1" s="1"/>
  <c r="Z87" i="1"/>
  <c r="BY86" i="1"/>
  <c r="BS86" i="1"/>
  <c r="BR86" i="1"/>
  <c r="BH86" i="1"/>
  <c r="BG86" i="1"/>
  <c r="BJ86" i="1" s="1"/>
  <c r="AS86" i="1"/>
  <c r="AR86" i="1"/>
  <c r="AU86" i="1" s="1"/>
  <c r="Z86" i="1"/>
  <c r="BY85" i="1"/>
  <c r="BS85" i="1"/>
  <c r="BR85" i="1"/>
  <c r="BH85" i="1"/>
  <c r="BG85" i="1"/>
  <c r="AS85" i="1"/>
  <c r="AR85" i="1"/>
  <c r="AU85" i="1" s="1"/>
  <c r="Z85" i="1"/>
  <c r="BY84" i="1"/>
  <c r="BS84" i="1"/>
  <c r="BR84" i="1"/>
  <c r="BH84" i="1"/>
  <c r="BG84" i="1"/>
  <c r="BJ84" i="1" s="1"/>
  <c r="AS84" i="1"/>
  <c r="AR84" i="1"/>
  <c r="AU84" i="1" s="1"/>
  <c r="Z84" i="1"/>
  <c r="BY83" i="1"/>
  <c r="BS83" i="1"/>
  <c r="BR83" i="1"/>
  <c r="BH83" i="1"/>
  <c r="BG83" i="1"/>
  <c r="AS83" i="1"/>
  <c r="AR83" i="1"/>
  <c r="Z83" i="1"/>
  <c r="BY82" i="1"/>
  <c r="BS82" i="1"/>
  <c r="BR82" i="1"/>
  <c r="BH82" i="1"/>
  <c r="BG82" i="1"/>
  <c r="BJ82" i="1" s="1"/>
  <c r="AV82" i="1"/>
  <c r="AU82" i="1"/>
  <c r="AT82" i="1"/>
  <c r="AS82" i="1"/>
  <c r="Z82" i="1"/>
  <c r="BY81" i="1"/>
  <c r="BS81" i="1"/>
  <c r="BR81" i="1"/>
  <c r="BH81" i="1"/>
  <c r="BG81" i="1"/>
  <c r="BJ81" i="1" s="1"/>
  <c r="AS81" i="1"/>
  <c r="AR81" i="1"/>
  <c r="Z81" i="1"/>
  <c r="BY80" i="1"/>
  <c r="BS80" i="1"/>
  <c r="BR80" i="1"/>
  <c r="BH80" i="1"/>
  <c r="BG80" i="1"/>
  <c r="BJ80" i="1" s="1"/>
  <c r="AS80" i="1"/>
  <c r="AR80" i="1"/>
  <c r="Z80" i="1"/>
  <c r="BY79" i="1"/>
  <c r="BS79" i="1"/>
  <c r="BR79" i="1"/>
  <c r="BJ79" i="1"/>
  <c r="BI79" i="1"/>
  <c r="BH79" i="1"/>
  <c r="BG79" i="1"/>
  <c r="BK79" i="1" s="1"/>
  <c r="AV79" i="1"/>
  <c r="AU79" i="1"/>
  <c r="AT79" i="1"/>
  <c r="AS79" i="1"/>
  <c r="Z79" i="1"/>
  <c r="BY78" i="1"/>
  <c r="BS78" i="1"/>
  <c r="BR78" i="1"/>
  <c r="BH78" i="1"/>
  <c r="BG78" i="1"/>
  <c r="AV78" i="1"/>
  <c r="AU78" i="1"/>
  <c r="AT78" i="1"/>
  <c r="AS78" i="1"/>
  <c r="Z78" i="1"/>
  <c r="BY77" i="1"/>
  <c r="BS77" i="1"/>
  <c r="BR77" i="1"/>
  <c r="BJ77" i="1"/>
  <c r="BI77" i="1"/>
  <c r="BH77" i="1"/>
  <c r="BG77" i="1"/>
  <c r="BK77" i="1" s="1"/>
  <c r="AV77" i="1"/>
  <c r="AU77" i="1"/>
  <c r="AT77" i="1"/>
  <c r="AS77" i="1"/>
  <c r="Z77" i="1"/>
  <c r="BY76" i="1"/>
  <c r="BS76" i="1"/>
  <c r="BR76" i="1"/>
  <c r="BJ76" i="1"/>
  <c r="BI76" i="1"/>
  <c r="BH76" i="1"/>
  <c r="BG76" i="1"/>
  <c r="BK76" i="1" s="1"/>
  <c r="AS76" i="1"/>
  <c r="AR76" i="1"/>
  <c r="Z76" i="1"/>
  <c r="BY75" i="1"/>
  <c r="BS75" i="1"/>
  <c r="BR75" i="1"/>
  <c r="BI75" i="1"/>
  <c r="BH75" i="1"/>
  <c r="BG75" i="1"/>
  <c r="BK75" i="1" s="1"/>
  <c r="AV75" i="1"/>
  <c r="AU75" i="1"/>
  <c r="AT75" i="1"/>
  <c r="AS75" i="1"/>
  <c r="Z75" i="1"/>
  <c r="BY74" i="1"/>
  <c r="BS74" i="1"/>
  <c r="BR74" i="1"/>
  <c r="BH74" i="1"/>
  <c r="BG74" i="1"/>
  <c r="BJ74" i="1" s="1"/>
  <c r="AV74" i="1"/>
  <c r="AU74" i="1"/>
  <c r="AT74" i="1"/>
  <c r="AS74" i="1"/>
  <c r="Z74" i="1"/>
  <c r="BY73" i="1"/>
  <c r="BS73" i="1"/>
  <c r="BR73" i="1"/>
  <c r="BH73" i="1"/>
  <c r="BG73" i="1"/>
  <c r="BJ73" i="1" s="1"/>
  <c r="AV73" i="1"/>
  <c r="AU73" i="1"/>
  <c r="AT73" i="1"/>
  <c r="AS73" i="1"/>
  <c r="Z73" i="1"/>
  <c r="BY72" i="1"/>
  <c r="BS72" i="1"/>
  <c r="BR72" i="1"/>
  <c r="BH72" i="1"/>
  <c r="BG72" i="1"/>
  <c r="BJ72" i="1" s="1"/>
  <c r="AS72" i="1"/>
  <c r="AR72" i="1"/>
  <c r="Z72" i="1"/>
  <c r="BY71" i="1"/>
  <c r="BS71" i="1"/>
  <c r="BR71" i="1"/>
  <c r="BT71" i="1" s="1"/>
  <c r="BJ71" i="1"/>
  <c r="BI71" i="1"/>
  <c r="BH71" i="1"/>
  <c r="BG71" i="1"/>
  <c r="BK71" i="1" s="1"/>
  <c r="AV71" i="1"/>
  <c r="AU71" i="1"/>
  <c r="AT71" i="1"/>
  <c r="AS71" i="1"/>
  <c r="Z71" i="1"/>
  <c r="AB71" i="1" s="1"/>
  <c r="BY70" i="1"/>
  <c r="BS70" i="1"/>
  <c r="BR70" i="1"/>
  <c r="BH70" i="1"/>
  <c r="BG70" i="1"/>
  <c r="AS70" i="1"/>
  <c r="AR70" i="1"/>
  <c r="AU70" i="1" s="1"/>
  <c r="Z70" i="1"/>
  <c r="BY69" i="1"/>
  <c r="BS69" i="1"/>
  <c r="BR69" i="1"/>
  <c r="BH69" i="1"/>
  <c r="BG69" i="1"/>
  <c r="BJ69" i="1" s="1"/>
  <c r="AV69" i="1"/>
  <c r="AU69" i="1"/>
  <c r="AT69" i="1"/>
  <c r="AS69" i="1"/>
  <c r="Z69" i="1"/>
  <c r="AA69" i="1" s="1"/>
  <c r="BY68" i="1"/>
  <c r="BS68" i="1"/>
  <c r="BR68" i="1"/>
  <c r="BJ68" i="1"/>
  <c r="BI68" i="1"/>
  <c r="BH68" i="1"/>
  <c r="BG68" i="1"/>
  <c r="BK68" i="1" s="1"/>
  <c r="AV68" i="1"/>
  <c r="AU68" i="1"/>
  <c r="AT68" i="1"/>
  <c r="AS68" i="1"/>
  <c r="Z68" i="1"/>
  <c r="BY67" i="1"/>
  <c r="BS67" i="1"/>
  <c r="BR67" i="1"/>
  <c r="BH67" i="1"/>
  <c r="BG67" i="1"/>
  <c r="BK67" i="1" s="1"/>
  <c r="AV67" i="1"/>
  <c r="AU67" i="1"/>
  <c r="AT67" i="1"/>
  <c r="AS67" i="1"/>
  <c r="Z67" i="1"/>
  <c r="BY66" i="1"/>
  <c r="BS66" i="1"/>
  <c r="BR66" i="1"/>
  <c r="BJ66" i="1"/>
  <c r="BI66" i="1"/>
  <c r="BH66" i="1"/>
  <c r="BG66" i="1"/>
  <c r="BK66" i="1" s="1"/>
  <c r="AS66" i="1"/>
  <c r="AR66" i="1"/>
  <c r="Z66" i="1"/>
  <c r="BY65" i="1"/>
  <c r="BS65" i="1"/>
  <c r="BR65" i="1"/>
  <c r="BJ65" i="1"/>
  <c r="BI65" i="1"/>
  <c r="BH65" i="1"/>
  <c r="BG65" i="1"/>
  <c r="BK65" i="1" s="1"/>
  <c r="AV65" i="1"/>
  <c r="AU65" i="1"/>
  <c r="AT65" i="1"/>
  <c r="AS65" i="1"/>
  <c r="Z65" i="1"/>
  <c r="BY64" i="1"/>
  <c r="BS64" i="1"/>
  <c r="BR64" i="1"/>
  <c r="BJ64" i="1"/>
  <c r="BI64" i="1"/>
  <c r="BH64" i="1"/>
  <c r="BG64" i="1"/>
  <c r="BK64" i="1" s="1"/>
  <c r="AV64" i="1"/>
  <c r="AU64" i="1"/>
  <c r="AT64" i="1"/>
  <c r="AS64" i="1"/>
  <c r="Z64" i="1"/>
  <c r="BY63" i="1"/>
  <c r="BS63" i="1"/>
  <c r="BR63" i="1"/>
  <c r="BJ63" i="1"/>
  <c r="BI63" i="1"/>
  <c r="BH63" i="1"/>
  <c r="BG63" i="1"/>
  <c r="BK63" i="1" s="1"/>
  <c r="AV63" i="1"/>
  <c r="AU63" i="1"/>
  <c r="AT63" i="1"/>
  <c r="AS63" i="1"/>
  <c r="Z63" i="1"/>
  <c r="BY62" i="1"/>
  <c r="BS62" i="1"/>
  <c r="BR62" i="1"/>
  <c r="BJ62" i="1"/>
  <c r="BI62" i="1"/>
  <c r="BH62" i="1"/>
  <c r="BG62" i="1"/>
  <c r="BK62" i="1" s="1"/>
  <c r="AV62" i="1"/>
  <c r="AU62" i="1"/>
  <c r="AT62" i="1"/>
  <c r="AS62" i="1"/>
  <c r="Z62" i="1"/>
  <c r="BY61" i="1"/>
  <c r="BS61" i="1"/>
  <c r="BR61" i="1"/>
  <c r="BH61" i="1"/>
  <c r="BG61" i="1"/>
  <c r="BJ61" i="1" s="1"/>
  <c r="AS61" i="1"/>
  <c r="AR61" i="1"/>
  <c r="Z61" i="1"/>
  <c r="BY60" i="1"/>
  <c r="BS60" i="1"/>
  <c r="BR60" i="1"/>
  <c r="BJ60" i="1"/>
  <c r="BI60" i="1"/>
  <c r="BH60" i="1"/>
  <c r="BG60" i="1"/>
  <c r="BK60" i="1" s="1"/>
  <c r="AS60" i="1"/>
  <c r="AR60" i="1"/>
  <c r="Z60" i="1"/>
  <c r="BY59" i="1"/>
  <c r="BS59" i="1"/>
  <c r="BR59" i="1"/>
  <c r="BJ59" i="1"/>
  <c r="BI59" i="1"/>
  <c r="BH59" i="1"/>
  <c r="BG59" i="1"/>
  <c r="BK59" i="1" s="1"/>
  <c r="AS59" i="1"/>
  <c r="AR59" i="1"/>
  <c r="AT59" i="1" s="1"/>
  <c r="Z59" i="1"/>
  <c r="BY58" i="1"/>
  <c r="BS58" i="1"/>
  <c r="BR58" i="1"/>
  <c r="BJ58" i="1"/>
  <c r="BI58" i="1"/>
  <c r="BH58" i="1"/>
  <c r="BG58" i="1"/>
  <c r="BK58" i="1" s="1"/>
  <c r="AV58" i="1"/>
  <c r="AU58" i="1"/>
  <c r="AT58" i="1"/>
  <c r="AS58" i="1"/>
  <c r="Z58" i="1"/>
  <c r="BY57" i="1"/>
  <c r="BS57" i="1"/>
  <c r="BR57" i="1"/>
  <c r="BH57" i="1"/>
  <c r="BG57" i="1"/>
  <c r="BJ57" i="1" s="1"/>
  <c r="AV57" i="1"/>
  <c r="AU57" i="1"/>
  <c r="AT57" i="1"/>
  <c r="AS57" i="1"/>
  <c r="Z57" i="1"/>
  <c r="BY56" i="1"/>
  <c r="BS56" i="1"/>
  <c r="BR56" i="1"/>
  <c r="BH56" i="1"/>
  <c r="BG56" i="1"/>
  <c r="AS56" i="1"/>
  <c r="AR56" i="1"/>
  <c r="Z56" i="1"/>
  <c r="BY55" i="1"/>
  <c r="BS55" i="1"/>
  <c r="BR55" i="1"/>
  <c r="BH55" i="1"/>
  <c r="BG55" i="1"/>
  <c r="BJ55" i="1" s="1"/>
  <c r="AS55" i="1"/>
  <c r="AR55" i="1"/>
  <c r="AV55" i="1" s="1"/>
  <c r="Z55" i="1"/>
  <c r="BY54" i="1"/>
  <c r="BS54" i="1"/>
  <c r="BR54" i="1"/>
  <c r="BH54" i="1"/>
  <c r="BG54" i="1"/>
  <c r="AS54" i="1"/>
  <c r="AR54" i="1"/>
  <c r="AU54" i="1" s="1"/>
  <c r="Z54" i="1"/>
  <c r="BY53" i="1"/>
  <c r="BS53" i="1"/>
  <c r="BR53" i="1"/>
  <c r="BJ53" i="1"/>
  <c r="BI53" i="1"/>
  <c r="BH53" i="1"/>
  <c r="BG53" i="1"/>
  <c r="BK53" i="1" s="1"/>
  <c r="AS53" i="1"/>
  <c r="AR53" i="1"/>
  <c r="Z53" i="1"/>
  <c r="BY52" i="1"/>
  <c r="BS52" i="1"/>
  <c r="BR52" i="1"/>
  <c r="BJ52" i="1"/>
  <c r="BI52" i="1"/>
  <c r="BH52" i="1"/>
  <c r="BG52" i="1"/>
  <c r="BK52" i="1" s="1"/>
  <c r="AV52" i="1"/>
  <c r="AU52" i="1"/>
  <c r="AT52" i="1"/>
  <c r="AS52" i="1"/>
  <c r="Z52" i="1"/>
  <c r="BY51" i="1"/>
  <c r="BS51" i="1"/>
  <c r="BR51" i="1"/>
  <c r="BH51" i="1"/>
  <c r="BG51" i="1"/>
  <c r="BJ51" i="1" s="1"/>
  <c r="AS51" i="1"/>
  <c r="AR51" i="1"/>
  <c r="Z51" i="1"/>
  <c r="BY50" i="1"/>
  <c r="BS50" i="1"/>
  <c r="BR50" i="1"/>
  <c r="BH50" i="1"/>
  <c r="BG50" i="1"/>
  <c r="AS50" i="1"/>
  <c r="AR50" i="1"/>
  <c r="Z50" i="1"/>
  <c r="BY49" i="1"/>
  <c r="BS49" i="1"/>
  <c r="BR49" i="1"/>
  <c r="BJ49" i="1"/>
  <c r="BI49" i="1"/>
  <c r="BH49" i="1"/>
  <c r="BG49" i="1"/>
  <c r="BK49" i="1" s="1"/>
  <c r="AS49" i="1"/>
  <c r="AR49" i="1"/>
  <c r="Z49" i="1"/>
  <c r="BY48" i="1"/>
  <c r="BS48" i="1"/>
  <c r="BR48" i="1"/>
  <c r="BJ48" i="1"/>
  <c r="BI48" i="1"/>
  <c r="BH48" i="1"/>
  <c r="BG48" i="1"/>
  <c r="BK48" i="1" s="1"/>
  <c r="AS48" i="1"/>
  <c r="AR48" i="1"/>
  <c r="AV48" i="1" s="1"/>
  <c r="Z48" i="1"/>
  <c r="BY47" i="1"/>
  <c r="BS47" i="1"/>
  <c r="BR47" i="1"/>
  <c r="BH47" i="1"/>
  <c r="BG47" i="1"/>
  <c r="BJ47" i="1" s="1"/>
  <c r="AS47" i="1"/>
  <c r="AR47" i="1"/>
  <c r="Z47" i="1"/>
  <c r="BY46" i="1"/>
  <c r="BS46" i="1"/>
  <c r="BR46" i="1"/>
  <c r="BH46" i="1"/>
  <c r="BG46" i="1"/>
  <c r="AS46" i="1"/>
  <c r="AR46" i="1"/>
  <c r="Z46" i="1"/>
  <c r="BY45" i="1"/>
  <c r="BS45" i="1"/>
  <c r="BR45" i="1"/>
  <c r="BH45" i="1"/>
  <c r="BG45" i="1"/>
  <c r="AS45" i="1"/>
  <c r="AR45" i="1"/>
  <c r="AV45" i="1" s="1"/>
  <c r="Z45" i="1"/>
  <c r="BY44" i="1"/>
  <c r="BS44" i="1"/>
  <c r="BR44" i="1"/>
  <c r="BH44" i="1"/>
  <c r="BG44" i="1"/>
  <c r="AS44" i="1"/>
  <c r="AR44" i="1"/>
  <c r="Z44" i="1"/>
  <c r="BY43" i="1"/>
  <c r="BS43" i="1"/>
  <c r="BR43" i="1"/>
  <c r="BH43" i="1"/>
  <c r="BG43" i="1"/>
  <c r="BJ43" i="1" s="1"/>
  <c r="AS43" i="1"/>
  <c r="AR43" i="1"/>
  <c r="Z43" i="1"/>
  <c r="BY42" i="1"/>
  <c r="BS42" i="1"/>
  <c r="BR42" i="1"/>
  <c r="BH42" i="1"/>
  <c r="BG42" i="1"/>
  <c r="AS42" i="1"/>
  <c r="AR42" i="1"/>
  <c r="AV42" i="1" s="1"/>
  <c r="Z42" i="1"/>
  <c r="BY41" i="1"/>
  <c r="BS41" i="1"/>
  <c r="BR41" i="1"/>
  <c r="BH41" i="1"/>
  <c r="BG41" i="1"/>
  <c r="AS41" i="1"/>
  <c r="AR41" i="1"/>
  <c r="Z41" i="1"/>
  <c r="BY40" i="1"/>
  <c r="BS40" i="1"/>
  <c r="BR40" i="1"/>
  <c r="BH40" i="1"/>
  <c r="BG40" i="1"/>
  <c r="AV40" i="1"/>
  <c r="AU40" i="1"/>
  <c r="Z40" i="1"/>
  <c r="AA40" i="1" s="1"/>
  <c r="BY39" i="1"/>
  <c r="BS39" i="1"/>
  <c r="BR39" i="1"/>
  <c r="BH39" i="1"/>
  <c r="BG39" i="1"/>
  <c r="AS39" i="1"/>
  <c r="AR39" i="1"/>
  <c r="AV39" i="1" s="1"/>
  <c r="Z39" i="1"/>
  <c r="BY38" i="1"/>
  <c r="BS38" i="1"/>
  <c r="BR38" i="1"/>
  <c r="BH38" i="1"/>
  <c r="BG38" i="1"/>
  <c r="AS38" i="1"/>
  <c r="AR38" i="1"/>
  <c r="AU38" i="1" s="1"/>
  <c r="Z38" i="1"/>
  <c r="BY37" i="1"/>
  <c r="BS37" i="1"/>
  <c r="BR37" i="1"/>
  <c r="BH37" i="1"/>
  <c r="BG37" i="1"/>
  <c r="AS37" i="1"/>
  <c r="AR37" i="1"/>
  <c r="AU37" i="1" s="1"/>
  <c r="Z37" i="1"/>
  <c r="BY36" i="1"/>
  <c r="BS36" i="1"/>
  <c r="BR36" i="1"/>
  <c r="BH36" i="1"/>
  <c r="BG36" i="1"/>
  <c r="AS36" i="1"/>
  <c r="AR36" i="1"/>
  <c r="AV36" i="1" s="1"/>
  <c r="Z36" i="1"/>
  <c r="AA36" i="1" s="1"/>
  <c r="BY35" i="1"/>
  <c r="BS35" i="1"/>
  <c r="BR35" i="1"/>
  <c r="BH35" i="1"/>
  <c r="BG35" i="1"/>
  <c r="BJ35" i="1" s="1"/>
  <c r="AS35" i="1"/>
  <c r="AR35" i="1"/>
  <c r="AU35" i="1" s="1"/>
  <c r="Z35" i="1"/>
  <c r="BY34" i="1"/>
  <c r="BS34" i="1"/>
  <c r="BR34" i="1"/>
  <c r="BH34" i="1"/>
  <c r="BG34" i="1"/>
  <c r="BJ34" i="1" s="1"/>
  <c r="AS34" i="1"/>
  <c r="AR34" i="1"/>
  <c r="AU34" i="1" s="1"/>
  <c r="Z34" i="1"/>
  <c r="BY33" i="1"/>
  <c r="BS33" i="1"/>
  <c r="BR33" i="1"/>
  <c r="BJ33" i="1"/>
  <c r="BI33" i="1"/>
  <c r="BH33" i="1"/>
  <c r="BG33" i="1"/>
  <c r="BK33" i="1" s="1"/>
  <c r="AS33" i="1"/>
  <c r="AR33" i="1"/>
  <c r="AU33" i="1" s="1"/>
  <c r="Z33" i="1"/>
  <c r="BY32" i="1"/>
  <c r="BS32" i="1"/>
  <c r="BR32" i="1"/>
  <c r="BH32" i="1"/>
  <c r="BG32" i="1"/>
  <c r="BJ32" i="1" s="1"/>
  <c r="AV32" i="1"/>
  <c r="AU32" i="1"/>
  <c r="AT32" i="1"/>
  <c r="AS32" i="1"/>
  <c r="Z32" i="1"/>
  <c r="BY31" i="1"/>
  <c r="BS31" i="1"/>
  <c r="BR31" i="1"/>
  <c r="BH31" i="1"/>
  <c r="BG31" i="1"/>
  <c r="BK31" i="1" s="1"/>
  <c r="AS31" i="1"/>
  <c r="AR31" i="1"/>
  <c r="AU31" i="1" s="1"/>
  <c r="Z31" i="1"/>
  <c r="AA31" i="1" s="1"/>
  <c r="BY30" i="1"/>
  <c r="BS30" i="1"/>
  <c r="BR30" i="1"/>
  <c r="BJ30" i="1"/>
  <c r="BI30" i="1"/>
  <c r="BH30" i="1"/>
  <c r="BG30" i="1"/>
  <c r="BK30" i="1" s="1"/>
  <c r="AS30" i="1"/>
  <c r="AR30" i="1"/>
  <c r="AU30" i="1" s="1"/>
  <c r="Z30" i="1"/>
  <c r="BY29" i="1"/>
  <c r="BS29" i="1"/>
  <c r="BR29" i="1"/>
  <c r="BH29" i="1"/>
  <c r="BG29" i="1"/>
  <c r="AS29" i="1"/>
  <c r="AR29" i="1"/>
  <c r="Z29" i="1"/>
  <c r="BY28" i="1"/>
  <c r="BS28" i="1"/>
  <c r="BR28" i="1"/>
  <c r="BJ28" i="1"/>
  <c r="BI28" i="1"/>
  <c r="BH28" i="1"/>
  <c r="BG28" i="1"/>
  <c r="BK28" i="1" s="1"/>
  <c r="AV28" i="1"/>
  <c r="AU28" i="1"/>
  <c r="AT28" i="1"/>
  <c r="AS28" i="1"/>
  <c r="Z28" i="1"/>
  <c r="BY27" i="1"/>
  <c r="BS27" i="1"/>
  <c r="BR27" i="1"/>
  <c r="BH27" i="1"/>
  <c r="BG27" i="1"/>
  <c r="BJ27" i="1" s="1"/>
  <c r="AS27" i="1"/>
  <c r="AR27" i="1"/>
  <c r="Z27" i="1"/>
  <c r="BY26" i="1"/>
  <c r="BS26" i="1"/>
  <c r="BR26" i="1"/>
  <c r="BH26" i="1"/>
  <c r="BG26" i="1"/>
  <c r="BJ26" i="1" s="1"/>
  <c r="AS26" i="1"/>
  <c r="AR26" i="1"/>
  <c r="AV26" i="1" s="1"/>
  <c r="Z26" i="1"/>
  <c r="BY25" i="1"/>
  <c r="BS25" i="1"/>
  <c r="BR25" i="1"/>
  <c r="BH25" i="1"/>
  <c r="BG25" i="1"/>
  <c r="BJ25" i="1" s="1"/>
  <c r="AV25" i="1"/>
  <c r="AU25" i="1"/>
  <c r="Z25" i="1"/>
  <c r="AA25" i="1" s="1"/>
  <c r="BY24" i="1"/>
  <c r="BS24" i="1"/>
  <c r="BR24" i="1"/>
  <c r="BH24" i="1"/>
  <c r="BG24" i="1"/>
  <c r="BJ24" i="1" s="1"/>
  <c r="AS24" i="1"/>
  <c r="AR24" i="1"/>
  <c r="AU24" i="1" s="1"/>
  <c r="Z24" i="1"/>
  <c r="BY23" i="1"/>
  <c r="BS23" i="1"/>
  <c r="BR23" i="1"/>
  <c r="BH23" i="1"/>
  <c r="BG23" i="1"/>
  <c r="BK23" i="1" s="1"/>
  <c r="AS23" i="1"/>
  <c r="AR23" i="1"/>
  <c r="AU23" i="1" s="1"/>
  <c r="Z23" i="1"/>
  <c r="BY22" i="1"/>
  <c r="BS22" i="1"/>
  <c r="BR22" i="1"/>
  <c r="BH22" i="1"/>
  <c r="BG22" i="1"/>
  <c r="BJ22" i="1" s="1"/>
  <c r="AS22" i="1"/>
  <c r="AR22" i="1"/>
  <c r="AU22" i="1" s="1"/>
  <c r="Z22" i="1"/>
  <c r="BY21" i="1"/>
  <c r="BS21" i="1"/>
  <c r="BR21" i="1"/>
  <c r="BJ21" i="1"/>
  <c r="BI21" i="1"/>
  <c r="BH21" i="1"/>
  <c r="BG21" i="1"/>
  <c r="BK21" i="1" s="1"/>
  <c r="AS21" i="1"/>
  <c r="AR21" i="1"/>
  <c r="Z21" i="1"/>
  <c r="BY20" i="1"/>
  <c r="BS20" i="1"/>
  <c r="BR20" i="1"/>
  <c r="BH20" i="1"/>
  <c r="BG20" i="1"/>
  <c r="BJ20" i="1" s="1"/>
  <c r="AS20" i="1"/>
  <c r="AR20" i="1"/>
  <c r="AU20" i="1" s="1"/>
  <c r="Z20" i="1"/>
  <c r="AA20" i="1" s="1"/>
  <c r="BY19" i="1"/>
  <c r="BS19" i="1"/>
  <c r="BR19" i="1"/>
  <c r="BH19" i="1"/>
  <c r="BG19" i="1"/>
  <c r="AS19" i="1"/>
  <c r="AR19" i="1"/>
  <c r="Z19" i="1"/>
  <c r="BY18" i="1"/>
  <c r="BS18" i="1"/>
  <c r="BR18" i="1"/>
  <c r="BH18" i="1"/>
  <c r="BG18" i="1"/>
  <c r="BJ18" i="1" s="1"/>
  <c r="AS18" i="1"/>
  <c r="AR18" i="1"/>
  <c r="AU18" i="1" s="1"/>
  <c r="Z18" i="1"/>
  <c r="BY17" i="1"/>
  <c r="BS17" i="1"/>
  <c r="BR17" i="1"/>
  <c r="BH17" i="1"/>
  <c r="BG17" i="1"/>
  <c r="BK17" i="1" s="1"/>
  <c r="AS17" i="1"/>
  <c r="AR17" i="1"/>
  <c r="Z17" i="1"/>
  <c r="BY16" i="1"/>
  <c r="BS16" i="1"/>
  <c r="BR16" i="1"/>
  <c r="BH16" i="1"/>
  <c r="BG16" i="1"/>
  <c r="BJ16" i="1" s="1"/>
  <c r="AS16" i="1"/>
  <c r="AR16" i="1"/>
  <c r="AU16" i="1" s="1"/>
  <c r="Z16" i="1"/>
  <c r="BY15" i="1"/>
  <c r="BS15" i="1"/>
  <c r="BR15" i="1"/>
  <c r="BH15" i="1"/>
  <c r="BG15" i="1"/>
  <c r="AS15" i="1"/>
  <c r="AR15" i="1"/>
  <c r="Z15" i="1"/>
  <c r="BY14" i="1"/>
  <c r="BS14" i="1"/>
  <c r="BR14" i="1"/>
  <c r="BH14" i="1"/>
  <c r="BG14" i="1"/>
  <c r="BJ14" i="1" s="1"/>
  <c r="AS14" i="1"/>
  <c r="AR14" i="1"/>
  <c r="AU14" i="1" s="1"/>
  <c r="Z14" i="1"/>
  <c r="BY13" i="1"/>
  <c r="BS13" i="1"/>
  <c r="BR13" i="1"/>
  <c r="BH13" i="1"/>
  <c r="BG13" i="1"/>
  <c r="AS13" i="1"/>
  <c r="AR13" i="1"/>
  <c r="AV13" i="1" s="1"/>
  <c r="Z13" i="1"/>
  <c r="BY12" i="1"/>
  <c r="BS12" i="1"/>
  <c r="BR12" i="1"/>
  <c r="BH12" i="1"/>
  <c r="BG12" i="1"/>
  <c r="BJ12" i="1" s="1"/>
  <c r="AS12" i="1"/>
  <c r="AR12" i="1"/>
  <c r="AU12" i="1" s="1"/>
  <c r="Z12" i="1"/>
  <c r="BY11" i="1"/>
  <c r="BS11" i="1"/>
  <c r="BR11" i="1"/>
  <c r="BH11" i="1"/>
  <c r="BG11" i="1"/>
  <c r="AS11" i="1"/>
  <c r="AR11" i="1"/>
  <c r="AV11" i="1" s="1"/>
  <c r="Z11" i="1"/>
  <c r="BY10" i="1"/>
  <c r="BS10" i="1"/>
  <c r="BR10" i="1"/>
  <c r="BH10" i="1"/>
  <c r="BG10" i="1"/>
  <c r="BJ10" i="1" s="1"/>
  <c r="AS10" i="1"/>
  <c r="AR10" i="1"/>
  <c r="AU10" i="1" s="1"/>
  <c r="Z10" i="1"/>
  <c r="BY9" i="1"/>
  <c r="BS9" i="1"/>
  <c r="BR9" i="1"/>
  <c r="BH9" i="1"/>
  <c r="BG9" i="1"/>
  <c r="AS9" i="1"/>
  <c r="AR9" i="1"/>
  <c r="Z9" i="1"/>
  <c r="BY8" i="1"/>
  <c r="BS8" i="1"/>
  <c r="BR8" i="1"/>
  <c r="BH8" i="1"/>
  <c r="BG8" i="1"/>
  <c r="BJ8" i="1" s="1"/>
  <c r="AS8" i="1"/>
  <c r="AR8" i="1"/>
  <c r="AU8" i="1" s="1"/>
  <c r="Z8" i="1"/>
  <c r="BY7" i="1"/>
  <c r="BS7" i="1"/>
  <c r="BR7" i="1"/>
  <c r="BH7" i="1"/>
  <c r="BG7" i="1"/>
  <c r="AS7" i="1"/>
  <c r="AR7" i="1"/>
  <c r="Z7" i="1"/>
  <c r="BY6" i="1"/>
  <c r="BS6" i="1"/>
  <c r="BR6" i="1"/>
  <c r="BH6" i="1"/>
  <c r="BG6" i="1"/>
  <c r="BJ6" i="1" s="1"/>
  <c r="AS6" i="1"/>
  <c r="AR6" i="1"/>
  <c r="AU6" i="1" s="1"/>
  <c r="Z6" i="1"/>
  <c r="AA6" i="1" s="1"/>
  <c r="BY5" i="1"/>
  <c r="BS5" i="1"/>
  <c r="BR5" i="1"/>
  <c r="BH5" i="1"/>
  <c r="BG5" i="1"/>
  <c r="AS5" i="1"/>
  <c r="AR5" i="1"/>
  <c r="AU5" i="1" s="1"/>
  <c r="Z5" i="1"/>
  <c r="BY4" i="1"/>
  <c r="BS4" i="1"/>
  <c r="BR4" i="1"/>
  <c r="BH4" i="1"/>
  <c r="BG4" i="1"/>
  <c r="BJ4" i="1" s="1"/>
  <c r="AS4" i="1"/>
  <c r="AR4" i="1"/>
  <c r="Z4" i="1"/>
  <c r="BY3" i="1"/>
  <c r="BS3" i="1"/>
  <c r="BR3" i="1"/>
  <c r="BH3" i="1"/>
  <c r="BG3" i="1"/>
  <c r="AS3" i="1"/>
  <c r="AR3" i="1"/>
  <c r="AU3" i="1" s="1"/>
  <c r="Z3" i="1"/>
  <c r="BY2" i="1"/>
  <c r="BS2" i="1"/>
  <c r="BR2" i="1"/>
  <c r="BH2" i="1"/>
  <c r="BG2" i="1"/>
  <c r="BJ2" i="1" s="1"/>
  <c r="AS2" i="1"/>
  <c r="AR2" i="1"/>
  <c r="AU2" i="1" s="1"/>
  <c r="Z2" i="1"/>
  <c r="AA24" i="1" l="1"/>
  <c r="AA159" i="1"/>
  <c r="AB158" i="1"/>
  <c r="AV203" i="1"/>
  <c r="AA80" i="1"/>
  <c r="BT257" i="1"/>
  <c r="BI274" i="1"/>
  <c r="AA292" i="1"/>
  <c r="AA296" i="1"/>
  <c r="AA316" i="1"/>
  <c r="BK9" i="1"/>
  <c r="BT111" i="1"/>
  <c r="AA142" i="1"/>
  <c r="AA226" i="1"/>
  <c r="AA233" i="1"/>
  <c r="AT296" i="1"/>
  <c r="AT316" i="1"/>
  <c r="L18" i="5"/>
  <c r="AA291" i="1"/>
  <c r="BT296" i="1"/>
  <c r="AA59" i="1"/>
  <c r="AA182" i="1"/>
  <c r="BI208" i="1"/>
  <c r="AB208" i="1" s="1"/>
  <c r="BI227" i="1"/>
  <c r="AB227" i="1" s="1"/>
  <c r="AE227" i="1" s="1"/>
  <c r="AT144" i="1"/>
  <c r="AA150" i="1"/>
  <c r="BT180" i="1"/>
  <c r="AV46" i="1"/>
  <c r="AV50" i="1"/>
  <c r="AV125" i="1"/>
  <c r="AB159" i="1"/>
  <c r="BT160" i="1"/>
  <c r="AA257" i="1"/>
  <c r="BT261" i="1"/>
  <c r="BT269" i="1"/>
  <c r="BK279" i="1"/>
  <c r="AT145" i="1"/>
  <c r="BT175" i="1"/>
  <c r="AV33" i="1"/>
  <c r="BI286" i="1"/>
  <c r="AB286" i="1" s="1"/>
  <c r="AT310" i="1"/>
  <c r="BT332" i="1"/>
  <c r="AE208" i="1"/>
  <c r="AT162" i="1"/>
  <c r="BK3" i="1"/>
  <c r="AA15" i="1"/>
  <c r="AV126" i="1"/>
  <c r="BT127" i="1"/>
  <c r="BK191" i="1"/>
  <c r="AA193" i="1"/>
  <c r="BT302" i="1"/>
  <c r="BT305" i="1"/>
  <c r="AT315" i="1"/>
  <c r="AV27" i="1"/>
  <c r="BT29" i="1"/>
  <c r="BT88" i="1"/>
  <c r="BK92" i="1"/>
  <c r="BI135" i="1"/>
  <c r="AB135" i="1" s="1"/>
  <c r="BT174" i="1"/>
  <c r="AA176" i="1"/>
  <c r="BI186" i="1"/>
  <c r="AB186" i="1" s="1"/>
  <c r="AA208" i="1"/>
  <c r="AT212" i="1"/>
  <c r="BK254" i="1"/>
  <c r="AA303" i="1"/>
  <c r="AA321" i="1"/>
  <c r="AT330" i="1"/>
  <c r="L35" i="5"/>
  <c r="AV24" i="1"/>
  <c r="BK39" i="1"/>
  <c r="BJ75" i="1"/>
  <c r="AA79" i="1"/>
  <c r="AV109" i="1"/>
  <c r="AV117" i="1"/>
  <c r="BT129" i="1"/>
  <c r="BK186" i="1"/>
  <c r="AV208" i="1"/>
  <c r="BI224" i="1"/>
  <c r="AB224" i="1" s="1"/>
  <c r="AA259" i="1"/>
  <c r="AT303" i="1"/>
  <c r="BT304" i="1"/>
  <c r="L24" i="5"/>
  <c r="L15" i="5"/>
  <c r="BK8" i="1"/>
  <c r="BT183" i="1"/>
  <c r="AA41" i="1"/>
  <c r="BK131" i="1"/>
  <c r="AA140" i="1"/>
  <c r="BK176" i="1"/>
  <c r="AV211" i="1"/>
  <c r="BI256" i="1"/>
  <c r="AB256" i="1" s="1"/>
  <c r="BT17" i="1"/>
  <c r="AV19" i="1"/>
  <c r="AA22" i="1"/>
  <c r="AB52" i="1"/>
  <c r="AA97" i="1"/>
  <c r="AA152" i="1"/>
  <c r="BT159" i="1"/>
  <c r="AA187" i="1"/>
  <c r="AA194" i="1"/>
  <c r="AA4" i="1"/>
  <c r="BK13" i="1"/>
  <c r="AV60" i="1"/>
  <c r="BK90" i="1"/>
  <c r="BT124" i="1"/>
  <c r="AT152" i="1"/>
  <c r="AV248" i="1"/>
  <c r="BT282" i="1"/>
  <c r="AA305" i="1"/>
  <c r="BT310" i="1"/>
  <c r="I21" i="5"/>
  <c r="BK12" i="1"/>
  <c r="BI29" i="1"/>
  <c r="AB29" i="1" s="1"/>
  <c r="BK82" i="1"/>
  <c r="BT152" i="1"/>
  <c r="BI20" i="1"/>
  <c r="AB20" i="1" s="1"/>
  <c r="AE20" i="1" s="1"/>
  <c r="BT21" i="1"/>
  <c r="AV9" i="1"/>
  <c r="AT21" i="1"/>
  <c r="BK70" i="1"/>
  <c r="AA110" i="1"/>
  <c r="BT143" i="1"/>
  <c r="BT172" i="1"/>
  <c r="AT197" i="1"/>
  <c r="BT227" i="1"/>
  <c r="AA232" i="1"/>
  <c r="BI281" i="1"/>
  <c r="AA294" i="1"/>
  <c r="BI305" i="1"/>
  <c r="AB305" i="1" s="1"/>
  <c r="AA7" i="1"/>
  <c r="BI193" i="1"/>
  <c r="AT282" i="1"/>
  <c r="AT289" i="1"/>
  <c r="BI4" i="1"/>
  <c r="AB4" i="1" s="1"/>
  <c r="BK126" i="1"/>
  <c r="AV61" i="1"/>
  <c r="AA95" i="1"/>
  <c r="BJ147" i="1"/>
  <c r="BT248" i="1"/>
  <c r="BT252" i="1"/>
  <c r="BK268" i="1"/>
  <c r="AA278" i="1"/>
  <c r="AU279" i="1"/>
  <c r="AA284" i="1"/>
  <c r="BT289" i="1"/>
  <c r="BI293" i="1"/>
  <c r="AB293" i="1" s="1"/>
  <c r="AB21" i="1"/>
  <c r="BT33" i="1"/>
  <c r="BI36" i="1"/>
  <c r="AB36" i="1" s="1"/>
  <c r="AE36" i="1" s="1"/>
  <c r="BT40" i="1"/>
  <c r="AB68" i="1"/>
  <c r="AA86" i="1"/>
  <c r="AT99" i="1"/>
  <c r="AT107" i="1"/>
  <c r="BI120" i="1"/>
  <c r="AB120" i="1" s="1"/>
  <c r="AV149" i="1"/>
  <c r="BT166" i="1"/>
  <c r="BI180" i="1"/>
  <c r="AB180" i="1" s="1"/>
  <c r="BK264" i="1"/>
  <c r="AB281" i="1"/>
  <c r="BK297" i="1"/>
  <c r="BK300" i="1"/>
  <c r="BT321" i="1"/>
  <c r="AB330" i="1"/>
  <c r="BI6" i="1"/>
  <c r="AB6" i="1" s="1"/>
  <c r="AE6" i="1" s="1"/>
  <c r="AU9" i="1"/>
  <c r="AU13" i="1"/>
  <c r="AA33" i="1"/>
  <c r="AT35" i="1"/>
  <c r="BJ39" i="1"/>
  <c r="AU59" i="1"/>
  <c r="BK128" i="1"/>
  <c r="AV138" i="1"/>
  <c r="BI142" i="1"/>
  <c r="AB142" i="1" s="1"/>
  <c r="AA155" i="1"/>
  <c r="BI165" i="1"/>
  <c r="AV190" i="1"/>
  <c r="BI191" i="1"/>
  <c r="AB191" i="1" s="1"/>
  <c r="AA221" i="1"/>
  <c r="AT250" i="1"/>
  <c r="BK259" i="1"/>
  <c r="AT292" i="1"/>
  <c r="BI328" i="1"/>
  <c r="AB328" i="1" s="1"/>
  <c r="BT204" i="1"/>
  <c r="BT44" i="1"/>
  <c r="BI178" i="1"/>
  <c r="AB178" i="1" s="1"/>
  <c r="BT197" i="1"/>
  <c r="AV3" i="1"/>
  <c r="BT27" i="1"/>
  <c r="BI272" i="1"/>
  <c r="AB272" i="1" s="1"/>
  <c r="BI282" i="1"/>
  <c r="AB282" i="1" s="1"/>
  <c r="AB64" i="1"/>
  <c r="AA78" i="1"/>
  <c r="BI91" i="1"/>
  <c r="BI97" i="1"/>
  <c r="AB97" i="1" s="1"/>
  <c r="BI124" i="1"/>
  <c r="BK157" i="1"/>
  <c r="AA262" i="1"/>
  <c r="BT265" i="1"/>
  <c r="AA275" i="1"/>
  <c r="AT6" i="1"/>
  <c r="BK22" i="1"/>
  <c r="BI132" i="1"/>
  <c r="AA5" i="1"/>
  <c r="BT10" i="1"/>
  <c r="BT25" i="1"/>
  <c r="BK57" i="1"/>
  <c r="BK78" i="1"/>
  <c r="AA98" i="1"/>
  <c r="AA109" i="1"/>
  <c r="AT126" i="1"/>
  <c r="AA137" i="1"/>
  <c r="AV141" i="1"/>
  <c r="BT146" i="1"/>
  <c r="AA148" i="1"/>
  <c r="BK152" i="1"/>
  <c r="AT161" i="1"/>
  <c r="BT162" i="1"/>
  <c r="AT190" i="1"/>
  <c r="BK198" i="1"/>
  <c r="AA200" i="1"/>
  <c r="BK208" i="1"/>
  <c r="AA218" i="1"/>
  <c r="BK230" i="1"/>
  <c r="BI234" i="1"/>
  <c r="AB234" i="1" s="1"/>
  <c r="BK246" i="1"/>
  <c r="BI279" i="1"/>
  <c r="AA290" i="1"/>
  <c r="AA299" i="1"/>
  <c r="BT300" i="1"/>
  <c r="BT331" i="1"/>
  <c r="BT2" i="1"/>
  <c r="BK5" i="1"/>
  <c r="AT33" i="1"/>
  <c r="AT34" i="1"/>
  <c r="AA37" i="1"/>
  <c r="BT42" i="1"/>
  <c r="AT44" i="1"/>
  <c r="AB59" i="1"/>
  <c r="AA63" i="1"/>
  <c r="AE63" i="1" s="1"/>
  <c r="AA65" i="1"/>
  <c r="AE65" i="1" s="1"/>
  <c r="AV66" i="1"/>
  <c r="BT90" i="1"/>
  <c r="BI94" i="1"/>
  <c r="BT99" i="1"/>
  <c r="BT119" i="1"/>
  <c r="AA121" i="1"/>
  <c r="BT123" i="1"/>
  <c r="BT165" i="1"/>
  <c r="AT189" i="1"/>
  <c r="AT203" i="1"/>
  <c r="BT239" i="1"/>
  <c r="BK261" i="1"/>
  <c r="AA298" i="1"/>
  <c r="BI299" i="1"/>
  <c r="AB299" i="1" s="1"/>
  <c r="L31" i="5"/>
  <c r="BK16" i="1"/>
  <c r="AT27" i="1"/>
  <c r="AA66" i="1"/>
  <c r="AA114" i="1"/>
  <c r="AU125" i="1"/>
  <c r="AV137" i="1"/>
  <c r="AV200" i="1"/>
  <c r="L32" i="5"/>
  <c r="L10" i="5"/>
  <c r="BT9" i="1"/>
  <c r="BT13" i="1"/>
  <c r="BI44" i="1"/>
  <c r="AT121" i="1"/>
  <c r="AV147" i="1"/>
  <c r="BT208" i="1"/>
  <c r="BT238" i="1"/>
  <c r="BT324" i="1"/>
  <c r="AT326" i="1"/>
  <c r="AA119" i="1"/>
  <c r="BI228" i="1"/>
  <c r="AB228" i="1" s="1"/>
  <c r="L22" i="5"/>
  <c r="AA129" i="1"/>
  <c r="BT155" i="1"/>
  <c r="AT31" i="1"/>
  <c r="AB220" i="1"/>
  <c r="BT114" i="1"/>
  <c r="BK206" i="1"/>
  <c r="BI289" i="1"/>
  <c r="AB289" i="1" s="1"/>
  <c r="BK313" i="1"/>
  <c r="AB63" i="1"/>
  <c r="BT140" i="1"/>
  <c r="L7" i="5"/>
  <c r="BI19" i="1"/>
  <c r="AB19" i="1" s="1"/>
  <c r="BI34" i="1"/>
  <c r="AB34" i="1" s="1"/>
  <c r="BI85" i="1"/>
  <c r="BK88" i="1"/>
  <c r="BI102" i="1"/>
  <c r="BI109" i="1"/>
  <c r="BI148" i="1"/>
  <c r="BI207" i="1"/>
  <c r="AB207" i="1" s="1"/>
  <c r="BI291" i="1"/>
  <c r="AB291" i="1" s="1"/>
  <c r="AE291" i="1" s="1"/>
  <c r="BK310" i="1"/>
  <c r="BT211" i="1"/>
  <c r="BK55" i="1"/>
  <c r="AA281" i="1"/>
  <c r="BI7" i="1"/>
  <c r="AB7" i="1" s="1"/>
  <c r="BJ92" i="1"/>
  <c r="AT195" i="1"/>
  <c r="BI196" i="1"/>
  <c r="AB196" i="1" s="1"/>
  <c r="AA264" i="1"/>
  <c r="AA297" i="1"/>
  <c r="AT312" i="1"/>
  <c r="BI50" i="1"/>
  <c r="AB50" i="1" s="1"/>
  <c r="BI101" i="1"/>
  <c r="BK129" i="1"/>
  <c r="BT167" i="1"/>
  <c r="AB188" i="1"/>
  <c r="AB75" i="1"/>
  <c r="AT128" i="1"/>
  <c r="BK135" i="1"/>
  <c r="BI139" i="1"/>
  <c r="BK34" i="1"/>
  <c r="BI200" i="1"/>
  <c r="AB200" i="1" s="1"/>
  <c r="BT287" i="1"/>
  <c r="BI15" i="1"/>
  <c r="AB15" i="1" s="1"/>
  <c r="AB66" i="1"/>
  <c r="AE66" i="1" s="1"/>
  <c r="AT184" i="1"/>
  <c r="BI217" i="1"/>
  <c r="AB217" i="1" s="1"/>
  <c r="AA231" i="1"/>
  <c r="BI304" i="1"/>
  <c r="AB304" i="1" s="1"/>
  <c r="BI55" i="1"/>
  <c r="AB55" i="1" s="1"/>
  <c r="BT151" i="1"/>
  <c r="BK26" i="1"/>
  <c r="BI46" i="1"/>
  <c r="AB46" i="1" s="1"/>
  <c r="AB65" i="1"/>
  <c r="AA271" i="1"/>
  <c r="AA17" i="1"/>
  <c r="AE17" i="1" s="1"/>
  <c r="BT55" i="1"/>
  <c r="AV59" i="1"/>
  <c r="BI80" i="1"/>
  <c r="AA145" i="1"/>
  <c r="AA173" i="1"/>
  <c r="AT2" i="1"/>
  <c r="AA9" i="1"/>
  <c r="AA13" i="1"/>
  <c r="AT70" i="1"/>
  <c r="BT84" i="1"/>
  <c r="AV131" i="1"/>
  <c r="BK177" i="1"/>
  <c r="AU222" i="1"/>
  <c r="AV6" i="1"/>
  <c r="AT10" i="1"/>
  <c r="AT14" i="1"/>
  <c r="BT19" i="1"/>
  <c r="BI38" i="1"/>
  <c r="BK38" i="1"/>
  <c r="BJ38" i="1"/>
  <c r="BT67" i="1"/>
  <c r="BI95" i="1"/>
  <c r="BI99" i="1"/>
  <c r="AB99" i="1" s="1"/>
  <c r="BT101" i="1"/>
  <c r="BT109" i="1"/>
  <c r="BI201" i="1"/>
  <c r="AB201" i="1" s="1"/>
  <c r="AV216" i="1"/>
  <c r="BT224" i="1"/>
  <c r="BI238" i="1"/>
  <c r="AB238" i="1" s="1"/>
  <c r="AA241" i="1"/>
  <c r="BI246" i="1"/>
  <c r="AB246" i="1" s="1"/>
  <c r="AA249" i="1"/>
  <c r="BJ255" i="1"/>
  <c r="BI260" i="1"/>
  <c r="AB260" i="1" s="1"/>
  <c r="BT270" i="1"/>
  <c r="BI273" i="1"/>
  <c r="AB273" i="1" s="1"/>
  <c r="BT274" i="1"/>
  <c r="AA276" i="1"/>
  <c r="AA286" i="1"/>
  <c r="AE286" i="1" s="1"/>
  <c r="BI297" i="1"/>
  <c r="AB297" i="1" s="1"/>
  <c r="AE297" i="1" s="1"/>
  <c r="BT298" i="1"/>
  <c r="BI312" i="1"/>
  <c r="AB312" i="1" s="1"/>
  <c r="AU316" i="1"/>
  <c r="BT7" i="1"/>
  <c r="AT9" i="1"/>
  <c r="AV14" i="1"/>
  <c r="AT17" i="1"/>
  <c r="AU17" i="1"/>
  <c r="BI18" i="1"/>
  <c r="AB18" i="1" s="1"/>
  <c r="AA21" i="1"/>
  <c r="BT28" i="1"/>
  <c r="AB30" i="1"/>
  <c r="BT35" i="1"/>
  <c r="AV41" i="1"/>
  <c r="AV44" i="1"/>
  <c r="BK61" i="1"/>
  <c r="BT100" i="1"/>
  <c r="BK133" i="1"/>
  <c r="BJ146" i="1"/>
  <c r="BK146" i="1"/>
  <c r="BI177" i="1"/>
  <c r="AA190" i="1"/>
  <c r="BI192" i="1"/>
  <c r="AB192" i="1" s="1"/>
  <c r="BK196" i="1"/>
  <c r="AT200" i="1"/>
  <c r="BI209" i="1"/>
  <c r="AB209" i="1" s="1"/>
  <c r="BT251" i="1"/>
  <c r="AA258" i="1"/>
  <c r="AA267" i="1"/>
  <c r="BK269" i="1"/>
  <c r="BT277" i="1"/>
  <c r="AT304" i="1"/>
  <c r="BI311" i="1"/>
  <c r="AB311" i="1" s="1"/>
  <c r="BI321" i="1"/>
  <c r="AB321" i="1" s="1"/>
  <c r="AE321" i="1" s="1"/>
  <c r="L4" i="5"/>
  <c r="I9" i="5"/>
  <c r="BK6" i="1"/>
  <c r="AV17" i="1"/>
  <c r="BT38" i="1"/>
  <c r="BI57" i="1"/>
  <c r="BT62" i="1"/>
  <c r="BT64" i="1"/>
  <c r="BT65" i="1"/>
  <c r="AV70" i="1"/>
  <c r="AA90" i="1"/>
  <c r="BI92" i="1"/>
  <c r="AB92" i="1" s="1"/>
  <c r="AB105" i="1"/>
  <c r="AE105" i="1" s="1"/>
  <c r="AA125" i="1"/>
  <c r="AT125" i="1"/>
  <c r="AT149" i="1"/>
  <c r="BI160" i="1"/>
  <c r="BT164" i="1"/>
  <c r="BI176" i="1"/>
  <c r="AB176" i="1" s="1"/>
  <c r="BK219" i="1"/>
  <c r="BI268" i="1"/>
  <c r="AB268" i="1" s="1"/>
  <c r="BT301" i="1"/>
  <c r="BI47" i="1"/>
  <c r="AB47" i="1" s="1"/>
  <c r="AT299" i="1"/>
  <c r="BI310" i="1"/>
  <c r="BI83" i="1"/>
  <c r="AB83" i="1" s="1"/>
  <c r="BT113" i="1"/>
  <c r="BT122" i="1"/>
  <c r="BI141" i="1"/>
  <c r="AB141" i="1" s="1"/>
  <c r="AT4" i="1"/>
  <c r="AT29" i="1"/>
  <c r="BT41" i="1"/>
  <c r="AA43" i="1"/>
  <c r="BT53" i="1"/>
  <c r="BT57" i="1"/>
  <c r="AA73" i="1"/>
  <c r="AV89" i="1"/>
  <c r="BI121" i="1"/>
  <c r="AB121" i="1" s="1"/>
  <c r="AT124" i="1"/>
  <c r="AT131" i="1"/>
  <c r="AU135" i="1"/>
  <c r="AV140" i="1"/>
  <c r="BI144" i="1"/>
  <c r="AB144" i="1" s="1"/>
  <c r="BT145" i="1"/>
  <c r="AU165" i="1"/>
  <c r="AV165" i="1"/>
  <c r="BI167" i="1"/>
  <c r="AB167" i="1" s="1"/>
  <c r="BT200" i="1"/>
  <c r="BT219" i="1"/>
  <c r="BI225" i="1"/>
  <c r="AB225" i="1" s="1"/>
  <c r="AE225" i="1" s="1"/>
  <c r="BT237" i="1"/>
  <c r="BK241" i="1"/>
  <c r="BT258" i="1"/>
  <c r="AB263" i="1"/>
  <c r="AT266" i="1"/>
  <c r="AA312" i="1"/>
  <c r="AE312" i="1" s="1"/>
  <c r="BI318" i="1"/>
  <c r="AB318" i="1" s="1"/>
  <c r="BK318" i="1"/>
  <c r="BT320" i="1"/>
  <c r="AT36" i="1"/>
  <c r="AT39" i="1"/>
  <c r="BI40" i="1"/>
  <c r="AB40" i="1" s="1"/>
  <c r="AE40" i="1" s="1"/>
  <c r="BT47" i="1"/>
  <c r="AB76" i="1"/>
  <c r="BK106" i="1"/>
  <c r="BI106" i="1"/>
  <c r="AB106" i="1" s="1"/>
  <c r="AU109" i="1"/>
  <c r="BI111" i="1"/>
  <c r="AB111" i="1" s="1"/>
  <c r="BT112" i="1"/>
  <c r="BT116" i="1"/>
  <c r="BI119" i="1"/>
  <c r="AB119" i="1" s="1"/>
  <c r="AE119" i="1" s="1"/>
  <c r="AU124" i="1"/>
  <c r="AV134" i="1"/>
  <c r="AT139" i="1"/>
  <c r="BT179" i="1"/>
  <c r="BT231" i="1"/>
  <c r="BI252" i="1"/>
  <c r="BI267" i="1"/>
  <c r="AB267" i="1" s="1"/>
  <c r="BT315" i="1"/>
  <c r="BI323" i="1"/>
  <c r="AB323" i="1" s="1"/>
  <c r="AE323" i="1" s="1"/>
  <c r="AB329" i="1"/>
  <c r="AB331" i="1"/>
  <c r="I17" i="5"/>
  <c r="L17" i="5"/>
  <c r="BK56" i="1"/>
  <c r="BJ56" i="1"/>
  <c r="AT12" i="1"/>
  <c r="BI56" i="1"/>
  <c r="BJ199" i="1"/>
  <c r="BK199" i="1"/>
  <c r="BT30" i="1"/>
  <c r="AA32" i="1"/>
  <c r="AA34" i="1"/>
  <c r="AA61" i="1"/>
  <c r="BT86" i="1"/>
  <c r="BK97" i="1"/>
  <c r="BT106" i="1"/>
  <c r="BK109" i="1"/>
  <c r="BK120" i="1"/>
  <c r="AT123" i="1"/>
  <c r="AV123" i="1"/>
  <c r="AU123" i="1"/>
  <c r="BK189" i="1"/>
  <c r="BI202" i="1"/>
  <c r="AV210" i="1"/>
  <c r="BK221" i="1"/>
  <c r="BI240" i="1"/>
  <c r="AB240" i="1" s="1"/>
  <c r="AE240" i="1" s="1"/>
  <c r="AB279" i="1"/>
  <c r="BJ281" i="1"/>
  <c r="AA287" i="1"/>
  <c r="BT290" i="1"/>
  <c r="BK323" i="1"/>
  <c r="AU4" i="1"/>
  <c r="AV4" i="1"/>
  <c r="BT14" i="1"/>
  <c r="BI157" i="1"/>
  <c r="AB157" i="1" s="1"/>
  <c r="BT187" i="1"/>
  <c r="BI241" i="1"/>
  <c r="AB241" i="1" s="1"/>
  <c r="AE241" i="1" s="1"/>
  <c r="AB85" i="1"/>
  <c r="BT6" i="1"/>
  <c r="AT16" i="1"/>
  <c r="BI112" i="1"/>
  <c r="BI212" i="1"/>
  <c r="AB212" i="1" s="1"/>
  <c r="AU238" i="1"/>
  <c r="AV238" i="1"/>
  <c r="BK298" i="1"/>
  <c r="BJ298" i="1"/>
  <c r="BT43" i="1"/>
  <c r="AT54" i="1"/>
  <c r="BI67" i="1"/>
  <c r="AB67" i="1" s="1"/>
  <c r="BT69" i="1"/>
  <c r="BI104" i="1"/>
  <c r="AB104" i="1" s="1"/>
  <c r="BT115" i="1"/>
  <c r="AV129" i="1"/>
  <c r="BI155" i="1"/>
  <c r="AB155" i="1" s="1"/>
  <c r="AE155" i="1" s="1"/>
  <c r="AA158" i="1"/>
  <c r="AE158" i="1" s="1"/>
  <c r="BK170" i="1"/>
  <c r="BK193" i="1"/>
  <c r="AT220" i="1"/>
  <c r="AT254" i="1"/>
  <c r="AB274" i="1"/>
  <c r="BI317" i="1"/>
  <c r="AB317" i="1" s="1"/>
  <c r="AT18" i="1"/>
  <c r="BT24" i="1"/>
  <c r="AA26" i="1"/>
  <c r="BI27" i="1"/>
  <c r="AB27" i="1" s="1"/>
  <c r="AT72" i="1"/>
  <c r="BI73" i="1"/>
  <c r="AB73" i="1" s="1"/>
  <c r="AE73" i="1" s="1"/>
  <c r="BT82" i="1"/>
  <c r="BK123" i="1"/>
  <c r="BK130" i="1"/>
  <c r="AT133" i="1"/>
  <c r="BK134" i="1"/>
  <c r="BK165" i="1"/>
  <c r="AT173" i="1"/>
  <c r="BT178" i="1"/>
  <c r="BI255" i="1"/>
  <c r="BT266" i="1"/>
  <c r="AU276" i="1"/>
  <c r="AV276" i="1"/>
  <c r="BT280" i="1"/>
  <c r="AA311" i="1"/>
  <c r="AA8" i="1"/>
  <c r="BI51" i="1"/>
  <c r="BI35" i="1"/>
  <c r="BK35" i="1"/>
  <c r="AE209" i="1"/>
  <c r="BI14" i="1"/>
  <c r="AB14" i="1" s="1"/>
  <c r="BI22" i="1"/>
  <c r="AB22" i="1" s="1"/>
  <c r="AE22" i="1" s="1"/>
  <c r="BT23" i="1"/>
  <c r="AV31" i="1"/>
  <c r="BT36" i="1"/>
  <c r="AV38" i="1"/>
  <c r="BI43" i="1"/>
  <c r="AB43" i="1" s="1"/>
  <c r="AE43" i="1" s="1"/>
  <c r="AB58" i="1"/>
  <c r="BT66" i="1"/>
  <c r="AA70" i="1"/>
  <c r="BI74" i="1"/>
  <c r="AB74" i="1" s="1"/>
  <c r="BT79" i="1"/>
  <c r="AA81" i="1"/>
  <c r="BI82" i="1"/>
  <c r="AB82" i="1" s="1"/>
  <c r="AE82" i="1" s="1"/>
  <c r="AV85" i="1"/>
  <c r="BK93" i="1"/>
  <c r="BT94" i="1"/>
  <c r="BT105" i="1"/>
  <c r="BI108" i="1"/>
  <c r="AB108" i="1" s="1"/>
  <c r="AA123" i="1"/>
  <c r="AA127" i="1"/>
  <c r="BI129" i="1"/>
  <c r="AB129" i="1" s="1"/>
  <c r="BT130" i="1"/>
  <c r="BT136" i="1"/>
  <c r="BK139" i="1"/>
  <c r="BT141" i="1"/>
  <c r="BT161" i="1"/>
  <c r="BT170" i="1"/>
  <c r="AA172" i="1"/>
  <c r="BK185" i="1"/>
  <c r="BT191" i="1"/>
  <c r="AV194" i="1"/>
  <c r="BT202" i="1"/>
  <c r="AA204" i="1"/>
  <c r="AA222" i="1"/>
  <c r="BI245" i="1"/>
  <c r="AB245" i="1" s="1"/>
  <c r="AT253" i="1"/>
  <c r="BI254" i="1"/>
  <c r="AB254" i="1" s="1"/>
  <c r="BT262" i="1"/>
  <c r="AA265" i="1"/>
  <c r="BT273" i="1"/>
  <c r="BT278" i="1"/>
  <c r="AT283" i="1"/>
  <c r="BT312" i="1"/>
  <c r="L16" i="5"/>
  <c r="AT20" i="1"/>
  <c r="BT22" i="1"/>
  <c r="BI25" i="1"/>
  <c r="BT26" i="1"/>
  <c r="AA45" i="1"/>
  <c r="BT46" i="1"/>
  <c r="AB62" i="1"/>
  <c r="BT74" i="1"/>
  <c r="BT75" i="1"/>
  <c r="BT91" i="1"/>
  <c r="BI107" i="1"/>
  <c r="AB107" i="1" s="1"/>
  <c r="BT108" i="1"/>
  <c r="AB112" i="1"/>
  <c r="BI114" i="1"/>
  <c r="AB114" i="1" s="1"/>
  <c r="AE114" i="1" s="1"/>
  <c r="BT118" i="1"/>
  <c r="BK127" i="1"/>
  <c r="BT134" i="1"/>
  <c r="AA141" i="1"/>
  <c r="AE141" i="1" s="1"/>
  <c r="BT153" i="1"/>
  <c r="AT198" i="1"/>
  <c r="AV209" i="1"/>
  <c r="AA243" i="1"/>
  <c r="AA252" i="1"/>
  <c r="BI259" i="1"/>
  <c r="AB259" i="1" s="1"/>
  <c r="AE259" i="1" s="1"/>
  <c r="AA280" i="1"/>
  <c r="BK287" i="1"/>
  <c r="AA289" i="1"/>
  <c r="AA306" i="1"/>
  <c r="AB320" i="1"/>
  <c r="AE320" i="1" s="1"/>
  <c r="AB324" i="1"/>
  <c r="AA331" i="1"/>
  <c r="BI8" i="1"/>
  <c r="AB8" i="1" s="1"/>
  <c r="BI12" i="1"/>
  <c r="AB12" i="1" s="1"/>
  <c r="BT32" i="1"/>
  <c r="BI42" i="1"/>
  <c r="AB42" i="1" s="1"/>
  <c r="BK45" i="1"/>
  <c r="AA53" i="1"/>
  <c r="BT81" i="1"/>
  <c r="AT84" i="1"/>
  <c r="AB89" i="1"/>
  <c r="BT92" i="1"/>
  <c r="AV96" i="1"/>
  <c r="BT98" i="1"/>
  <c r="AA100" i="1"/>
  <c r="BK125" i="1"/>
  <c r="BI126" i="1"/>
  <c r="AT137" i="1"/>
  <c r="BT139" i="1"/>
  <c r="BK156" i="1"/>
  <c r="BT157" i="1"/>
  <c r="AA165" i="1"/>
  <c r="AA170" i="1"/>
  <c r="BK172" i="1"/>
  <c r="BT181" i="1"/>
  <c r="AT187" i="1"/>
  <c r="BT189" i="1"/>
  <c r="BT201" i="1"/>
  <c r="BK227" i="1"/>
  <c r="AB233" i="1"/>
  <c r="AE233" i="1" s="1"/>
  <c r="BI239" i="1"/>
  <c r="AB239" i="1" s="1"/>
  <c r="BT240" i="1"/>
  <c r="BI244" i="1"/>
  <c r="AB244" i="1" s="1"/>
  <c r="AE244" i="1" s="1"/>
  <c r="AA256" i="1"/>
  <c r="AE256" i="1" s="1"/>
  <c r="AA263" i="1"/>
  <c r="BT267" i="1"/>
  <c r="AV274" i="1"/>
  <c r="BT276" i="1"/>
  <c r="AA279" i="1"/>
  <c r="BT299" i="1"/>
  <c r="BK308" i="1"/>
  <c r="BT309" i="1"/>
  <c r="AA330" i="1"/>
  <c r="AE330" i="1" s="1"/>
  <c r="I3" i="5"/>
  <c r="BT4" i="1"/>
  <c r="BK11" i="1"/>
  <c r="BT12" i="1"/>
  <c r="AA14" i="1"/>
  <c r="BK19" i="1"/>
  <c r="BT20" i="1"/>
  <c r="AA23" i="1"/>
  <c r="BK29" i="1"/>
  <c r="BK41" i="1"/>
  <c r="BK44" i="1"/>
  <c r="AA47" i="1"/>
  <c r="AE47" i="1" s="1"/>
  <c r="BT49" i="1"/>
  <c r="AB53" i="1"/>
  <c r="AA60" i="1"/>
  <c r="AT76" i="1"/>
  <c r="AA82" i="1"/>
  <c r="BT89" i="1"/>
  <c r="AV99" i="1"/>
  <c r="BT102" i="1"/>
  <c r="BI113" i="1"/>
  <c r="AB113" i="1" s="1"/>
  <c r="BT117" i="1"/>
  <c r="BI122" i="1"/>
  <c r="AB122" i="1" s="1"/>
  <c r="AE122" i="1" s="1"/>
  <c r="BT126" i="1"/>
  <c r="AV135" i="1"/>
  <c r="BT147" i="1"/>
  <c r="BT176" i="1"/>
  <c r="AA211" i="1"/>
  <c r="AV212" i="1"/>
  <c r="BI213" i="1"/>
  <c r="AB213" i="1" s="1"/>
  <c r="BT226" i="1"/>
  <c r="AA230" i="1"/>
  <c r="BK251" i="1"/>
  <c r="BT275" i="1"/>
  <c r="AB290" i="1"/>
  <c r="AE290" i="1" s="1"/>
  <c r="BT292" i="1"/>
  <c r="AT305" i="1"/>
  <c r="BT319" i="1"/>
  <c r="AT323" i="1"/>
  <c r="BI332" i="1"/>
  <c r="BY333" i="1"/>
  <c r="I33" i="5"/>
  <c r="BT11" i="1"/>
  <c r="BT96" i="1"/>
  <c r="AT103" i="1"/>
  <c r="BI115" i="1"/>
  <c r="AB115" i="1" s="1"/>
  <c r="AU157" i="1"/>
  <c r="AT157" i="1"/>
  <c r="AA160" i="1"/>
  <c r="AU177" i="1"/>
  <c r="AV177" i="1"/>
  <c r="BI179" i="1"/>
  <c r="AB179" i="1" s="1"/>
  <c r="BK190" i="1"/>
  <c r="BJ190" i="1"/>
  <c r="BI211" i="1"/>
  <c r="AB211" i="1" s="1"/>
  <c r="AT288" i="1"/>
  <c r="AA288" i="1"/>
  <c r="BJ316" i="1"/>
  <c r="BK316" i="1"/>
  <c r="AU81" i="1"/>
  <c r="AV81" i="1"/>
  <c r="AV35" i="1"/>
  <c r="AU99" i="1"/>
  <c r="BK121" i="1"/>
  <c r="AT199" i="1"/>
  <c r="AV199" i="1"/>
  <c r="AU199" i="1"/>
  <c r="BJ202" i="1"/>
  <c r="AE212" i="1"/>
  <c r="AB28" i="1"/>
  <c r="AB101" i="1"/>
  <c r="AU127" i="1"/>
  <c r="AV127" i="1"/>
  <c r="AB132" i="1"/>
  <c r="AV173" i="1"/>
  <c r="AU173" i="1"/>
  <c r="AV204" i="1"/>
  <c r="AU204" i="1"/>
  <c r="BI205" i="1"/>
  <c r="AB205" i="1" s="1"/>
  <c r="BK205" i="1"/>
  <c r="AU229" i="1"/>
  <c r="AV229" i="1"/>
  <c r="BT5" i="1"/>
  <c r="AT50" i="1"/>
  <c r="BI131" i="1"/>
  <c r="AB131" i="1" s="1"/>
  <c r="AV215" i="1"/>
  <c r="AT215" i="1"/>
  <c r="BI221" i="1"/>
  <c r="AB221" i="1" s="1"/>
  <c r="AA247" i="1"/>
  <c r="BI284" i="1"/>
  <c r="AB284" i="1" s="1"/>
  <c r="BK302" i="1"/>
  <c r="BJ302" i="1"/>
  <c r="BT317" i="1"/>
  <c r="AT7" i="1"/>
  <c r="AV7" i="1"/>
  <c r="AU7" i="1"/>
  <c r="AV22" i="1"/>
  <c r="AU39" i="1"/>
  <c r="AA2" i="1"/>
  <c r="AT3" i="1"/>
  <c r="AV10" i="1"/>
  <c r="BI11" i="1"/>
  <c r="AB11" i="1" s="1"/>
  <c r="AV16" i="1"/>
  <c r="BK18" i="1"/>
  <c r="BJ29" i="1"/>
  <c r="BT31" i="1"/>
  <c r="BT37" i="1"/>
  <c r="AT42" i="1"/>
  <c r="AT46" i="1"/>
  <c r="BT48" i="1"/>
  <c r="AB51" i="1"/>
  <c r="BT54" i="1"/>
  <c r="AA57" i="1"/>
  <c r="AA58" i="1"/>
  <c r="BI61" i="1"/>
  <c r="AB61" i="1" s="1"/>
  <c r="AA72" i="1"/>
  <c r="BK74" i="1"/>
  <c r="BI84" i="1"/>
  <c r="AB84" i="1" s="1"/>
  <c r="BK95" i="1"/>
  <c r="BK99" i="1"/>
  <c r="BK101" i="1"/>
  <c r="AU122" i="1"/>
  <c r="AV122" i="1"/>
  <c r="BK132" i="1"/>
  <c r="AV139" i="1"/>
  <c r="BK141" i="1"/>
  <c r="AV162" i="1"/>
  <c r="AV179" i="1"/>
  <c r="AT179" i="1"/>
  <c r="AA179" i="1"/>
  <c r="BK180" i="1"/>
  <c r="BK184" i="1"/>
  <c r="BI184" i="1"/>
  <c r="AB184" i="1" s="1"/>
  <c r="AE184" i="1" s="1"/>
  <c r="AA195" i="1"/>
  <c r="BI198" i="1"/>
  <c r="BJ212" i="1"/>
  <c r="BK212" i="1"/>
  <c r="AA215" i="1"/>
  <c r="BK216" i="1"/>
  <c r="BJ216" i="1"/>
  <c r="BI216" i="1"/>
  <c r="AB216" i="1" s="1"/>
  <c r="AV222" i="1"/>
  <c r="BT245" i="1"/>
  <c r="AT264" i="1"/>
  <c r="AT271" i="1"/>
  <c r="BK277" i="1"/>
  <c r="BK291" i="1"/>
  <c r="AV2" i="1"/>
  <c r="BI3" i="1"/>
  <c r="AB3" i="1" s="1"/>
  <c r="AV8" i="1"/>
  <c r="BK10" i="1"/>
  <c r="BK15" i="1"/>
  <c r="AU21" i="1"/>
  <c r="AT22" i="1"/>
  <c r="AV23" i="1"/>
  <c r="BI24" i="1"/>
  <c r="AB24" i="1" s="1"/>
  <c r="AE24" i="1" s="1"/>
  <c r="AA35" i="1"/>
  <c r="AA39" i="1"/>
  <c r="AV49" i="1"/>
  <c r="BK50" i="1"/>
  <c r="BT51" i="1"/>
  <c r="BT52" i="1"/>
  <c r="AV56" i="1"/>
  <c r="AU56" i="1"/>
  <c r="BT61" i="1"/>
  <c r="BT76" i="1"/>
  <c r="BI88" i="1"/>
  <c r="AB88" i="1" s="1"/>
  <c r="BT95" i="1"/>
  <c r="AA99" i="1"/>
  <c r="AV103" i="1"/>
  <c r="AA112" i="1"/>
  <c r="BK124" i="1"/>
  <c r="BJ124" i="1"/>
  <c r="BT128" i="1"/>
  <c r="BJ148" i="1"/>
  <c r="BK148" i="1"/>
  <c r="BT150" i="1"/>
  <c r="BT154" i="1"/>
  <c r="AV188" i="1"/>
  <c r="AT188" i="1"/>
  <c r="AV193" i="1"/>
  <c r="AU193" i="1"/>
  <c r="BI195" i="1"/>
  <c r="AB195" i="1" s="1"/>
  <c r="BK195" i="1"/>
  <c r="BJ195" i="1"/>
  <c r="AT207" i="1"/>
  <c r="BJ215" i="1"/>
  <c r="BI215" i="1"/>
  <c r="AB215" i="1" s="1"/>
  <c r="BT216" i="1"/>
  <c r="BJ220" i="1"/>
  <c r="AT225" i="1"/>
  <c r="AU225" i="1"/>
  <c r="AU248" i="1"/>
  <c r="BI261" i="1"/>
  <c r="AT275" i="1"/>
  <c r="AV282" i="1"/>
  <c r="AA332" i="1"/>
  <c r="AV21" i="1"/>
  <c r="BK24" i="1"/>
  <c r="AA38" i="1"/>
  <c r="AE38" i="1" s="1"/>
  <c r="BJ90" i="1"/>
  <c r="AV157" i="1"/>
  <c r="BK220" i="1"/>
  <c r="BJ249" i="1"/>
  <c r="BI302" i="1"/>
  <c r="AB302" i="1" s="1"/>
  <c r="BI2" i="1"/>
  <c r="AB2" i="1" s="1"/>
  <c r="AA12" i="1"/>
  <c r="BT16" i="1"/>
  <c r="AT19" i="1"/>
  <c r="AU19" i="1"/>
  <c r="AV20" i="1"/>
  <c r="AA28" i="1"/>
  <c r="AA29" i="1"/>
  <c r="AE29" i="1" s="1"/>
  <c r="AT38" i="1"/>
  <c r="BI41" i="1"/>
  <c r="AB41" i="1" s="1"/>
  <c r="AE41" i="1" s="1"/>
  <c r="BI45" i="1"/>
  <c r="AB45" i="1" s="1"/>
  <c r="AB57" i="1"/>
  <c r="AT60" i="1"/>
  <c r="BK69" i="1"/>
  <c r="BI72" i="1"/>
  <c r="AB72" i="1" s="1"/>
  <c r="BT73" i="1"/>
  <c r="AB79" i="1"/>
  <c r="AE79" i="1" s="1"/>
  <c r="AT81" i="1"/>
  <c r="AE97" i="1"/>
  <c r="AA101" i="1"/>
  <c r="AV102" i="1"/>
  <c r="AU102" i="1"/>
  <c r="AA107" i="1"/>
  <c r="AT108" i="1"/>
  <c r="BK122" i="1"/>
  <c r="BI123" i="1"/>
  <c r="AB123" i="1" s="1"/>
  <c r="AE123" i="1" s="1"/>
  <c r="AA133" i="1"/>
  <c r="AA135" i="1"/>
  <c r="AV144" i="1"/>
  <c r="BI152" i="1"/>
  <c r="AB152" i="1" s="1"/>
  <c r="BJ152" i="1"/>
  <c r="BI172" i="1"/>
  <c r="AB172" i="1" s="1"/>
  <c r="BJ189" i="1"/>
  <c r="AV214" i="1"/>
  <c r="AU214" i="1"/>
  <c r="AA245" i="1"/>
  <c r="AV245" i="1"/>
  <c r="AT268" i="1"/>
  <c r="AA268" i="1"/>
  <c r="BK274" i="1"/>
  <c r="BJ274" i="1"/>
  <c r="BI295" i="1"/>
  <c r="AB332" i="1"/>
  <c r="AT15" i="1"/>
  <c r="AV15" i="1"/>
  <c r="AU15" i="1"/>
  <c r="AV72" i="1"/>
  <c r="AU72" i="1"/>
  <c r="AV83" i="1"/>
  <c r="AU83" i="1"/>
  <c r="BJ179" i="1"/>
  <c r="BK179" i="1"/>
  <c r="BK204" i="1"/>
  <c r="BJ204" i="1"/>
  <c r="BJ271" i="1"/>
  <c r="BI271" i="1"/>
  <c r="AB271" i="1" s="1"/>
  <c r="AE271" i="1" s="1"/>
  <c r="BK271" i="1"/>
  <c r="AV288" i="1"/>
  <c r="AU288" i="1"/>
  <c r="BI303" i="1"/>
  <c r="AB303" i="1" s="1"/>
  <c r="AE303" i="1" s="1"/>
  <c r="BK303" i="1"/>
  <c r="BJ67" i="1"/>
  <c r="BJ103" i="1"/>
  <c r="BK103" i="1"/>
  <c r="BK161" i="1"/>
  <c r="BI189" i="1"/>
  <c r="AB189" i="1" s="1"/>
  <c r="AE189" i="1" s="1"/>
  <c r="AU207" i="1"/>
  <c r="BJ261" i="1"/>
  <c r="BK283" i="1"/>
  <c r="BJ283" i="1"/>
  <c r="BT3" i="1"/>
  <c r="BK2" i="1"/>
  <c r="BK7" i="1"/>
  <c r="BT15" i="1"/>
  <c r="AA18" i="1"/>
  <c r="AA19" i="1"/>
  <c r="AA27" i="1"/>
  <c r="AV29" i="1"/>
  <c r="AU29" i="1"/>
  <c r="AT37" i="1"/>
  <c r="BJ41" i="1"/>
  <c r="BJ45" i="1"/>
  <c r="AT48" i="1"/>
  <c r="BT50" i="1"/>
  <c r="AB56" i="1"/>
  <c r="AU60" i="1"/>
  <c r="BT70" i="1"/>
  <c r="AA77" i="1"/>
  <c r="AB94" i="1"/>
  <c r="AB95" i="1"/>
  <c r="AV107" i="1"/>
  <c r="AU117" i="1"/>
  <c r="AA131" i="1"/>
  <c r="BI145" i="1"/>
  <c r="AB145" i="1" s="1"/>
  <c r="BI146" i="1"/>
  <c r="AB146" i="1" s="1"/>
  <c r="AB160" i="1"/>
  <c r="AV181" i="1"/>
  <c r="AU181" i="1"/>
  <c r="AU186" i="1"/>
  <c r="BT195" i="1"/>
  <c r="AA201" i="1"/>
  <c r="BT215" i="1"/>
  <c r="AT232" i="1"/>
  <c r="AA237" i="1"/>
  <c r="AT245" i="1"/>
  <c r="BT249" i="1"/>
  <c r="AV268" i="1"/>
  <c r="BJ282" i="1"/>
  <c r="BK282" i="1"/>
  <c r="AT286" i="1"/>
  <c r="BJ295" i="1"/>
  <c r="BJ301" i="1"/>
  <c r="BK301" i="1"/>
  <c r="BK327" i="1"/>
  <c r="BK4" i="1"/>
  <c r="BI10" i="1"/>
  <c r="AB10" i="1" s="1"/>
  <c r="AA113" i="1"/>
  <c r="AU142" i="1"/>
  <c r="AT142" i="1"/>
  <c r="AT181" i="1"/>
  <c r="AA181" i="1"/>
  <c r="AB198" i="1"/>
  <c r="BT8" i="1"/>
  <c r="AT11" i="1"/>
  <c r="AU11" i="1"/>
  <c r="AV12" i="1"/>
  <c r="BK14" i="1"/>
  <c r="BK20" i="1"/>
  <c r="AU27" i="1"/>
  <c r="BI31" i="1"/>
  <c r="AB31" i="1" s="1"/>
  <c r="AE31" i="1" s="1"/>
  <c r="AV34" i="1"/>
  <c r="AB35" i="1"/>
  <c r="AU36" i="1"/>
  <c r="AV37" i="1"/>
  <c r="AT61" i="1"/>
  <c r="AA67" i="1"/>
  <c r="AA93" i="1"/>
  <c r="AT96" i="1"/>
  <c r="AB102" i="1"/>
  <c r="AT106" i="1"/>
  <c r="BK107" i="1"/>
  <c r="AV132" i="1"/>
  <c r="AU132" i="1"/>
  <c r="BK137" i="1"/>
  <c r="BJ137" i="1"/>
  <c r="BI171" i="1"/>
  <c r="AB171" i="1" s="1"/>
  <c r="BJ192" i="1"/>
  <c r="BK192" i="1"/>
  <c r="BI194" i="1"/>
  <c r="AB194" i="1" s="1"/>
  <c r="AE194" i="1" s="1"/>
  <c r="AA198" i="1"/>
  <c r="AT205" i="1"/>
  <c r="AA205" i="1"/>
  <c r="AU213" i="1"/>
  <c r="AV213" i="1"/>
  <c r="AU217" i="1"/>
  <c r="BJ246" i="1"/>
  <c r="BT260" i="1"/>
  <c r="AA272" i="1"/>
  <c r="AE272" i="1" s="1"/>
  <c r="BJ273" i="1"/>
  <c r="BK273" i="1"/>
  <c r="AA277" i="1"/>
  <c r="AT285" i="1"/>
  <c r="AU311" i="1"/>
  <c r="AV311" i="1"/>
  <c r="BJ327" i="1"/>
  <c r="AA49" i="1"/>
  <c r="AV97" i="1"/>
  <c r="AU97" i="1"/>
  <c r="AU251" i="1"/>
  <c r="AV251" i="1"/>
  <c r="AV256" i="1"/>
  <c r="AU256" i="1"/>
  <c r="AT256" i="1"/>
  <c r="AA10" i="1"/>
  <c r="AE10" i="1" s="1"/>
  <c r="AA11" i="1"/>
  <c r="AA16" i="1"/>
  <c r="AV18" i="1"/>
  <c r="BJ31" i="1"/>
  <c r="BK32" i="1"/>
  <c r="BI37" i="1"/>
  <c r="AB37" i="1" s="1"/>
  <c r="AE37" i="1" s="1"/>
  <c r="BK37" i="1"/>
  <c r="BJ37" i="1"/>
  <c r="AB48" i="1"/>
  <c r="AV51" i="1"/>
  <c r="BK54" i="1"/>
  <c r="BJ54" i="1"/>
  <c r="AU61" i="1"/>
  <c r="AA64" i="1"/>
  <c r="AE64" i="1" s="1"/>
  <c r="AB80" i="1"/>
  <c r="AE80" i="1" s="1"/>
  <c r="AT94" i="1"/>
  <c r="AT97" i="1"/>
  <c r="AB109" i="1"/>
  <c r="BJ111" i="1"/>
  <c r="BK111" i="1"/>
  <c r="AB124" i="1"/>
  <c r="AV128" i="1"/>
  <c r="AU128" i="1"/>
  <c r="AT129" i="1"/>
  <c r="AV133" i="1"/>
  <c r="AV142" i="1"/>
  <c r="BK144" i="1"/>
  <c r="BK151" i="1"/>
  <c r="BJ151" i="1"/>
  <c r="BJ155" i="1"/>
  <c r="BK155" i="1"/>
  <c r="BK175" i="1"/>
  <c r="AV205" i="1"/>
  <c r="BJ217" i="1"/>
  <c r="BK217" i="1"/>
  <c r="BJ224" i="1"/>
  <c r="AA310" i="1"/>
  <c r="AV310" i="1"/>
  <c r="BT328" i="1"/>
  <c r="BT329" i="1"/>
  <c r="AT8" i="1"/>
  <c r="BT168" i="1"/>
  <c r="AT178" i="1"/>
  <c r="AA178" i="1"/>
  <c r="AT248" i="1"/>
  <c r="BT279" i="1"/>
  <c r="AV5" i="1"/>
  <c r="BI26" i="1"/>
  <c r="AB26" i="1" s="1"/>
  <c r="AE26" i="1" s="1"/>
  <c r="BJ36" i="1"/>
  <c r="BK36" i="1"/>
  <c r="BK43" i="1"/>
  <c r="BK47" i="1"/>
  <c r="AA51" i="1"/>
  <c r="AE51" i="1" s="1"/>
  <c r="BI54" i="1"/>
  <c r="AB54" i="1" s="1"/>
  <c r="BT58" i="1"/>
  <c r="BK80" i="1"/>
  <c r="AU94" i="1"/>
  <c r="BI98" i="1"/>
  <c r="AB98" i="1" s="1"/>
  <c r="AE98" i="1" s="1"/>
  <c r="BK108" i="1"/>
  <c r="BI110" i="1"/>
  <c r="AB110" i="1" s="1"/>
  <c r="AE110" i="1" s="1"/>
  <c r="BK110" i="1"/>
  <c r="AA128" i="1"/>
  <c r="BI137" i="1"/>
  <c r="AB137" i="1" s="1"/>
  <c r="AE137" i="1" s="1"/>
  <c r="BK142" i="1"/>
  <c r="BJ169" i="1"/>
  <c r="BI185" i="1"/>
  <c r="AB185" i="1" s="1"/>
  <c r="AV197" i="1"/>
  <c r="AU197" i="1"/>
  <c r="BI199" i="1"/>
  <c r="AB199" i="1" s="1"/>
  <c r="AE199" i="1" s="1"/>
  <c r="AT221" i="1"/>
  <c r="AV221" i="1"/>
  <c r="AT243" i="1"/>
  <c r="AU272" i="1"/>
  <c r="AT311" i="1"/>
  <c r="BI5" i="1"/>
  <c r="AB5" i="1" s="1"/>
  <c r="AE5" i="1" s="1"/>
  <c r="BI13" i="1"/>
  <c r="AB13" i="1" s="1"/>
  <c r="AE13" i="1" s="1"/>
  <c r="BI23" i="1"/>
  <c r="AB23" i="1" s="1"/>
  <c r="BT39" i="1"/>
  <c r="BK42" i="1"/>
  <c r="BK46" i="1"/>
  <c r="BK51" i="1"/>
  <c r="BT56" i="1"/>
  <c r="BT63" i="1"/>
  <c r="BI69" i="1"/>
  <c r="AB69" i="1" s="1"/>
  <c r="AE69" i="1" s="1"/>
  <c r="BT80" i="1"/>
  <c r="AT86" i="1"/>
  <c r="BI87" i="1"/>
  <c r="AB87" i="1" s="1"/>
  <c r="AT109" i="1"/>
  <c r="BJ114" i="1"/>
  <c r="BK114" i="1"/>
  <c r="AT118" i="1"/>
  <c r="AB126" i="1"/>
  <c r="BT131" i="1"/>
  <c r="BT132" i="1"/>
  <c r="BT138" i="1"/>
  <c r="BI143" i="1"/>
  <c r="AB143" i="1" s="1"/>
  <c r="BK163" i="1"/>
  <c r="BI169" i="1"/>
  <c r="AB169" i="1" s="1"/>
  <c r="BT173" i="1"/>
  <c r="BT194" i="1"/>
  <c r="AU198" i="1"/>
  <c r="AV198" i="1"/>
  <c r="AU230" i="1"/>
  <c r="AV230" i="1"/>
  <c r="BK239" i="1"/>
  <c r="BT250" i="1"/>
  <c r="BI276" i="1"/>
  <c r="AB276" i="1" s="1"/>
  <c r="BI294" i="1"/>
  <c r="AB294" i="1" s="1"/>
  <c r="AE294" i="1" s="1"/>
  <c r="BK332" i="1"/>
  <c r="BI315" i="1"/>
  <c r="AB315" i="1" s="1"/>
  <c r="BK315" i="1"/>
  <c r="BT318" i="1"/>
  <c r="AA324" i="1"/>
  <c r="BT327" i="1"/>
  <c r="BR333" i="1"/>
  <c r="BI9" i="1"/>
  <c r="AB9" i="1" s="1"/>
  <c r="BI17" i="1"/>
  <c r="AB17" i="1" s="1"/>
  <c r="AA30" i="1"/>
  <c r="AE30" i="1" s="1"/>
  <c r="BT34" i="1"/>
  <c r="AB38" i="1"/>
  <c r="BK40" i="1"/>
  <c r="AA55" i="1"/>
  <c r="AT56" i="1"/>
  <c r="BT59" i="1"/>
  <c r="AA74" i="1"/>
  <c r="AE74" i="1" s="1"/>
  <c r="AT80" i="1"/>
  <c r="AA88" i="1"/>
  <c r="BI96" i="1"/>
  <c r="AB96" i="1" s="1"/>
  <c r="BK96" i="1"/>
  <c r="BT107" i="1"/>
  <c r="BI117" i="1"/>
  <c r="AB117" i="1" s="1"/>
  <c r="BT120" i="1"/>
  <c r="BI128" i="1"/>
  <c r="AB128" i="1" s="1"/>
  <c r="AE128" i="1" s="1"/>
  <c r="BI130" i="1"/>
  <c r="AB130" i="1" s="1"/>
  <c r="AA138" i="1"/>
  <c r="AT138" i="1"/>
  <c r="AA144" i="1"/>
  <c r="AE144" i="1" s="1"/>
  <c r="BT177" i="1"/>
  <c r="AT193" i="1"/>
  <c r="AU202" i="1"/>
  <c r="AV202" i="1"/>
  <c r="BT206" i="1"/>
  <c r="AT211" i="1"/>
  <c r="AU211" i="1"/>
  <c r="BT246" i="1"/>
  <c r="AB252" i="1"/>
  <c r="AE252" i="1" s="1"/>
  <c r="AA255" i="1"/>
  <c r="AB255" i="1"/>
  <c r="L30" i="5"/>
  <c r="I30" i="5"/>
  <c r="AT5" i="1"/>
  <c r="AT13" i="1"/>
  <c r="BI16" i="1"/>
  <c r="AB16" i="1" s="1"/>
  <c r="BT18" i="1"/>
  <c r="AT23" i="1"/>
  <c r="AB25" i="1"/>
  <c r="AE25" i="1" s="1"/>
  <c r="BI39" i="1"/>
  <c r="AB39" i="1" s="1"/>
  <c r="AV43" i="1"/>
  <c r="AB44" i="1"/>
  <c r="BT45" i="1"/>
  <c r="AV47" i="1"/>
  <c r="AB49" i="1"/>
  <c r="AA52" i="1"/>
  <c r="AV53" i="1"/>
  <c r="AV54" i="1"/>
  <c r="BT60" i="1"/>
  <c r="AV76" i="1"/>
  <c r="BK94" i="1"/>
  <c r="AV98" i="1"/>
  <c r="BT103" i="1"/>
  <c r="AA136" i="1"/>
  <c r="AU145" i="1"/>
  <c r="AV145" i="1"/>
  <c r="AA153" i="1"/>
  <c r="AA154" i="1"/>
  <c r="AB165" i="1"/>
  <c r="AA171" i="1"/>
  <c r="AE171" i="1" s="1"/>
  <c r="BT218" i="1"/>
  <c r="BT236" i="1"/>
  <c r="AA254" i="1"/>
  <c r="AA266" i="1"/>
  <c r="AV270" i="1"/>
  <c r="BJ315" i="1"/>
  <c r="BT135" i="1"/>
  <c r="BT137" i="1"/>
  <c r="AV155" i="1"/>
  <c r="AA162" i="1"/>
  <c r="AA167" i="1"/>
  <c r="AE167" i="1" s="1"/>
  <c r="AA168" i="1"/>
  <c r="AT169" i="1"/>
  <c r="BK171" i="1"/>
  <c r="AA180" i="1"/>
  <c r="AE180" i="1" s="1"/>
  <c r="AV180" i="1"/>
  <c r="BK187" i="1"/>
  <c r="AA197" i="1"/>
  <c r="AT208" i="1"/>
  <c r="BK213" i="1"/>
  <c r="BT220" i="1"/>
  <c r="BT222" i="1"/>
  <c r="AV250" i="1"/>
  <c r="BK252" i="1"/>
  <c r="BJ252" i="1"/>
  <c r="BJ267" i="1"/>
  <c r="BK267" i="1"/>
  <c r="AV286" i="1"/>
  <c r="BT297" i="1"/>
  <c r="AA319" i="1"/>
  <c r="AV323" i="1"/>
  <c r="AU323" i="1"/>
  <c r="L12" i="5"/>
  <c r="I12" i="5"/>
  <c r="I13" i="5"/>
  <c r="L13" i="5"/>
  <c r="AV254" i="1"/>
  <c r="BT291" i="1"/>
  <c r="AA295" i="1"/>
  <c r="AT298" i="1"/>
  <c r="AT320" i="1"/>
  <c r="AV320" i="1"/>
  <c r="AU320" i="1"/>
  <c r="BT68" i="1"/>
  <c r="AA71" i="1"/>
  <c r="AE71" i="1" s="1"/>
  <c r="BT72" i="1"/>
  <c r="BT77" i="1"/>
  <c r="BT78" i="1"/>
  <c r="BI134" i="1"/>
  <c r="AB134" i="1" s="1"/>
  <c r="BT144" i="1"/>
  <c r="BI149" i="1"/>
  <c r="AB149" i="1" s="1"/>
  <c r="BI156" i="1"/>
  <c r="AB156" i="1" s="1"/>
  <c r="AE156" i="1" s="1"/>
  <c r="BI161" i="1"/>
  <c r="AB161" i="1" s="1"/>
  <c r="AA166" i="1"/>
  <c r="AB202" i="1"/>
  <c r="BT210" i="1"/>
  <c r="BT212" i="1"/>
  <c r="AB237" i="1"/>
  <c r="BT241" i="1"/>
  <c r="AA244" i="1"/>
  <c r="BK245" i="1"/>
  <c r="BI250" i="1"/>
  <c r="AB250" i="1" s="1"/>
  <c r="AE250" i="1" s="1"/>
  <c r="BT271" i="1"/>
  <c r="AV275" i="1"/>
  <c r="BK281" i="1"/>
  <c r="BT308" i="1"/>
  <c r="BT313" i="1"/>
  <c r="AT317" i="1"/>
  <c r="BT325" i="1"/>
  <c r="BK328" i="1"/>
  <c r="I28" i="5"/>
  <c r="L28" i="5"/>
  <c r="I19" i="5"/>
  <c r="L19" i="5"/>
  <c r="L6" i="5"/>
  <c r="AV130" i="1"/>
  <c r="BT133" i="1"/>
  <c r="BT142" i="1"/>
  <c r="AA146" i="1"/>
  <c r="AE146" i="1" s="1"/>
  <c r="BT148" i="1"/>
  <c r="BT149" i="1"/>
  <c r="AV166" i="1"/>
  <c r="AU166" i="1"/>
  <c r="BT171" i="1"/>
  <c r="AT175" i="1"/>
  <c r="BI182" i="1"/>
  <c r="AB182" i="1" s="1"/>
  <c r="AV186" i="1"/>
  <c r="AV187" i="1"/>
  <c r="AA203" i="1"/>
  <c r="BI206" i="1"/>
  <c r="AB206" i="1" s="1"/>
  <c r="AT210" i="1"/>
  <c r="BT233" i="1"/>
  <c r="AT238" i="1"/>
  <c r="AA253" i="1"/>
  <c r="BI275" i="1"/>
  <c r="AB275" i="1" s="1"/>
  <c r="AE275" i="1" s="1"/>
  <c r="BT285" i="1"/>
  <c r="BT286" i="1"/>
  <c r="AV291" i="1"/>
  <c r="AV292" i="1"/>
  <c r="BI298" i="1"/>
  <c r="BI300" i="1"/>
  <c r="AB300" i="1" s="1"/>
  <c r="BI301" i="1"/>
  <c r="AB301" i="1" s="1"/>
  <c r="BT307" i="1"/>
  <c r="AV309" i="1"/>
  <c r="BT311" i="1"/>
  <c r="AA314" i="1"/>
  <c r="AA315" i="1"/>
  <c r="AV316" i="1"/>
  <c r="BT326" i="1"/>
  <c r="I25" i="5"/>
  <c r="L25" i="5"/>
  <c r="AA175" i="1"/>
  <c r="BK178" i="1"/>
  <c r="BT182" i="1"/>
  <c r="AA184" i="1"/>
  <c r="AA228" i="1"/>
  <c r="AE228" i="1" s="1"/>
  <c r="AA235" i="1"/>
  <c r="BT242" i="1"/>
  <c r="AA248" i="1"/>
  <c r="AT279" i="1"/>
  <c r="AA282" i="1"/>
  <c r="AE282" i="1" s="1"/>
  <c r="AA309" i="1"/>
  <c r="BJ317" i="1"/>
  <c r="BK317" i="1"/>
  <c r="L27" i="5"/>
  <c r="I27" i="5"/>
  <c r="I34" i="5"/>
  <c r="L34" i="5"/>
  <c r="I20" i="5"/>
  <c r="L20" i="5"/>
  <c r="AA139" i="1"/>
  <c r="AT141" i="1"/>
  <c r="AA143" i="1"/>
  <c r="AA157" i="1"/>
  <c r="AE157" i="1" s="1"/>
  <c r="BT158" i="1"/>
  <c r="AT165" i="1"/>
  <c r="BK167" i="1"/>
  <c r="BT169" i="1"/>
  <c r="BT184" i="1"/>
  <c r="BT185" i="1"/>
  <c r="BT186" i="1"/>
  <c r="BT188" i="1"/>
  <c r="AA196" i="1"/>
  <c r="BT209" i="1"/>
  <c r="BT214" i="1"/>
  <c r="AA242" i="1"/>
  <c r="BT244" i="1"/>
  <c r="BK247" i="1"/>
  <c r="BI249" i="1"/>
  <c r="AB249" i="1" s="1"/>
  <c r="BT253" i="1"/>
  <c r="BT254" i="1"/>
  <c r="BT256" i="1"/>
  <c r="BT259" i="1"/>
  <c r="AB261" i="1"/>
  <c r="BT263" i="1"/>
  <c r="AV266" i="1"/>
  <c r="BI283" i="1"/>
  <c r="AB283" i="1" s="1"/>
  <c r="BT295" i="1"/>
  <c r="AA302" i="1"/>
  <c r="AE302" i="1" s="1"/>
  <c r="BK305" i="1"/>
  <c r="BI313" i="1"/>
  <c r="AB313" i="1" s="1"/>
  <c r="BI314" i="1"/>
  <c r="AB314" i="1" s="1"/>
  <c r="AE314" i="1" s="1"/>
  <c r="BT330" i="1"/>
  <c r="AE2" i="1"/>
  <c r="AE58" i="1"/>
  <c r="AE52" i="1"/>
  <c r="BK104" i="1"/>
  <c r="BJ104" i="1"/>
  <c r="AV106" i="1"/>
  <c r="BK115" i="1"/>
  <c r="BJ115" i="1"/>
  <c r="AV118" i="1"/>
  <c r="AU118" i="1"/>
  <c r="BK145" i="1"/>
  <c r="BJ145" i="1"/>
  <c r="AV150" i="1"/>
  <c r="AU150" i="1"/>
  <c r="BI154" i="1"/>
  <c r="AB154" i="1" s="1"/>
  <c r="AE154" i="1" s="1"/>
  <c r="BK154" i="1"/>
  <c r="AV164" i="1"/>
  <c r="AU164" i="1"/>
  <c r="AT219" i="1"/>
  <c r="AA219" i="1"/>
  <c r="AE219" i="1" s="1"/>
  <c r="AV219" i="1"/>
  <c r="AT251" i="1"/>
  <c r="AA251" i="1"/>
  <c r="BK253" i="1"/>
  <c r="BJ253" i="1"/>
  <c r="AA62" i="1"/>
  <c r="AA130" i="1"/>
  <c r="AT130" i="1"/>
  <c r="AA164" i="1"/>
  <c r="AT164" i="1"/>
  <c r="BK166" i="1"/>
  <c r="BJ166" i="1"/>
  <c r="BI166" i="1"/>
  <c r="AB166" i="1" s="1"/>
  <c r="AA185" i="1"/>
  <c r="AT185" i="1"/>
  <c r="AU231" i="1"/>
  <c r="AV231" i="1"/>
  <c r="BJ232" i="1"/>
  <c r="BK232" i="1"/>
  <c r="AA308" i="1"/>
  <c r="AT308" i="1"/>
  <c r="AT30" i="1"/>
  <c r="AB33" i="1"/>
  <c r="AT53" i="1"/>
  <c r="AT55" i="1"/>
  <c r="AB60" i="1"/>
  <c r="AT66" i="1"/>
  <c r="AU80" i="1"/>
  <c r="BK83" i="1"/>
  <c r="BJ83" i="1"/>
  <c r="AV84" i="1"/>
  <c r="BT87" i="1"/>
  <c r="BI93" i="1"/>
  <c r="AB93" i="1" s="1"/>
  <c r="AU106" i="1"/>
  <c r="AA111" i="1"/>
  <c r="BI116" i="1"/>
  <c r="AB116" i="1" s="1"/>
  <c r="AE116" i="1" s="1"/>
  <c r="BK117" i="1"/>
  <c r="BJ117" i="1"/>
  <c r="BI125" i="1"/>
  <c r="AB125" i="1" s="1"/>
  <c r="AU130" i="1"/>
  <c r="AB139" i="1"/>
  <c r="AT150" i="1"/>
  <c r="BI153" i="1"/>
  <c r="AB153" i="1" s="1"/>
  <c r="AE153" i="1" s="1"/>
  <c r="AV185" i="1"/>
  <c r="AA191" i="1"/>
  <c r="AV191" i="1"/>
  <c r="AA192" i="1"/>
  <c r="BK25" i="1"/>
  <c r="AU26" i="1"/>
  <c r="BK27" i="1"/>
  <c r="BJ40" i="1"/>
  <c r="AT41" i="1"/>
  <c r="BJ42" i="1"/>
  <c r="AT43" i="1"/>
  <c r="BJ44" i="1"/>
  <c r="AT45" i="1"/>
  <c r="BJ46" i="1"/>
  <c r="AT47" i="1"/>
  <c r="AT49" i="1"/>
  <c r="BJ50" i="1"/>
  <c r="AT51" i="1"/>
  <c r="AU53" i="1"/>
  <c r="AA54" i="1"/>
  <c r="AU55" i="1"/>
  <c r="AA56" i="1"/>
  <c r="AU66" i="1"/>
  <c r="BI70" i="1"/>
  <c r="AB70" i="1" s="1"/>
  <c r="AV80" i="1"/>
  <c r="AT85" i="1"/>
  <c r="AA85" i="1"/>
  <c r="AA91" i="1"/>
  <c r="BI100" i="1"/>
  <c r="AB100" i="1" s="1"/>
  <c r="AE100" i="1" s="1"/>
  <c r="AA103" i="1"/>
  <c r="BK116" i="1"/>
  <c r="AA120" i="1"/>
  <c r="AE120" i="1" s="1"/>
  <c r="BI133" i="1"/>
  <c r="AB133" i="1" s="1"/>
  <c r="BK150" i="1"/>
  <c r="BJ150" i="1"/>
  <c r="BI150" i="1"/>
  <c r="AB150" i="1" s="1"/>
  <c r="AE150" i="1" s="1"/>
  <c r="BK153" i="1"/>
  <c r="AT163" i="1"/>
  <c r="AA163" i="1"/>
  <c r="AE172" i="1"/>
  <c r="AV174" i="1"/>
  <c r="AU174" i="1"/>
  <c r="AV176" i="1"/>
  <c r="AU176" i="1"/>
  <c r="AT176" i="1"/>
  <c r="AV183" i="1"/>
  <c r="AU183" i="1"/>
  <c r="AT191" i="1"/>
  <c r="AV218" i="1"/>
  <c r="AU218" i="1"/>
  <c r="AU41" i="1"/>
  <c r="AA42" i="1"/>
  <c r="AU43" i="1"/>
  <c r="AA44" i="1"/>
  <c r="AE44" i="1" s="1"/>
  <c r="AU45" i="1"/>
  <c r="AA46" i="1"/>
  <c r="AU47" i="1"/>
  <c r="AA48" i="1"/>
  <c r="AU49" i="1"/>
  <c r="AA50" i="1"/>
  <c r="AU51" i="1"/>
  <c r="BJ70" i="1"/>
  <c r="AA75" i="1"/>
  <c r="AT91" i="1"/>
  <c r="AA96" i="1"/>
  <c r="AT98" i="1"/>
  <c r="BK100" i="1"/>
  <c r="BT104" i="1"/>
  <c r="BI118" i="1"/>
  <c r="AB118" i="1" s="1"/>
  <c r="BK119" i="1"/>
  <c r="BT121" i="1"/>
  <c r="AA124" i="1"/>
  <c r="AB148" i="1"/>
  <c r="AE148" i="1" s="1"/>
  <c r="BK149" i="1"/>
  <c r="BJ149" i="1"/>
  <c r="BT156" i="1"/>
  <c r="AV163" i="1"/>
  <c r="AT174" i="1"/>
  <c r="AA174" i="1"/>
  <c r="AU175" i="1"/>
  <c r="AV192" i="1"/>
  <c r="AT192" i="1"/>
  <c r="AA202" i="1"/>
  <c r="BK243" i="1"/>
  <c r="BI243" i="1"/>
  <c r="AB243" i="1" s="1"/>
  <c r="AE243" i="1" s="1"/>
  <c r="AV30" i="1"/>
  <c r="BJ3" i="1"/>
  <c r="BJ5" i="1"/>
  <c r="BJ7" i="1"/>
  <c r="BJ9" i="1"/>
  <c r="BJ11" i="1"/>
  <c r="BJ13" i="1"/>
  <c r="BJ15" i="1"/>
  <c r="BJ17" i="1"/>
  <c r="BJ19" i="1"/>
  <c r="BJ23" i="1"/>
  <c r="AT24" i="1"/>
  <c r="BI32" i="1"/>
  <c r="AB32" i="1" s="1"/>
  <c r="AE32" i="1" s="1"/>
  <c r="BK73" i="1"/>
  <c r="AB77" i="1"/>
  <c r="AE77" i="1" s="1"/>
  <c r="AV91" i="1"/>
  <c r="AA92" i="1"/>
  <c r="AT102" i="1"/>
  <c r="AA102" i="1"/>
  <c r="AA108" i="1"/>
  <c r="BK118" i="1"/>
  <c r="AE142" i="1"/>
  <c r="BK162" i="1"/>
  <c r="BJ162" i="1"/>
  <c r="BI162" i="1"/>
  <c r="AB162" i="1" s="1"/>
  <c r="AA169" i="1"/>
  <c r="AV175" i="1"/>
  <c r="AU182" i="1"/>
  <c r="AT182" i="1"/>
  <c r="BJ218" i="1"/>
  <c r="BK218" i="1"/>
  <c r="BI218" i="1"/>
  <c r="AB218" i="1" s="1"/>
  <c r="BI229" i="1"/>
  <c r="AB229" i="1" s="1"/>
  <c r="BK229" i="1"/>
  <c r="BK242" i="1"/>
  <c r="BJ242" i="1"/>
  <c r="BI319" i="1"/>
  <c r="AB319" i="1" s="1"/>
  <c r="BK319" i="1"/>
  <c r="BK72" i="1"/>
  <c r="BS333" i="1"/>
  <c r="AT26" i="1"/>
  <c r="AA3" i="1"/>
  <c r="AE3" i="1" s="1"/>
  <c r="AA76" i="1"/>
  <c r="AE76" i="1" s="1"/>
  <c r="BT83" i="1"/>
  <c r="BK84" i="1"/>
  <c r="BK85" i="1"/>
  <c r="BJ85" i="1"/>
  <c r="AV86" i="1"/>
  <c r="BI90" i="1"/>
  <c r="AB90" i="1" s="1"/>
  <c r="AE90" i="1" s="1"/>
  <c r="BK91" i="1"/>
  <c r="BT93" i="1"/>
  <c r="AU107" i="1"/>
  <c r="AV108" i="1"/>
  <c r="AA132" i="1"/>
  <c r="AT132" i="1"/>
  <c r="AT140" i="1"/>
  <c r="BI174" i="1"/>
  <c r="AB174" i="1" s="1"/>
  <c r="BK174" i="1"/>
  <c r="BK183" i="1"/>
  <c r="BI183" i="1"/>
  <c r="AB183" i="1" s="1"/>
  <c r="BK223" i="1"/>
  <c r="BJ223" i="1"/>
  <c r="BI242" i="1"/>
  <c r="AB242" i="1" s="1"/>
  <c r="AT87" i="1"/>
  <c r="AA87" i="1"/>
  <c r="BK136" i="1"/>
  <c r="BJ136" i="1"/>
  <c r="BI136" i="1"/>
  <c r="AB136" i="1" s="1"/>
  <c r="AV143" i="1"/>
  <c r="AE152" i="1"/>
  <c r="AV169" i="1"/>
  <c r="AU169" i="1"/>
  <c r="AV182" i="1"/>
  <c r="BI190" i="1"/>
  <c r="AB190" i="1" s="1"/>
  <c r="AE190" i="1" s="1"/>
  <c r="BK197" i="1"/>
  <c r="BJ197" i="1"/>
  <c r="BK240" i="1"/>
  <c r="BJ240" i="1"/>
  <c r="AA68" i="1"/>
  <c r="AB91" i="1"/>
  <c r="BK102" i="1"/>
  <c r="BJ102" i="1"/>
  <c r="AV114" i="1"/>
  <c r="AU114" i="1"/>
  <c r="AT114" i="1"/>
  <c r="BK138" i="1"/>
  <c r="BJ138" i="1"/>
  <c r="BI138" i="1"/>
  <c r="AB138" i="1" s="1"/>
  <c r="BK265" i="1"/>
  <c r="BJ265" i="1"/>
  <c r="BI78" i="1"/>
  <c r="AB78" i="1" s="1"/>
  <c r="AE78" i="1" s="1"/>
  <c r="BI81" i="1"/>
  <c r="AB81" i="1" s="1"/>
  <c r="AA84" i="1"/>
  <c r="BI86" i="1"/>
  <c r="AB86" i="1" s="1"/>
  <c r="AE86" i="1" s="1"/>
  <c r="AV87" i="1"/>
  <c r="AT88" i="1"/>
  <c r="BT97" i="1"/>
  <c r="BJ98" i="1"/>
  <c r="AT104" i="1"/>
  <c r="AA104" i="1"/>
  <c r="AE104" i="1" s="1"/>
  <c r="AT115" i="1"/>
  <c r="AA115" i="1"/>
  <c r="AA118" i="1"/>
  <c r="AE118" i="1" s="1"/>
  <c r="BI127" i="1"/>
  <c r="AB127" i="1" s="1"/>
  <c r="AE127" i="1" s="1"/>
  <c r="BK140" i="1"/>
  <c r="BJ140" i="1"/>
  <c r="BI140" i="1"/>
  <c r="AB140" i="1" s="1"/>
  <c r="AE140" i="1" s="1"/>
  <c r="AT143" i="1"/>
  <c r="AV154" i="1"/>
  <c r="AT154" i="1"/>
  <c r="AU154" i="1"/>
  <c r="AT155" i="1"/>
  <c r="BK173" i="1"/>
  <c r="BI173" i="1"/>
  <c r="AB173" i="1" s="1"/>
  <c r="BJ222" i="1"/>
  <c r="BK222" i="1"/>
  <c r="BI222" i="1"/>
  <c r="AB222" i="1" s="1"/>
  <c r="AE222" i="1" s="1"/>
  <c r="BK257" i="1"/>
  <c r="BJ257" i="1"/>
  <c r="AU42" i="1"/>
  <c r="AU44" i="1"/>
  <c r="AU46" i="1"/>
  <c r="AU48" i="1"/>
  <c r="AU50" i="1"/>
  <c r="AU76" i="1"/>
  <c r="BJ78" i="1"/>
  <c r="BK81" i="1"/>
  <c r="BT85" i="1"/>
  <c r="BK86" i="1"/>
  <c r="BK87" i="1"/>
  <c r="BJ87" i="1"/>
  <c r="AV88" i="1"/>
  <c r="BJ95" i="1"/>
  <c r="BK98" i="1"/>
  <c r="BT110" i="1"/>
  <c r="BK113" i="1"/>
  <c r="BJ113" i="1"/>
  <c r="AV116" i="1"/>
  <c r="AU116" i="1"/>
  <c r="AT116" i="1"/>
  <c r="AT122" i="1"/>
  <c r="AA151" i="1"/>
  <c r="AV151" i="1"/>
  <c r="AT151" i="1"/>
  <c r="AU155" i="1"/>
  <c r="AE159" i="1"/>
  <c r="BK181" i="1"/>
  <c r="BI181" i="1"/>
  <c r="AB181" i="1" s="1"/>
  <c r="AA186" i="1"/>
  <c r="AE186" i="1" s="1"/>
  <c r="AA234" i="1"/>
  <c r="AV234" i="1"/>
  <c r="AT234" i="1"/>
  <c r="BK262" i="1"/>
  <c r="BI262" i="1"/>
  <c r="AB262" i="1" s="1"/>
  <c r="AE262" i="1" s="1"/>
  <c r="AT83" i="1"/>
  <c r="AA83" i="1"/>
  <c r="AT89" i="1"/>
  <c r="AA89" i="1"/>
  <c r="AE89" i="1" s="1"/>
  <c r="AA94" i="1"/>
  <c r="BI103" i="1"/>
  <c r="AB103" i="1" s="1"/>
  <c r="AV104" i="1"/>
  <c r="AA106" i="1"/>
  <c r="AE106" i="1" s="1"/>
  <c r="BK112" i="1"/>
  <c r="AV115" i="1"/>
  <c r="AT117" i="1"/>
  <c r="AA117" i="1"/>
  <c r="AE117" i="1" s="1"/>
  <c r="AA126" i="1"/>
  <c r="AA134" i="1"/>
  <c r="AE134" i="1" s="1"/>
  <c r="AT134" i="1"/>
  <c r="BK168" i="1"/>
  <c r="BJ168" i="1"/>
  <c r="BI168" i="1"/>
  <c r="AB168" i="1" s="1"/>
  <c r="AA183" i="1"/>
  <c r="AT183" i="1"/>
  <c r="BI197" i="1"/>
  <c r="AB197" i="1" s="1"/>
  <c r="AE197" i="1" s="1"/>
  <c r="BJ228" i="1"/>
  <c r="BK228" i="1"/>
  <c r="BK231" i="1"/>
  <c r="BJ231" i="1"/>
  <c r="BK238" i="1"/>
  <c r="BJ238" i="1"/>
  <c r="BI253" i="1"/>
  <c r="AB253" i="1" s="1"/>
  <c r="AE253" i="1" s="1"/>
  <c r="AB76" i="4"/>
  <c r="AA76" i="4"/>
  <c r="Z76" i="4"/>
  <c r="BT205" i="1"/>
  <c r="BI210" i="1"/>
  <c r="AB210" i="1" s="1"/>
  <c r="AE210" i="1" s="1"/>
  <c r="BK210" i="1"/>
  <c r="AV217" i="1"/>
  <c r="AA217" i="1"/>
  <c r="AT218" i="1"/>
  <c r="AA220" i="1"/>
  <c r="AE220" i="1" s="1"/>
  <c r="AV220" i="1"/>
  <c r="BI231" i="1"/>
  <c r="AB231" i="1" s="1"/>
  <c r="BK280" i="1"/>
  <c r="BI280" i="1"/>
  <c r="AB280" i="1" s="1"/>
  <c r="AV283" i="1"/>
  <c r="AA283" i="1"/>
  <c r="AT293" i="1"/>
  <c r="AA293" i="1"/>
  <c r="AB295" i="1"/>
  <c r="AV308" i="1"/>
  <c r="AA325" i="1"/>
  <c r="AT325" i="1"/>
  <c r="AV325" i="1"/>
  <c r="AA68" i="4"/>
  <c r="Z68" i="4"/>
  <c r="AB68" i="4"/>
  <c r="BJ142" i="1"/>
  <c r="AU143" i="1"/>
  <c r="AU159" i="1"/>
  <c r="BJ167" i="1"/>
  <c r="AT177" i="1"/>
  <c r="AA177" i="1"/>
  <c r="BK182" i="1"/>
  <c r="BJ182" i="1"/>
  <c r="BJ184" i="1"/>
  <c r="AA188" i="1"/>
  <c r="AV195" i="1"/>
  <c r="AU195" i="1"/>
  <c r="AE196" i="1"/>
  <c r="BK200" i="1"/>
  <c r="BJ200" i="1"/>
  <c r="AV201" i="1"/>
  <c r="AT201" i="1"/>
  <c r="AE205" i="1"/>
  <c r="BK209" i="1"/>
  <c r="BJ210" i="1"/>
  <c r="BI265" i="1"/>
  <c r="AB265" i="1" s="1"/>
  <c r="BK266" i="1"/>
  <c r="BI266" i="1"/>
  <c r="AB266" i="1" s="1"/>
  <c r="BK289" i="1"/>
  <c r="AV293" i="1"/>
  <c r="AU296" i="1"/>
  <c r="AV296" i="1"/>
  <c r="AV297" i="1"/>
  <c r="AU297" i="1"/>
  <c r="AT297" i="1"/>
  <c r="AV307" i="1"/>
  <c r="AT307" i="1"/>
  <c r="AU309" i="1"/>
  <c r="AU315" i="1"/>
  <c r="AV315" i="1"/>
  <c r="AA147" i="1"/>
  <c r="AV152" i="1"/>
  <c r="AU152" i="1"/>
  <c r="AA161" i="1"/>
  <c r="AV178" i="1"/>
  <c r="AE179" i="1"/>
  <c r="AT269" i="1"/>
  <c r="AA269" i="1"/>
  <c r="AV269" i="1"/>
  <c r="AT274" i="1"/>
  <c r="AA274" i="1"/>
  <c r="AE274" i="1" s="1"/>
  <c r="BK304" i="1"/>
  <c r="BK143" i="1"/>
  <c r="AT147" i="1"/>
  <c r="BI163" i="1"/>
  <c r="AB163" i="1" s="1"/>
  <c r="AT171" i="1"/>
  <c r="BI175" i="1"/>
  <c r="AB175" i="1" s="1"/>
  <c r="AT194" i="1"/>
  <c r="AT204" i="1"/>
  <c r="AT273" i="1"/>
  <c r="AA273" i="1"/>
  <c r="AV313" i="1"/>
  <c r="AA317" i="1"/>
  <c r="AE317" i="1" s="1"/>
  <c r="AV317" i="1"/>
  <c r="AV148" i="1"/>
  <c r="AU148" i="1"/>
  <c r="BK164" i="1"/>
  <c r="BJ164" i="1"/>
  <c r="BI164" i="1"/>
  <c r="AB164" i="1" s="1"/>
  <c r="AV189" i="1"/>
  <c r="AU189" i="1"/>
  <c r="AB193" i="1"/>
  <c r="AE193" i="1" s="1"/>
  <c r="AT206" i="1"/>
  <c r="AA206" i="1"/>
  <c r="AU246" i="1"/>
  <c r="AT246" i="1"/>
  <c r="AV273" i="1"/>
  <c r="BK292" i="1"/>
  <c r="BI292" i="1"/>
  <c r="AB292" i="1" s="1"/>
  <c r="AE292" i="1" s="1"/>
  <c r="BI306" i="1"/>
  <c r="AB306" i="1" s="1"/>
  <c r="AE306" i="1" s="1"/>
  <c r="BK306" i="1"/>
  <c r="AT313" i="1"/>
  <c r="AA313" i="1"/>
  <c r="BI151" i="1"/>
  <c r="AB151" i="1" s="1"/>
  <c r="AT166" i="1"/>
  <c r="BI170" i="1"/>
  <c r="AB170" i="1" s="1"/>
  <c r="AV171" i="1"/>
  <c r="AV172" i="1"/>
  <c r="AU172" i="1"/>
  <c r="AT172" i="1"/>
  <c r="AU178" i="1"/>
  <c r="BI187" i="1"/>
  <c r="AB187" i="1" s="1"/>
  <c r="AE187" i="1" s="1"/>
  <c r="BK194" i="1"/>
  <c r="BJ194" i="1"/>
  <c r="BT198" i="1"/>
  <c r="BT199" i="1"/>
  <c r="BJ203" i="1"/>
  <c r="BK203" i="1"/>
  <c r="AV206" i="1"/>
  <c r="BK215" i="1"/>
  <c r="AT244" i="1"/>
  <c r="AV258" i="1"/>
  <c r="AU258" i="1"/>
  <c r="BI287" i="1"/>
  <c r="AB287" i="1" s="1"/>
  <c r="AE287" i="1" s="1"/>
  <c r="BK288" i="1"/>
  <c r="BJ299" i="1"/>
  <c r="BK299" i="1"/>
  <c r="BJ300" i="1"/>
  <c r="BJ303" i="1"/>
  <c r="BJ305" i="1"/>
  <c r="AV312" i="1"/>
  <c r="AU312" i="1"/>
  <c r="AU313" i="1"/>
  <c r="AA327" i="1"/>
  <c r="AV327" i="1"/>
  <c r="AT327" i="1"/>
  <c r="BK160" i="1"/>
  <c r="BJ160" i="1"/>
  <c r="AB177" i="1"/>
  <c r="AT223" i="1"/>
  <c r="AV223" i="1"/>
  <c r="AA223" i="1"/>
  <c r="AU235" i="1"/>
  <c r="AV235" i="1"/>
  <c r="AT235" i="1"/>
  <c r="AV255" i="1"/>
  <c r="AU255" i="1"/>
  <c r="BI147" i="1"/>
  <c r="AB147" i="1" s="1"/>
  <c r="AA149" i="1"/>
  <c r="AE149" i="1" s="1"/>
  <c r="BJ156" i="1"/>
  <c r="AV161" i="1"/>
  <c r="BT163" i="1"/>
  <c r="AT180" i="1"/>
  <c r="BT192" i="1"/>
  <c r="BK207" i="1"/>
  <c r="BJ207" i="1"/>
  <c r="AU208" i="1"/>
  <c r="BJ244" i="1"/>
  <c r="BK244" i="1"/>
  <c r="AT255" i="1"/>
  <c r="AV257" i="1"/>
  <c r="AU257" i="1"/>
  <c r="AT257" i="1"/>
  <c r="BT288" i="1"/>
  <c r="AA326" i="1"/>
  <c r="AV326" i="1"/>
  <c r="AU332" i="1"/>
  <c r="AV332" i="1"/>
  <c r="AT332" i="1"/>
  <c r="BT190" i="1"/>
  <c r="BT196" i="1"/>
  <c r="BI203" i="1"/>
  <c r="AB203" i="1" s="1"/>
  <c r="BJ211" i="1"/>
  <c r="BK211" i="1"/>
  <c r="BI223" i="1"/>
  <c r="AB223" i="1" s="1"/>
  <c r="BT228" i="1"/>
  <c r="BT229" i="1"/>
  <c r="BI232" i="1"/>
  <c r="AB232" i="1" s="1"/>
  <c r="AE232" i="1" s="1"/>
  <c r="AV236" i="1"/>
  <c r="AU236" i="1"/>
  <c r="AV261" i="1"/>
  <c r="AU261" i="1"/>
  <c r="AT284" i="1"/>
  <c r="AV284" i="1"/>
  <c r="AA285" i="1"/>
  <c r="AV285" i="1"/>
  <c r="BK294" i="1"/>
  <c r="BJ294" i="1"/>
  <c r="AB309" i="1"/>
  <c r="BK325" i="1"/>
  <c r="BJ325" i="1"/>
  <c r="AA238" i="1"/>
  <c r="AT259" i="1"/>
  <c r="AV259" i="1"/>
  <c r="AT260" i="1"/>
  <c r="AA260" i="1"/>
  <c r="AE260" i="1" s="1"/>
  <c r="AV260" i="1"/>
  <c r="BK296" i="1"/>
  <c r="BJ296" i="1"/>
  <c r="AB62" i="4"/>
  <c r="AA62" i="4"/>
  <c r="Z62" i="4"/>
  <c r="AT202" i="1"/>
  <c r="AA214" i="1"/>
  <c r="AA216" i="1"/>
  <c r="BT230" i="1"/>
  <c r="BK234" i="1"/>
  <c r="BJ234" i="1"/>
  <c r="BT255" i="1"/>
  <c r="BK258" i="1"/>
  <c r="BJ258" i="1"/>
  <c r="BI258" i="1"/>
  <c r="AB258" i="1" s="1"/>
  <c r="AE258" i="1" s="1"/>
  <c r="AE267" i="1"/>
  <c r="BI269" i="1"/>
  <c r="AB269" i="1" s="1"/>
  <c r="BT293" i="1"/>
  <c r="AU298" i="1"/>
  <c r="BI316" i="1"/>
  <c r="AB316" i="1" s="1"/>
  <c r="AE316" i="1" s="1"/>
  <c r="BK321" i="1"/>
  <c r="BK322" i="1"/>
  <c r="BI325" i="1"/>
  <c r="AB325" i="1" s="1"/>
  <c r="BT203" i="1"/>
  <c r="BI204" i="1"/>
  <c r="AB204" i="1" s="1"/>
  <c r="AE204" i="1" s="1"/>
  <c r="AT209" i="1"/>
  <c r="AT214" i="1"/>
  <c r="BT223" i="1"/>
  <c r="BK224" i="1"/>
  <c r="BK225" i="1"/>
  <c r="BT232" i="1"/>
  <c r="BK236" i="1"/>
  <c r="BJ236" i="1"/>
  <c r="AA239" i="1"/>
  <c r="BI247" i="1"/>
  <c r="AB247" i="1" s="1"/>
  <c r="AE247" i="1" s="1"/>
  <c r="BK260" i="1"/>
  <c r="AE263" i="1"/>
  <c r="BK270" i="1"/>
  <c r="BI270" i="1"/>
  <c r="AB270" i="1" s="1"/>
  <c r="BK275" i="1"/>
  <c r="BK276" i="1"/>
  <c r="BJ276" i="1"/>
  <c r="BI278" i="1"/>
  <c r="AB278" i="1" s="1"/>
  <c r="AE278" i="1" s="1"/>
  <c r="BK278" i="1"/>
  <c r="BK285" i="1"/>
  <c r="BJ285" i="1"/>
  <c r="BI296" i="1"/>
  <c r="AB296" i="1" s="1"/>
  <c r="AE296" i="1" s="1"/>
  <c r="AV298" i="1"/>
  <c r="AU302" i="1"/>
  <c r="AV302" i="1"/>
  <c r="AV241" i="1"/>
  <c r="AU241" i="1"/>
  <c r="AB298" i="1"/>
  <c r="AU300" i="1"/>
  <c r="AV300" i="1"/>
  <c r="AA301" i="1"/>
  <c r="AT301" i="1"/>
  <c r="AB310" i="1"/>
  <c r="AV184" i="1"/>
  <c r="BK201" i="1"/>
  <c r="AA207" i="1"/>
  <c r="AE207" i="1" s="1"/>
  <c r="BK214" i="1"/>
  <c r="BJ214" i="1"/>
  <c r="BI214" i="1"/>
  <c r="AB214" i="1" s="1"/>
  <c r="AT216" i="1"/>
  <c r="BI226" i="1"/>
  <c r="AB226" i="1" s="1"/>
  <c r="AE226" i="1" s="1"/>
  <c r="BK226" i="1"/>
  <c r="AU228" i="1"/>
  <c r="AV228" i="1"/>
  <c r="AT229" i="1"/>
  <c r="AA229" i="1"/>
  <c r="BI236" i="1"/>
  <c r="AB236" i="1" s="1"/>
  <c r="AE236" i="1" s="1"/>
  <c r="AT240" i="1"/>
  <c r="AV240" i="1"/>
  <c r="AU240" i="1"/>
  <c r="BK248" i="1"/>
  <c r="BJ248" i="1"/>
  <c r="BI248" i="1"/>
  <c r="AB248" i="1" s="1"/>
  <c r="AE248" i="1" s="1"/>
  <c r="AV253" i="1"/>
  <c r="AU253" i="1"/>
  <c r="BJ260" i="1"/>
  <c r="AV264" i="1"/>
  <c r="AU264" i="1"/>
  <c r="AT265" i="1"/>
  <c r="AV265" i="1"/>
  <c r="BJ270" i="1"/>
  <c r="BJ277" i="1"/>
  <c r="BJ278" i="1"/>
  <c r="BT283" i="1"/>
  <c r="BK284" i="1"/>
  <c r="BI285" i="1"/>
  <c r="AB285" i="1" s="1"/>
  <c r="AT300" i="1"/>
  <c r="AA300" i="1"/>
  <c r="AT302" i="1"/>
  <c r="AV330" i="1"/>
  <c r="AU330" i="1"/>
  <c r="AT231" i="1"/>
  <c r="AU232" i="1"/>
  <c r="AV232" i="1"/>
  <c r="AB235" i="1"/>
  <c r="AE235" i="1" s="1"/>
  <c r="AA246" i="1"/>
  <c r="AA261" i="1"/>
  <c r="AT261" i="1"/>
  <c r="BK286" i="1"/>
  <c r="BJ286" i="1"/>
  <c r="AU289" i="1"/>
  <c r="AV289" i="1"/>
  <c r="BK307" i="1"/>
  <c r="BI307" i="1"/>
  <c r="AB307" i="1" s="1"/>
  <c r="AE307" i="1" s="1"/>
  <c r="BJ312" i="1"/>
  <c r="BK312" i="1"/>
  <c r="AT321" i="1"/>
  <c r="AV321" i="1"/>
  <c r="AA322" i="1"/>
  <c r="AU328" i="1"/>
  <c r="AT328" i="1"/>
  <c r="AA329" i="1"/>
  <c r="AE329" i="1" s="1"/>
  <c r="BT213" i="1"/>
  <c r="AA224" i="1"/>
  <c r="AE224" i="1" s="1"/>
  <c r="AT224" i="1"/>
  <c r="BT225" i="1"/>
  <c r="BI230" i="1"/>
  <c r="AB230" i="1" s="1"/>
  <c r="AE230" i="1" s="1"/>
  <c r="BT243" i="1"/>
  <c r="BT264" i="1"/>
  <c r="BT284" i="1"/>
  <c r="BI308" i="1"/>
  <c r="AB308" i="1" s="1"/>
  <c r="BK314" i="1"/>
  <c r="AA213" i="1"/>
  <c r="AE213" i="1" s="1"/>
  <c r="AT213" i="1"/>
  <c r="AU242" i="1"/>
  <c r="AV242" i="1"/>
  <c r="AV243" i="1"/>
  <c r="AV252" i="1"/>
  <c r="AT252" i="1"/>
  <c r="BK256" i="1"/>
  <c r="BJ256" i="1"/>
  <c r="BI277" i="1"/>
  <c r="AB277" i="1" s="1"/>
  <c r="BT281" i="1"/>
  <c r="AV303" i="1"/>
  <c r="AU303" i="1"/>
  <c r="AV304" i="1"/>
  <c r="AU304" i="1"/>
  <c r="AV305" i="1"/>
  <c r="AU305" i="1"/>
  <c r="AV318" i="1"/>
  <c r="AA318" i="1"/>
  <c r="AT318" i="1"/>
  <c r="BI322" i="1"/>
  <c r="AB322" i="1" s="1"/>
  <c r="BK326" i="1"/>
  <c r="BI326" i="1"/>
  <c r="AB326" i="1" s="1"/>
  <c r="BI327" i="1"/>
  <c r="AB327" i="1" s="1"/>
  <c r="BT207" i="1"/>
  <c r="AV244" i="1"/>
  <c r="BT247" i="1"/>
  <c r="BI251" i="1"/>
  <c r="AB251" i="1" s="1"/>
  <c r="AT291" i="1"/>
  <c r="BK293" i="1"/>
  <c r="AV301" i="1"/>
  <c r="AA304" i="1"/>
  <c r="BT316" i="1"/>
  <c r="BI264" i="1"/>
  <c r="AB264" i="1" s="1"/>
  <c r="AE264" i="1" s="1"/>
  <c r="AA328" i="1"/>
  <c r="AB63" i="4"/>
  <c r="AA63" i="4"/>
  <c r="L5" i="5"/>
  <c r="BT217" i="1"/>
  <c r="BK250" i="1"/>
  <c r="AT270" i="1"/>
  <c r="AA270" i="1"/>
  <c r="BK272" i="1"/>
  <c r="BI288" i="1"/>
  <c r="AB288" i="1" s="1"/>
  <c r="AV299" i="1"/>
  <c r="BT303" i="1"/>
  <c r="Z71" i="4"/>
  <c r="AA71" i="4"/>
  <c r="L29" i="5"/>
  <c r="L26" i="5"/>
  <c r="BT221" i="1"/>
  <c r="BI257" i="1"/>
  <c r="AB257" i="1" s="1"/>
  <c r="AE257" i="1" s="1"/>
  <c r="AV271" i="1"/>
  <c r="AT276" i="1"/>
  <c r="BT314" i="1"/>
  <c r="Z63" i="4"/>
  <c r="I8" i="5"/>
  <c r="L8" i="5"/>
  <c r="I11" i="5"/>
  <c r="L11" i="5"/>
  <c r="AB64" i="4"/>
  <c r="AA64" i="4"/>
  <c r="AB74" i="4"/>
  <c r="AA74" i="4"/>
  <c r="Z74" i="4"/>
  <c r="L2" i="5"/>
  <c r="L14" i="5"/>
  <c r="AB75" i="4"/>
  <c r="AA75" i="4"/>
  <c r="L23" i="5"/>
  <c r="AA70" i="4"/>
  <c r="AA69" i="4"/>
  <c r="AE21" i="1" l="1"/>
  <c r="AE95" i="1"/>
  <c r="AE289" i="1"/>
  <c r="AE15" i="1"/>
  <c r="AE135" i="1"/>
  <c r="AE14" i="1"/>
  <c r="AE59" i="1"/>
  <c r="AE4" i="1"/>
  <c r="AE328" i="1"/>
  <c r="AE62" i="1"/>
  <c r="AE18" i="1"/>
  <c r="AE176" i="1"/>
  <c r="AE309" i="1"/>
  <c r="AE108" i="1"/>
  <c r="AE284" i="1"/>
  <c r="AE170" i="1"/>
  <c r="AE132" i="1"/>
  <c r="AE102" i="1"/>
  <c r="AE54" i="1"/>
  <c r="AE182" i="1"/>
  <c r="AE57" i="1"/>
  <c r="AE121" i="1"/>
  <c r="AE7" i="1"/>
  <c r="AE87" i="1"/>
  <c r="AE60" i="1"/>
  <c r="AE185" i="1"/>
  <c r="AE298" i="1"/>
  <c r="AE273" i="1"/>
  <c r="AE324" i="1"/>
  <c r="AE45" i="1"/>
  <c r="AE99" i="1"/>
  <c r="AE305" i="1"/>
  <c r="AE281" i="1"/>
  <c r="AE181" i="1"/>
  <c r="AE46" i="1"/>
  <c r="AE143" i="1"/>
  <c r="AE165" i="1"/>
  <c r="AE178" i="1"/>
  <c r="AE11" i="1"/>
  <c r="AE53" i="1"/>
  <c r="AE61" i="1"/>
  <c r="AE112" i="1"/>
  <c r="AE34" i="1"/>
  <c r="AE238" i="1"/>
  <c r="AE293" i="1"/>
  <c r="AE319" i="1"/>
  <c r="AE75" i="1"/>
  <c r="AE33" i="1"/>
  <c r="AE67" i="1"/>
  <c r="AE221" i="1"/>
  <c r="AE299" i="1"/>
  <c r="AE310" i="1"/>
  <c r="AE265" i="1"/>
  <c r="AE295" i="1"/>
  <c r="AE9" i="1"/>
  <c r="AE28" i="1"/>
  <c r="AE279" i="1"/>
  <c r="AE8" i="1"/>
  <c r="AE175" i="1"/>
  <c r="AE242" i="1"/>
  <c r="AE125" i="1"/>
  <c r="AE261" i="1"/>
  <c r="AE234" i="1"/>
  <c r="AE173" i="1"/>
  <c r="AE55" i="1"/>
  <c r="AE215" i="1"/>
  <c r="AE304" i="1"/>
  <c r="AE277" i="1"/>
  <c r="AE246" i="1"/>
  <c r="AE115" i="1"/>
  <c r="AE218" i="1"/>
  <c r="AE48" i="1"/>
  <c r="AE200" i="1"/>
  <c r="AE19" i="1"/>
  <c r="AE129" i="1"/>
  <c r="AE177" i="1"/>
  <c r="AE231" i="1"/>
  <c r="AE168" i="1"/>
  <c r="AE68" i="1"/>
  <c r="AE130" i="1"/>
  <c r="AE270" i="1"/>
  <c r="AE268" i="1"/>
  <c r="AE133" i="1"/>
  <c r="AE332" i="1"/>
  <c r="AE50" i="1"/>
  <c r="AE12" i="1"/>
  <c r="AE166" i="1"/>
  <c r="AE23" i="1"/>
  <c r="AE195" i="1"/>
  <c r="AE92" i="1"/>
  <c r="AE276" i="1"/>
  <c r="AE151" i="1"/>
  <c r="AE113" i="1"/>
  <c r="AE88" i="1"/>
  <c r="AE109" i="1"/>
  <c r="AE145" i="1"/>
  <c r="AE169" i="1"/>
  <c r="AE188" i="1"/>
  <c r="AE111" i="1"/>
  <c r="AE16" i="1"/>
  <c r="AE198" i="1"/>
  <c r="AE27" i="1"/>
  <c r="AE214" i="1"/>
  <c r="AE56" i="1"/>
  <c r="AE249" i="1"/>
  <c r="AE280" i="1"/>
  <c r="AE183" i="1"/>
  <c r="AE211" i="1"/>
  <c r="AE318" i="1"/>
  <c r="AE103" i="1"/>
  <c r="AE245" i="1"/>
  <c r="AE288" i="1"/>
  <c r="AE217" i="1"/>
  <c r="AE136" i="1"/>
  <c r="AE85" i="1"/>
  <c r="AE107" i="1"/>
  <c r="AE254" i="1"/>
  <c r="AE201" i="1"/>
  <c r="AE331" i="1"/>
  <c r="AE311" i="1"/>
  <c r="AE96" i="1"/>
  <c r="AE161" i="1"/>
  <c r="AE81" i="1"/>
  <c r="AE162" i="1"/>
  <c r="AE42" i="1"/>
  <c r="AE300" i="1"/>
  <c r="AE313" i="1"/>
  <c r="AE206" i="1"/>
  <c r="AE147" i="1"/>
  <c r="AE126" i="1"/>
  <c r="AE83" i="1"/>
  <c r="AE93" i="1"/>
  <c r="AE203" i="1"/>
  <c r="AE138" i="1"/>
  <c r="AE70" i="1"/>
  <c r="AE315" i="1"/>
  <c r="AE255" i="1"/>
  <c r="AE101" i="1"/>
  <c r="AE239" i="1"/>
  <c r="AE229" i="1"/>
  <c r="AE84" i="1"/>
  <c r="AE124" i="1"/>
  <c r="AE308" i="1"/>
  <c r="AE39" i="1"/>
  <c r="AE160" i="1"/>
  <c r="AE35" i="1"/>
  <c r="AE192" i="1"/>
  <c r="AE94" i="1"/>
  <c r="AE202" i="1"/>
  <c r="AE266" i="1"/>
  <c r="BT333" i="1"/>
  <c r="AE285" i="1"/>
  <c r="AE139" i="1"/>
  <c r="AE237" i="1"/>
  <c r="AE131" i="1"/>
  <c r="AE72" i="1"/>
  <c r="AE301" i="1"/>
  <c r="AE216" i="1"/>
  <c r="AE283" i="1"/>
  <c r="AE174" i="1"/>
  <c r="AE49" i="1"/>
  <c r="AE223" i="1"/>
  <c r="AE327" i="1"/>
  <c r="AE269" i="1"/>
  <c r="AE163" i="1"/>
  <c r="AE91" i="1"/>
  <c r="L38" i="5"/>
  <c r="J11" i="5" s="1"/>
  <c r="I38" i="5"/>
  <c r="AE191" i="1"/>
  <c r="AE251" i="1"/>
  <c r="I36" i="5"/>
  <c r="AE326" i="1"/>
  <c r="AE164" i="1"/>
  <c r="AE322" i="1"/>
  <c r="AE325" i="1"/>
  <c r="J23" i="5" l="1"/>
  <c r="J14" i="5"/>
  <c r="J8" i="5"/>
  <c r="J2" i="5"/>
  <c r="J26" i="5"/>
  <c r="J18" i="5"/>
  <c r="J27" i="5"/>
  <c r="J30" i="5"/>
  <c r="J20" i="5"/>
  <c r="J33" i="5"/>
  <c r="J6" i="5"/>
  <c r="J3" i="5"/>
  <c r="J9" i="5"/>
  <c r="J15" i="5"/>
  <c r="J21" i="5"/>
  <c r="J24" i="5"/>
  <c r="J12" i="5"/>
  <c r="J32" i="5"/>
  <c r="J34" i="5"/>
  <c r="J10" i="5"/>
  <c r="J4" i="5"/>
  <c r="J19" i="5"/>
  <c r="J28" i="5"/>
  <c r="J13" i="5"/>
  <c r="J16" i="5"/>
  <c r="J22" i="5"/>
  <c r="J35" i="5"/>
  <c r="J17" i="5"/>
  <c r="J7" i="5"/>
  <c r="J25" i="5"/>
  <c r="J31" i="5"/>
  <c r="J29" i="5"/>
  <c r="J5" i="5"/>
  <c r="H28" i="5" l="1"/>
  <c r="G28" i="5" s="1"/>
  <c r="H20" i="5"/>
  <c r="K20" i="5" s="1"/>
  <c r="H6" i="5"/>
  <c r="G6" i="5" s="1"/>
  <c r="H5" i="5"/>
  <c r="K5" i="5" s="1"/>
  <c r="H14" i="5"/>
  <c r="K14" i="5" s="1"/>
  <c r="H11" i="5"/>
  <c r="H19" i="5"/>
  <c r="H33" i="5"/>
  <c r="H29" i="5"/>
  <c r="H10" i="5"/>
  <c r="H30" i="5"/>
  <c r="H34" i="5"/>
  <c r="H27" i="5"/>
  <c r="H25" i="5"/>
  <c r="H32" i="5"/>
  <c r="H18" i="5"/>
  <c r="H31" i="5"/>
  <c r="H7" i="5"/>
  <c r="H12" i="5"/>
  <c r="H26" i="5"/>
  <c r="H17" i="5"/>
  <c r="H22" i="5"/>
  <c r="H23" i="5"/>
  <c r="H35" i="5"/>
  <c r="H16" i="5"/>
  <c r="H4" i="5"/>
  <c r="H24" i="5"/>
  <c r="H21" i="5"/>
  <c r="J38" i="5"/>
  <c r="H2" i="5"/>
  <c r="H15" i="5"/>
  <c r="H9" i="5"/>
  <c r="H13" i="5"/>
  <c r="H3" i="5"/>
  <c r="H8" i="5"/>
  <c r="G20" i="5" l="1"/>
  <c r="G5" i="5"/>
  <c r="K28" i="5"/>
  <c r="K6" i="5"/>
  <c r="G14" i="5"/>
  <c r="G15" i="5"/>
  <c r="K15" i="5"/>
  <c r="K17" i="5"/>
  <c r="G17" i="5"/>
  <c r="G30" i="5"/>
  <c r="K30" i="5"/>
  <c r="K29" i="5"/>
  <c r="G29" i="5"/>
  <c r="K7" i="5"/>
  <c r="G7" i="5"/>
  <c r="K10" i="5"/>
  <c r="G10" i="5"/>
  <c r="G21" i="5"/>
  <c r="K21" i="5"/>
  <c r="G24" i="5"/>
  <c r="K24" i="5"/>
  <c r="K31" i="5"/>
  <c r="G31" i="5"/>
  <c r="K22" i="5"/>
  <c r="G22" i="5"/>
  <c r="G12" i="5"/>
  <c r="K12" i="5"/>
  <c r="K4" i="5"/>
  <c r="G4" i="5"/>
  <c r="G18" i="5"/>
  <c r="K18" i="5"/>
  <c r="G33" i="5"/>
  <c r="K33" i="5"/>
  <c r="K19" i="5"/>
  <c r="G19" i="5"/>
  <c r="H38" i="5"/>
  <c r="H36" i="5"/>
  <c r="K2" i="5"/>
  <c r="G2" i="5"/>
  <c r="K32" i="5"/>
  <c r="G32" i="5"/>
  <c r="G27" i="5"/>
  <c r="K27" i="5"/>
  <c r="K26" i="5"/>
  <c r="G26" i="5"/>
  <c r="K25" i="5"/>
  <c r="G25" i="5"/>
  <c r="K8" i="5"/>
  <c r="G8" i="5"/>
  <c r="K34" i="5"/>
  <c r="G34" i="5"/>
  <c r="G9" i="5"/>
  <c r="K9" i="5"/>
  <c r="K16" i="5"/>
  <c r="G16" i="5"/>
  <c r="K35" i="5"/>
  <c r="G35" i="5"/>
  <c r="K11" i="5"/>
  <c r="G11" i="5"/>
  <c r="G3" i="5"/>
  <c r="K3" i="5"/>
  <c r="K13" i="5"/>
  <c r="G13" i="5"/>
  <c r="K23" i="5"/>
  <c r="G23" i="5"/>
  <c r="K38" i="5" l="1"/>
  <c r="G3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A5000000}">
      <text>
        <r>
          <rPr>
            <sz val="12"/>
            <color theme="1"/>
            <rFont val="Calibri"/>
            <scheme val="minor"/>
          </rPr>
          <t>Consultoría actualización Pgirs $50000000
Convenio Pgris Emsertenjo $
	-JAVIER JIMENEZ</t>
        </r>
      </text>
    </comment>
    <comment ref="T34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ID#AAABSYYPzwk
JAVIER JIMENEZ    (2024-03-21 00:09:00)
Revisar Lb</t>
        </r>
      </text>
    </comment>
    <comment ref="BG34" authorId="0" shapeId="0" xr:uid="{00000000-0006-0000-0000-000043000000}">
      <text>
        <r>
          <rPr>
            <sz val="12"/>
            <color theme="1"/>
            <rFont val="Calibri"/>
            <scheme val="minor"/>
          </rPr>
          <t>Se ajusta el multiplicador cada vez que avance
	-JAVIER JIMENEZ</t>
        </r>
      </text>
    </comment>
    <comment ref="S40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ID#AAABSYYPzvg
JAVIER JIMENEZ    (2024-05-10 15:50:53)
ajuste: Desarrollar en un 80% un proceso de seguimiento, identificación, medición y control de pérdidas de agua potable</t>
        </r>
      </text>
    </comment>
    <comment ref="S44" authorId="0" shapeId="0" xr:uid="{00000000-0006-0000-0000-000003000000}">
      <text>
        <r>
          <rPr>
            <sz val="12"/>
            <color theme="1"/>
            <rFont val="Calibri"/>
            <scheme val="minor"/>
          </rPr>
          <t>======
ID#AAABSYYPzvI
JAVIER JIMENEZ    (2024-05-10 15:45:10)
y PSMV</t>
        </r>
      </text>
    </comment>
    <comment ref="S59" authorId="0" shapeId="0" xr:uid="{00000000-0006-0000-0000-000004000000}">
      <text>
        <r>
          <rPr>
            <sz val="12"/>
            <color theme="1"/>
            <rFont val="Calibri"/>
            <scheme val="minor"/>
          </rPr>
          <t>======
ID#AAABSYWasXg
JAVIER JIMENEZ    (2024-03-21 03:02:45)
REVISAR PDD</t>
        </r>
      </text>
    </comment>
    <comment ref="S70" authorId="0" shapeId="0" xr:uid="{00000000-0006-0000-0000-000005000000}">
      <text>
        <r>
          <rPr>
            <sz val="12"/>
            <color theme="1"/>
            <rFont val="Calibri"/>
            <scheme val="minor"/>
          </rPr>
          <t>======
ID#AAABSYYPzwM
JAVIER JIMENEZ    (2024-05-15 14:15:38)
se modifica meta.</t>
        </r>
      </text>
    </comment>
    <comment ref="S82" authorId="0" shapeId="0" xr:uid="{00000000-0006-0000-0000-000006000000}">
      <text>
        <r>
          <rPr>
            <sz val="12"/>
            <color theme="1"/>
            <rFont val="Calibri"/>
            <scheme val="minor"/>
          </rPr>
          <t>======
ID#AAABSYYPzwQ
JAVIER JIMENEZ    (2024-05-15 14:21:38)
Ajustar recursos para año 2 y 4</t>
        </r>
      </text>
    </comment>
    <comment ref="S89" authorId="0" shapeId="0" xr:uid="{00000000-0006-0000-0000-000007000000}">
      <text>
        <r>
          <rPr>
            <sz val="12"/>
            <color theme="1"/>
            <rFont val="Calibri"/>
            <scheme val="minor"/>
          </rPr>
          <t>======
ID#AAABSYYPzt4
JAVIER JIMENEZ    (2024-03-21 04:21:44)
REVISAR META PDD</t>
        </r>
      </text>
    </comment>
    <comment ref="S92" authorId="0" shapeId="0" xr:uid="{00000000-0006-0000-0000-000008000000}">
      <text>
        <r>
          <rPr>
            <sz val="12"/>
            <color theme="1"/>
            <rFont val="Calibri"/>
            <scheme val="minor"/>
          </rPr>
          <t>======
ID#AAABSYYPzto
JAVIER JIMENEZ    (2024-05-16 15:30:35)
AJUSTAR RECURSOS INCREMENTANDOLOS</t>
        </r>
      </text>
    </comment>
    <comment ref="S97" authorId="0" shapeId="0" xr:uid="{00000000-0006-0000-0000-000009000000}">
      <text>
        <r>
          <rPr>
            <sz val="12"/>
            <color theme="1"/>
            <rFont val="Calibri"/>
            <scheme val="minor"/>
          </rPr>
          <t>======
ID#AAABSYYPzvo
JAVIER JIMENEZ    (2024-05-17 14:14:56)
Agregar 50 millones
------
ID#AAABSYYPzvs
Oscar Giovanny Sánchez Contreras    (2024-05-17 20:38:39)
desarrollar una versión anual</t>
        </r>
      </text>
    </comment>
    <comment ref="S117" authorId="0" shapeId="0" xr:uid="{00000000-0006-0000-0000-00000A000000}">
      <text>
        <r>
          <rPr>
            <sz val="12"/>
            <color theme="1"/>
            <rFont val="Calibri"/>
            <scheme val="minor"/>
          </rPr>
          <t>======
ID#AAABSYYPzvE
JAVIER JIMENEZ    (2024-05-18 14:09:54)
PONER RECURSOS. META NUEVA</t>
        </r>
      </text>
    </comment>
    <comment ref="S118" authorId="0" shapeId="0" xr:uid="{00000000-0006-0000-0000-00000B000000}">
      <text>
        <r>
          <rPr>
            <sz val="12"/>
            <color theme="1"/>
            <rFont val="Calibri"/>
            <scheme val="minor"/>
          </rPr>
          <t>======
ID#AAABSYWasXk
Oscar Giovanny Sánchez Contreras    (2024-05-18 00:13:07)
cambiar los recursos a 2025</t>
        </r>
      </text>
    </comment>
    <comment ref="S128" authorId="0" shapeId="0" xr:uid="{00000000-0006-0000-0000-00000C000000}">
      <text>
        <r>
          <rPr>
            <sz val="12"/>
            <color theme="1"/>
            <rFont val="Calibri"/>
            <scheme val="minor"/>
          </rPr>
          <t>======
ID#AAABSYYPzw0
Oscar Giovanny Sánchez Contreras    (2024-05-18 00:52:27)
modificar esta meta</t>
        </r>
      </text>
    </comment>
    <comment ref="S130" authorId="0" shapeId="0" xr:uid="{00000000-0006-0000-0000-00000D000000}">
      <text>
        <r>
          <rPr>
            <sz val="12"/>
            <color theme="1"/>
            <rFont val="Calibri"/>
            <scheme val="minor"/>
          </rPr>
          <t>======
ID#AAABSYYPzwI
Oscar Giovanny Sánchez Contreras    (2024-05-18 01:08:33)
30 millones por vigencia</t>
        </r>
      </text>
    </comment>
    <comment ref="T140" authorId="0" shapeId="0" xr:uid="{00000000-0006-0000-0000-00000E000000}">
      <text>
        <r>
          <rPr>
            <sz val="12"/>
            <color theme="1"/>
            <rFont val="Calibri"/>
            <scheme val="minor"/>
          </rPr>
          <t>======
ID#AAABSYYPzuU
Oscar Giovanny Sánchez Contreras    (2024-05-18 02:21:39)
revisar línea base</t>
        </r>
      </text>
    </comment>
    <comment ref="S161" authorId="0" shapeId="0" xr:uid="{00000000-0006-0000-0000-00000F000000}">
      <text>
        <r>
          <rPr>
            <sz val="12"/>
            <color theme="1"/>
            <rFont val="Calibri"/>
            <scheme val="minor"/>
          </rPr>
          <t>======
ID#AAABSYYPzvk
Oscar Giovanny Sánchez Contreras    (2024-05-20 20:08:58)
colocar el alcance</t>
        </r>
      </text>
    </comment>
    <comment ref="S167" authorId="0" shapeId="0" xr:uid="{00000000-0006-0000-0000-000010000000}">
      <text>
        <r>
          <rPr>
            <sz val="12"/>
            <color theme="1"/>
            <rFont val="Calibri"/>
            <scheme val="minor"/>
          </rPr>
          <t>======
ID#AAABSYYPzvM
JAVIER JIMENEZ    (2024-05-17 15:38:33)
Incluir nueva meta de uniformes a los estudiantes de las IED</t>
        </r>
      </text>
    </comment>
    <comment ref="S168" authorId="0" shapeId="0" xr:uid="{00000000-0006-0000-0000-000011000000}">
      <text>
        <r>
          <rPr>
            <sz val="12"/>
            <color theme="1"/>
            <rFont val="Calibri"/>
            <scheme val="minor"/>
          </rPr>
          <t>======
ID#AAABSYYPztU
Oscar Giovanny Sánchez Contreras    (2024-05-20 20:23:56)
arreglar la redacción haciendo mención a un aula por cada IED</t>
        </r>
      </text>
    </comment>
    <comment ref="S169" authorId="0" shapeId="0" xr:uid="{00000000-0006-0000-0000-000012000000}">
      <text>
        <r>
          <rPr>
            <sz val="12"/>
            <color theme="1"/>
            <rFont val="Calibri"/>
            <scheme val="minor"/>
          </rPr>
          <t>======
ID#AAABSYYPzuA
JAVIER JIMENEZ    (2024-05-16 20:55:18)
Continuar con la red de fibra óptica extendida</t>
        </r>
      </text>
    </comment>
    <comment ref="S171" authorId="0" shapeId="0" xr:uid="{00000000-0006-0000-0000-000013000000}">
      <text>
        <r>
          <rPr>
            <sz val="12"/>
            <color theme="1"/>
            <rFont val="Calibri"/>
            <scheme val="minor"/>
          </rPr>
          <t>======
ID#AAABSYYPzu4
JAVIER JIMENEZ    (2024-05-16 21:11:28)
Incrementar 90 millones anuales</t>
        </r>
      </text>
    </comment>
    <comment ref="S179" authorId="0" shapeId="0" xr:uid="{00000000-0006-0000-0000-000014000000}">
      <text>
        <r>
          <rPr>
            <sz val="12"/>
            <color theme="1"/>
            <rFont val="Calibri"/>
            <scheme val="minor"/>
          </rPr>
          <t>======
ID#AAABSYYPzuM
Oscar Giovanny Sánchez Contreras    (2024-05-20 20:25:19)
aclarar aulas steam y unificar esta meta</t>
        </r>
      </text>
    </comment>
    <comment ref="S186" authorId="0" shapeId="0" xr:uid="{00000000-0006-0000-0000-000015000000}">
      <text>
        <r>
          <rPr>
            <sz val="12"/>
            <color theme="1"/>
            <rFont val="Calibri"/>
            <scheme val="minor"/>
          </rPr>
          <t>======
ID#AAABSYYPzuY
Oscar Giovanny Sánchez Contreras    (2024-05-20 20:27:44)
revisar el plan de estímulos y su fortalecimiento, revisar si se puede aumentar rubro.</t>
        </r>
      </text>
    </comment>
    <comment ref="S191" authorId="0" shapeId="0" xr:uid="{00000000-0006-0000-0000-000016000000}">
      <text>
        <r>
          <rPr>
            <sz val="12"/>
            <color theme="1"/>
            <rFont val="Calibri"/>
            <scheme val="minor"/>
          </rPr>
          <t>======
ID#AAABSYYPzwo
JAVIER JIMENEZ    (2024-05-16 17:57:32)
25 millones anuales 100 cuatrieno</t>
        </r>
      </text>
    </comment>
    <comment ref="S192" authorId="0" shapeId="0" xr:uid="{00000000-0006-0000-0000-000017000000}">
      <text>
        <r>
          <rPr>
            <sz val="12"/>
            <color theme="1"/>
            <rFont val="Calibri"/>
            <scheme val="minor"/>
          </rPr>
          <t>======
ID#AAABSYYPzwE
Javier    (2024-06-18 14:05:23)
Se elimina la meta 188
se adicionan 25,000,000</t>
        </r>
      </text>
    </comment>
    <comment ref="S194" authorId="0" shapeId="0" xr:uid="{00000000-0006-0000-0000-000018000000}">
      <text>
        <r>
          <rPr>
            <sz val="12"/>
            <color theme="1"/>
            <rFont val="Calibri"/>
            <scheme val="minor"/>
          </rPr>
          <t>======
ID#AAABSYWasYE
JAVIER JIMENEZ    (2024-05-16 18:04:52)
Proyectar recurso para 26 y 27</t>
        </r>
      </text>
    </comment>
    <comment ref="S196" authorId="0" shapeId="0" xr:uid="{00000000-0006-0000-0000-000019000000}">
      <text>
        <r>
          <rPr>
            <sz val="12"/>
            <color theme="1"/>
            <rFont val="Calibri"/>
            <scheme val="minor"/>
          </rPr>
          <t>======
ID#AAABSYYPztc
JAVIER JIMENEZ    (2024-05-16 18:13:54)
año 2 proyecto</t>
        </r>
      </text>
    </comment>
    <comment ref="S202" authorId="0" shapeId="0" xr:uid="{00000000-0006-0000-0000-00001A000000}">
      <text>
        <r>
          <rPr>
            <sz val="12"/>
            <color theme="1"/>
            <rFont val="Calibri"/>
            <scheme val="minor"/>
          </rPr>
          <t>======
ID#AAABSYWasYI
JAVIER JIMENEZ    (2024-04-10 15:45:02)
nueva meta</t>
        </r>
      </text>
    </comment>
    <comment ref="S208" authorId="0" shapeId="0" xr:uid="{00000000-0006-0000-0000-00001B000000}">
      <text>
        <r>
          <rPr>
            <sz val="12"/>
            <color theme="1"/>
            <rFont val="Calibri"/>
            <scheme val="minor"/>
          </rPr>
          <t>======
ID#AAABSYYPztI
Oscar Giovanny Sánchez Contreras    (2024-05-20 20:33:35)
se sugiere diseñar  eimplementar a 100%</t>
        </r>
      </text>
    </comment>
    <comment ref="S210" authorId="0" shapeId="0" xr:uid="{00000000-0006-0000-0000-00001C000000}">
      <text>
        <r>
          <rPr>
            <sz val="12"/>
            <color theme="1"/>
            <rFont val="Calibri"/>
            <scheme val="minor"/>
          </rPr>
          <t>======
ID#AAABSYWasYU
Oscar Giovanny Sánchez Contreras    (2024-05-20 20:33:59)
impl y ejecutar</t>
        </r>
      </text>
    </comment>
    <comment ref="T214" authorId="0" shapeId="0" xr:uid="{00000000-0006-0000-0000-00001D000000}">
      <text>
        <r>
          <rPr>
            <sz val="12"/>
            <color theme="1"/>
            <rFont val="Calibri"/>
            <scheme val="minor"/>
          </rPr>
          <t>======
ID#AAABSYYPzwA
JAVIER JIMENEZ    (2024-05-16 20:23:30)
2430</t>
        </r>
      </text>
    </comment>
    <comment ref="S222" authorId="0" shapeId="0" xr:uid="{00000000-0006-0000-0000-00001E000000}">
      <text>
        <r>
          <rPr>
            <sz val="12"/>
            <color theme="1"/>
            <rFont val="Calibri"/>
            <scheme val="minor"/>
          </rPr>
          <t>======
ID#AAABSYYPzv0
JAVIER JIMENEZ    (2024-05-17 16:59:55)
fortalecer y ejecutar dice el Concejal Masias</t>
        </r>
      </text>
    </comment>
    <comment ref="S230" authorId="0" shapeId="0" xr:uid="{00000000-0006-0000-0000-00001F000000}">
      <text>
        <r>
          <rPr>
            <sz val="12"/>
            <color theme="1"/>
            <rFont val="Calibri"/>
            <scheme val="minor"/>
          </rPr>
          <t>======
ID#AAABSYYPzuk
JAVIER JIMENEZ    (2024-05-17 14:19:15)
700.000 PARA AÑO 2</t>
        </r>
      </text>
    </comment>
    <comment ref="T230" authorId="0" shapeId="0" xr:uid="{00000000-0006-0000-0000-000020000000}">
      <text>
        <r>
          <rPr>
            <sz val="12"/>
            <color theme="1"/>
            <rFont val="Calibri"/>
            <scheme val="minor"/>
          </rPr>
          <t>======
ID#AAABSYYPzt0
JAVIER JIMENEZ    (2024-05-17 17:23:13)
Número de máquinas que hay</t>
        </r>
      </text>
    </comment>
    <comment ref="S231" authorId="0" shapeId="0" xr:uid="{00000000-0006-0000-0000-000021000000}">
      <text>
        <r>
          <rPr>
            <sz val="12"/>
            <color theme="1"/>
            <rFont val="Calibri"/>
            <scheme val="minor"/>
          </rPr>
          <t>======
ID#AAABSYYPzws
JAVIER JIMENEZ    (2024-05-17 17:26:24)
Eliminar meta
------
ID#AAABSYYPzww
JAVIER JIMENEZ    (2024-05-17 17:36:01)
Revisar una meta para cancha sintética</t>
        </r>
      </text>
    </comment>
    <comment ref="S232" authorId="0" shapeId="0" xr:uid="{00000000-0006-0000-0000-000022000000}">
      <text>
        <r>
          <rPr>
            <sz val="12"/>
            <color theme="1"/>
            <rFont val="Calibri"/>
            <scheme val="minor"/>
          </rPr>
          <t>======
ID#AAABSYYPzw4
JAVIER JIMENEZ    (2024-05-17 14:17:05)
475 anuales
------
ID#AAABSYYPzw8
Oscar Giovanny Sánchez Contreras    (2024-05-20 20:38:07)
mejorar redacción</t>
        </r>
      </text>
    </comment>
    <comment ref="S233" authorId="0" shapeId="0" xr:uid="{00000000-0006-0000-0000-000023000000}">
      <text>
        <r>
          <rPr>
            <sz val="12"/>
            <color theme="1"/>
            <rFont val="Calibri"/>
            <scheme val="minor"/>
          </rPr>
          <t>======
ID#AAABSYYPzuc
JAVIER JIMENEZ    (2024-05-17 14:20:58)
AÑO 2
------
ID#AAABSYYPzug
Oscar Giovanny Sánchez Contreras    (2024-05-20 20:38:40)
distribuir el presupuesto asignado en las 4 vigencias</t>
        </r>
      </text>
    </comment>
    <comment ref="S239" authorId="0" shapeId="0" xr:uid="{00000000-0006-0000-0000-000024000000}">
      <text>
        <r>
          <rPr>
            <sz val="12"/>
            <color theme="1"/>
            <rFont val="Calibri"/>
            <scheme val="minor"/>
          </rPr>
          <t>======
ID#AAABSYYPzu8
Oscar Giovanny Sánchez Contreras    (2024-05-17 20:13:50)
subir 200 millones cuatrienio dd la meta de las veredas</t>
        </r>
      </text>
    </comment>
    <comment ref="S241" authorId="0" shapeId="0" xr:uid="{00000000-0006-0000-0000-000025000000}">
      <text>
        <r>
          <rPr>
            <sz val="12"/>
            <color theme="1"/>
            <rFont val="Calibri"/>
            <scheme val="minor"/>
          </rPr>
          <t>======
ID#AAABSYWasX0
Oscar Giovanny Sánchez Contreras    (2024-05-20 20:40:48)
se sugiere para un mínimo de 20 deportistas</t>
        </r>
      </text>
    </comment>
    <comment ref="S245" authorId="0" shapeId="0" xr:uid="{00000000-0006-0000-0000-000026000000}">
      <text>
        <r>
          <rPr>
            <sz val="12"/>
            <color theme="1"/>
            <rFont val="Calibri"/>
            <scheme val="minor"/>
          </rPr>
          <t>======
ID#AAABSYYPzwg
Oscar Giovanny Sánchez Contreras    (2024-05-17 20:11:10)
destinar de esta meta un valor a la meta 237.
----
meta de gestión
	-JAVIER JIMENEZ</t>
        </r>
      </text>
    </comment>
    <comment ref="S246" authorId="0" shapeId="0" xr:uid="{00000000-0006-0000-0000-000045000000}">
      <text>
        <r>
          <rPr>
            <sz val="12"/>
            <color theme="1"/>
            <rFont val="Calibri"/>
            <scheme val="minor"/>
          </rPr>
          <t>meta de gestión
	-JAVIER JIMENEZ</t>
        </r>
      </text>
    </comment>
    <comment ref="S247" authorId="0" shapeId="0" xr:uid="{00000000-0006-0000-0000-000027000000}">
      <text>
        <r>
          <rPr>
            <sz val="12"/>
            <color theme="1"/>
            <rFont val="Calibri"/>
            <scheme val="minor"/>
          </rPr>
          <t>======
ID#AAABSYYPzvQ
Oscar Giovanny Sánchez Contreras    (2024-05-17 20:17:31)
Formular e implementar a un 35% la pp</t>
        </r>
      </text>
    </comment>
    <comment ref="S248" authorId="0" shapeId="0" xr:uid="{00000000-0006-0000-0000-000028000000}">
      <text>
        <r>
          <rPr>
            <sz val="12"/>
            <color theme="1"/>
            <rFont val="Calibri"/>
            <scheme val="minor"/>
          </rPr>
          <t>======
ID#AAABSYYPztE
Oscar Giovanny Sánchez Contreras    (2024-05-17 20:19:31)
cambiada en capacitaciones</t>
        </r>
      </text>
    </comment>
    <comment ref="S249" authorId="0" shapeId="0" xr:uid="{00000000-0006-0000-0000-000029000000}">
      <text>
        <r>
          <rPr>
            <sz val="12"/>
            <color theme="1"/>
            <rFont val="Calibri"/>
            <scheme val="minor"/>
          </rPr>
          <t>======
ID#AAABSYYPzv4
JAVIER JIMENEZ    (2024-04-10 22:35:51)
AÑO</t>
        </r>
      </text>
    </comment>
    <comment ref="S260" authorId="0" shapeId="0" xr:uid="{00000000-0006-0000-0000-000044000000}">
      <text>
        <r>
          <rPr>
            <sz val="12"/>
            <color theme="1"/>
            <rFont val="Calibri"/>
            <scheme val="minor"/>
          </rPr>
          <t>meta de gestión
	-JAVIER JIMENEZ</t>
        </r>
      </text>
    </comment>
    <comment ref="S267" authorId="0" shapeId="0" xr:uid="{00000000-0006-0000-0000-00002A000000}">
      <text>
        <r>
          <rPr>
            <sz val="12"/>
            <color theme="1"/>
            <rFont val="Calibri"/>
            <scheme val="minor"/>
          </rPr>
          <t>======
ID#AAABSYWasXw
Oscar Giovanny Sánchez Contreras    (2024-05-17 23:14:38)
se modificó personas por mujeres</t>
        </r>
      </text>
    </comment>
    <comment ref="S268" authorId="0" shapeId="0" xr:uid="{00000000-0006-0000-0000-00002B000000}">
      <text>
        <r>
          <rPr>
            <sz val="12"/>
            <color theme="1"/>
            <rFont val="Calibri"/>
            <scheme val="minor"/>
          </rPr>
          <t>======
ID#AAABSYWasX8
Oscar Giovanny Sánchez Contreras    (2024-05-17 20:30:42)
un evento anual</t>
        </r>
      </text>
    </comment>
    <comment ref="S273" authorId="0" shapeId="0" xr:uid="{00000000-0006-0000-0000-00002C000000}">
      <text>
        <r>
          <rPr>
            <sz val="12"/>
            <color theme="1"/>
            <rFont val="Calibri"/>
            <scheme val="minor"/>
          </rPr>
          <t>======
ID#AAABSYYPztk
Oscar Giovanny Sánchez Contreras    (2024-05-17 22:18:49)
se modificó el alcance</t>
        </r>
      </text>
    </comment>
    <comment ref="S276" authorId="0" shapeId="0" xr:uid="{00000000-0006-0000-0000-00002D000000}">
      <text>
        <r>
          <rPr>
            <sz val="12"/>
            <color theme="1"/>
            <rFont val="Calibri"/>
            <scheme val="minor"/>
          </rPr>
          <t>======
ID#AAABSYYPzv8
Oscar Giovanny Sánchez Contreras    (2024-05-17 22:45:43)
modificado el nombre</t>
        </r>
      </text>
    </comment>
    <comment ref="S277" authorId="0" shapeId="0" xr:uid="{00000000-0006-0000-0000-00002E000000}">
      <text>
        <r>
          <rPr>
            <sz val="12"/>
            <color theme="1"/>
            <rFont val="Calibri"/>
            <scheme val="minor"/>
          </rPr>
          <t>======
ID#AAABSYYPzvU
Oscar Giovanny Sánchez Contreras    (2024-05-17 22:59:03)
aumentar 50 millones anuales
------
ID#AAABSYYPzvY
Oscar Giovanny Sánchez Contreras    (2024-05-20 20:46:37)
se sugiere aumentar a 214 mujeres</t>
        </r>
      </text>
    </comment>
    <comment ref="S279" authorId="0" shapeId="0" xr:uid="{00000000-0006-0000-0000-00002F000000}">
      <text>
        <r>
          <rPr>
            <sz val="12"/>
            <color theme="1"/>
            <rFont val="Calibri"/>
            <scheme val="minor"/>
          </rPr>
          <t>======
ID#AAABSYYPzuo
Oscar Giovanny Sánchez Contreras    (2024-05-17 23:07:19)
porcentaje de vehículo para esta meta
------
ID#AAABSYYPzus
Oscar Giovanny Sánchez Contreras    (2024-05-17 23:11:21)
200 millones
------
ID#AAABSYYPzuw
Oscar Giovanny Sánchez Contreras    (2024-05-20 20:47:51)
compra de vehículo los 200 millones</t>
        </r>
      </text>
    </comment>
    <comment ref="S280" authorId="0" shapeId="0" xr:uid="{00000000-0006-0000-0000-000030000000}">
      <text>
        <r>
          <rPr>
            <sz val="12"/>
            <color theme="1"/>
            <rFont val="Calibri"/>
            <scheme val="minor"/>
          </rPr>
          <t>======
ID#AAABSYYPzvw
Oscar Giovanny Sánchez Contreras    (2024-05-20 20:48:59)
cuál es la estrategia o estrategias</t>
        </r>
      </text>
    </comment>
    <comment ref="S282" authorId="0" shapeId="0" xr:uid="{00000000-0006-0000-0000-000031000000}">
      <text>
        <r>
          <rPr>
            <sz val="12"/>
            <color theme="1"/>
            <rFont val="Calibri"/>
            <scheme val="minor"/>
          </rPr>
          <t>======
ID#AAABSYYPztM
Oscar Giovanny Sánchez Contreras    (2024-05-20 20:49:49)
revisar presupuesto</t>
        </r>
      </text>
    </comment>
    <comment ref="S292" authorId="0" shapeId="0" xr:uid="{00000000-0006-0000-0000-000032000000}">
      <text>
        <r>
          <rPr>
            <sz val="12"/>
            <color theme="1"/>
            <rFont val="Calibri"/>
            <scheme val="minor"/>
          </rPr>
          <t>======
ID#AAABSYWasYA
JAVIER JIMENEZ    (2024-05-16 16:24:55)
PPTO PARA 2024 Y 2025</t>
        </r>
      </text>
    </comment>
    <comment ref="S293" authorId="0" shapeId="0" xr:uid="{00000000-0006-0000-0000-000033000000}">
      <text>
        <r>
          <rPr>
            <sz val="12"/>
            <color theme="1"/>
            <rFont val="Calibri"/>
            <scheme val="minor"/>
          </rPr>
          <t>======
ID#AAABSYYPzwU
JAVIER JIMENEZ    (2024-05-16 16:30:26)
Beneficiar a 6 proyectos juveniles con estímulos e incentivos de manera anual</t>
        </r>
      </text>
    </comment>
    <comment ref="S298" authorId="0" shapeId="0" xr:uid="{00000000-0006-0000-0000-000034000000}">
      <text>
        <r>
          <rPr>
            <sz val="12"/>
            <color theme="1"/>
            <rFont val="Calibri"/>
            <scheme val="minor"/>
          </rPr>
          <t>======
ID#AAABSYWasXo
Oscar Giovanny Sánchez Contreras    (2024-05-17 20:36:48)
personas con discapacidad</t>
        </r>
      </text>
    </comment>
    <comment ref="S300" authorId="0" shapeId="0" xr:uid="{00000000-0006-0000-0000-000035000000}">
      <text>
        <r>
          <rPr>
            <sz val="12"/>
            <color theme="1"/>
            <rFont val="Calibri"/>
            <scheme val="minor"/>
          </rPr>
          <t>======
ID#AAABSYYPzvA
JAVIER JIMENEZ    (2024-05-16 17:02:21)
Modificar meta según la meta de adulto mayor reflejando la población a beneficiar en unidades</t>
        </r>
      </text>
    </comment>
    <comment ref="J301" authorId="0" shapeId="0" xr:uid="{00000000-0006-0000-0000-000036000000}">
      <text>
        <r>
          <rPr>
            <sz val="12"/>
            <color theme="1"/>
            <rFont val="Calibri"/>
            <scheme val="minor"/>
          </rPr>
          <t>======
ID#AAABSYYPzt8
Oscar Giovanny Sánchez Contreras    (2024-05-20 21:08:12)
cambiar por personas con discapacidad.</t>
        </r>
      </text>
    </comment>
    <comment ref="S305" authorId="0" shapeId="0" xr:uid="{00000000-0006-0000-0000-000037000000}">
      <text>
        <r>
          <rPr>
            <sz val="12"/>
            <color theme="1"/>
            <rFont val="Calibri"/>
            <scheme val="minor"/>
          </rPr>
          <t>======
ID#AAABSYYPzwY
JAVIER JIMENEZ    (2024-05-25 15:14:17)
REDUCIR A 1000 CUATRIENIO
------
ID#AAABSYYPzwc
JAVIER JIMENEZ    (2024-05-25 15:15:21)
2024:100, 2025 EN ADELANTE 300</t>
        </r>
      </text>
    </comment>
    <comment ref="S306" authorId="0" shapeId="0" xr:uid="{00000000-0006-0000-0000-000038000000}">
      <text>
        <r>
          <rPr>
            <sz val="12"/>
            <color theme="1"/>
            <rFont val="Calibri"/>
            <scheme val="minor"/>
          </rPr>
          <t>======
ID#AAABSYYPzu0
JAVIER JIMENEZ    (2024-05-18 16:58:10)
1500 para redistribuir</t>
        </r>
      </text>
    </comment>
    <comment ref="S308" authorId="0" shapeId="0" xr:uid="{00000000-0006-0000-0000-000039000000}">
      <text>
        <r>
          <rPr>
            <sz val="12"/>
            <color theme="1"/>
            <rFont val="Calibri"/>
            <scheme val="minor"/>
          </rPr>
          <t>======
ID#AAABSYYPztg
JAVIER JIMENEZ    (2024-05-25 15:21:39)
2024: 55, 2025: 120, 2026:120, 2027: 125,250</t>
        </r>
      </text>
    </comment>
    <comment ref="S309" authorId="0" shapeId="0" xr:uid="{00000000-0006-0000-0000-00003A000000}">
      <text>
        <r>
          <rPr>
            <sz val="12"/>
            <color theme="1"/>
            <rFont val="Calibri"/>
            <scheme val="minor"/>
          </rPr>
          <t>======
ID#AAABSYYPzuE
JAVIER JIMENEZ    (2024-05-25 15:24:45)
AÑO 2: 952704360, AÑO 4:952704360</t>
        </r>
      </text>
    </comment>
    <comment ref="S312" authorId="0" shapeId="0" xr:uid="{00000000-0006-0000-0000-00003B000000}">
      <text>
        <r>
          <rPr>
            <sz val="12"/>
            <color theme="1"/>
            <rFont val="Calibri"/>
            <scheme val="minor"/>
          </rPr>
          <t>======
ID#AAABSYYPztQ
JAVIER JIMENEZ    (2024-05-18 18:27:17)
Política pública de daño antijurídico revisar si si es nueva meta o no!!</t>
        </r>
      </text>
    </comment>
    <comment ref="S313" authorId="0" shapeId="0" xr:uid="{00000000-0006-0000-0000-00003C000000}">
      <text>
        <r>
          <rPr>
            <sz val="12"/>
            <color theme="1"/>
            <rFont val="Calibri"/>
            <scheme val="minor"/>
          </rPr>
          <t>======
ID#AAABSYYPzts
JAVIER JIMENEZ    (2024-05-25 15:26:56)
SE TOMAN 1.000 DE LA META DE LA MODERNIZACIÓN
------
ID#AAABSYYPztw
JAVIER JIMENEZ    (2024-05-25 15:28:01)
2024: 400, 2025:750, 2026:750, 2027:700</t>
        </r>
      </text>
    </comment>
    <comment ref="S315" authorId="0" shapeId="0" xr:uid="{00000000-0006-0000-0000-00003D000000}">
      <text>
        <r>
          <rPr>
            <sz val="12"/>
            <color theme="1"/>
            <rFont val="Calibri"/>
            <scheme val="minor"/>
          </rPr>
          <t>======
ID#AAABSYYPzvc
JAVIER JIMENEZ    (2024-05-25 15:32:22)
2024: 300, 2025: 405, 2026: 405, 2027:405</t>
        </r>
      </text>
    </comment>
    <comment ref="S316" authorId="0" shapeId="0" xr:uid="{00000000-0006-0000-0000-00003E000000}">
      <text>
        <r>
          <rPr>
            <sz val="12"/>
            <color theme="1"/>
            <rFont val="Calibri"/>
            <scheme val="minor"/>
          </rPr>
          <t>======
ID#AAABSYYPzuI
JAVIER JIMENEZ    (2024-05-25 15:40:10)
2024: 90, 2025: 250, 2026: 90, 2027:90</t>
        </r>
      </text>
    </comment>
    <comment ref="S317" authorId="0" shapeId="0" xr:uid="{00000000-0006-0000-0000-00003F000000}">
      <text>
        <r>
          <rPr>
            <sz val="12"/>
            <color theme="1"/>
            <rFont val="Calibri"/>
            <scheme val="minor"/>
          </rPr>
          <t>======
ID#AAABSYWasXs
JAVIER JIMENEZ    (2024-05-25 15:34:41)
2026:180, 2017:170</t>
        </r>
      </text>
    </comment>
    <comment ref="S319" authorId="0" shapeId="0" xr:uid="{00000000-0006-0000-0000-000040000000}">
      <text>
        <r>
          <rPr>
            <sz val="12"/>
            <color theme="1"/>
            <rFont val="Calibri"/>
            <scheme val="minor"/>
          </rPr>
          <t>======
ID#AAABSYWasYM
JAVIER JIMENEZ    (2024-05-18 17:37:25)
- 100 y para gestión documental en año 2
------
ID#AAABSYWasYQ
JAVIER JIMENEZ    (2024-05-25 15:43:20)
2025:170, 2026150: 2027:150</t>
        </r>
      </text>
    </comment>
    <comment ref="S320" authorId="0" shapeId="0" xr:uid="{00000000-0006-0000-0000-000041000000}">
      <text>
        <r>
          <rPr>
            <sz val="12"/>
            <color theme="1"/>
            <rFont val="Calibri"/>
            <scheme val="minor"/>
          </rPr>
          <t>======
ID#AAABSYYPztY
JAVIER JIMENEZ    (2024-05-25 15:46:35)
2024: 680, 2025:0, 2026: 300, 2027:300</t>
        </r>
      </text>
    </comment>
    <comment ref="S325" authorId="0" shapeId="0" xr:uid="{00000000-0006-0000-0000-000042000000}">
      <text>
        <r>
          <rPr>
            <sz val="12"/>
            <color theme="1"/>
            <rFont val="Calibri"/>
            <scheme val="minor"/>
          </rPr>
          <t>======
ID#AAABSYYPzuQ
JAVIER JIMENEZ    (2024-05-25 15:58:01)
seguridad: 12mi. 3mil  por año. Mantenimiento: 12 mil más</t>
        </r>
      </text>
    </comment>
  </commentList>
</comments>
</file>

<file path=xl/sharedStrings.xml><?xml version="1.0" encoding="utf-8"?>
<sst xmlns="http://schemas.openxmlformats.org/spreadsheetml/2006/main" count="6176" uniqueCount="1649">
  <si>
    <t>EJE</t>
  </si>
  <si>
    <t>PONDERADOR EJE</t>
  </si>
  <si>
    <t>NOMBRE DE SECTOR</t>
  </si>
  <si>
    <t>SECTOR MGA</t>
  </si>
  <si>
    <t>PROGRAMA MGA</t>
  </si>
  <si>
    <t>COD,.INT. PROGRAMA</t>
  </si>
  <si>
    <t>PROGRAMA PDT</t>
  </si>
  <si>
    <t>COD SUBPROGRAMA</t>
  </si>
  <si>
    <t>COD. INT, SUBPROGRAMA</t>
  </si>
  <si>
    <t>SUBPROGRAMA</t>
  </si>
  <si>
    <t>COD. INT. MR</t>
  </si>
  <si>
    <t>META DE RESULTADO</t>
  </si>
  <si>
    <t>INDICADOR DE RESULTADO</t>
  </si>
  <si>
    <t>L.B</t>
  </si>
  <si>
    <t>PRODUCTO MGA</t>
  </si>
  <si>
    <t>BPIN</t>
  </si>
  <si>
    <t>NOMBRE DEL PROYECTO</t>
  </si>
  <si>
    <t>COD META PRODUCTO</t>
  </si>
  <si>
    <t>META DE PRODUCTO</t>
  </si>
  <si>
    <t>UNIDAD DE MEDIDA</t>
  </si>
  <si>
    <t>TENDENCIA  INDICADOR</t>
  </si>
  <si>
    <t>INDICADOR</t>
  </si>
  <si>
    <t>RESPONSABLE</t>
  </si>
  <si>
    <t>PACTO POR LA NIŃEZ</t>
  </si>
  <si>
    <t>VALOR ESPERADO CUATRIENIO</t>
  </si>
  <si>
    <t>% TOTAL  EJEJCUTADO 2024 VS CUATRIENIO</t>
  </si>
  <si>
    <t>% TOTAL EJECUTADO 2025 VS CUATRIENIO</t>
  </si>
  <si>
    <t>% TOTAL EJECUTADO 2026 VS CUATRIENIO</t>
  </si>
  <si>
    <t>% TOTAL EJECUTADO 2027 VS CUATRIENIO</t>
  </si>
  <si>
    <t>PORCENTAJE TOTAL PDM AVANCE CUATRIENIO</t>
  </si>
  <si>
    <t>VALOR ESPERADO 2024</t>
  </si>
  <si>
    <t>VALOR ESPERADO 2025</t>
  </si>
  <si>
    <t>VALOR ESPERADO 2026</t>
  </si>
  <si>
    <t>VALOR ESPERADO 2027</t>
  </si>
  <si>
    <t>T1. PLANEADO 2024</t>
  </si>
  <si>
    <t>T1. EJECUTADO 2024</t>
  </si>
  <si>
    <t>T2. PLANEADO 2024</t>
  </si>
  <si>
    <t>T2. EJECUTADO 2024</t>
  </si>
  <si>
    <t>T3. PLANEADO 2024</t>
  </si>
  <si>
    <t>T3. EJECUTADO 2024</t>
  </si>
  <si>
    <t>T4. PLANEADO 2024</t>
  </si>
  <si>
    <t>T.4 EJECUTADO 2024</t>
  </si>
  <si>
    <t>TOTAL PLANEADO 2024</t>
  </si>
  <si>
    <t>TOTAL EJECUTADO 2024</t>
  </si>
  <si>
    <t>AVANCE 2024</t>
  </si>
  <si>
    <t>% TOTAL PLANEADO 2024</t>
  </si>
  <si>
    <t>% TOTAL AVANCE 2024</t>
  </si>
  <si>
    <t>ESTADO PROGRAMADO-NO PROGRAMADO</t>
  </si>
  <si>
    <t xml:space="preserve"> SOPORTES DE CUMPLIMIENTO 2024</t>
  </si>
  <si>
    <t>T1. PLANEADO 2025</t>
  </si>
  <si>
    <t>T1. EJECUTADO 2025</t>
  </si>
  <si>
    <t>T2. PLANEADO 2025</t>
  </si>
  <si>
    <t>T2. EJECUTADO 2025</t>
  </si>
  <si>
    <t>T3. PLANEADO 2025</t>
  </si>
  <si>
    <t>T3. EJECUTADO 2025</t>
  </si>
  <si>
    <t>T4. PLANEADO 2025</t>
  </si>
  <si>
    <t>T.4 EJECUTADO 2025</t>
  </si>
  <si>
    <t>TOTAL PLANEADO 2025</t>
  </si>
  <si>
    <t>TOTAL EJECUTADO 2025</t>
  </si>
  <si>
    <t>AVANCE 2025</t>
  </si>
  <si>
    <t>% TOTAL PLANEADO 2025</t>
  </si>
  <si>
    <t>% TOTAL AVANCE 2025</t>
  </si>
  <si>
    <t xml:space="preserve"> SOPORTES DE CUMPLIMIENTO 2025</t>
  </si>
  <si>
    <t>APROPIACION DEFINITIVA 2025</t>
  </si>
  <si>
    <t>COMPROMISOS 2025</t>
  </si>
  <si>
    <t>APROPIACION 2024</t>
  </si>
  <si>
    <t>COMPROMISOS 2024</t>
  </si>
  <si>
    <t>TOTAL ASIGNADO</t>
  </si>
  <si>
    <t>TOTAL COMPROMISOS</t>
  </si>
  <si>
    <t>% EJECUCIÓN FINANCIERA</t>
  </si>
  <si>
    <t>APROPIACION INICIAL 2025</t>
  </si>
  <si>
    <t>PAGOS 2025</t>
  </si>
  <si>
    <t>% EJECUCION 2025</t>
  </si>
  <si>
    <t>2024 PLAN FINANCIERO PDM</t>
  </si>
  <si>
    <t>2025 PLAN FINANCIERO PDM</t>
  </si>
  <si>
    <t>2026 PLAN FINANCIERO PDM</t>
  </si>
  <si>
    <t>2027 PLAN FINANCIERO PDM</t>
  </si>
  <si>
    <t>TOTALES PLAN FINANCIERO PDM</t>
  </si>
  <si>
    <t xml:space="preserve">Eje 1. Ambiente, Conectividad y Ordenamiento y servicios públicos 
</t>
  </si>
  <si>
    <t xml:space="preserve">Programa Integral de Sostenibilidad y Educación Ambiental (PISEA) 
(Gestión Intergal del recurso hídrico)
</t>
  </si>
  <si>
    <t>0900</t>
  </si>
  <si>
    <t>CUSOR- Conservación y Uso Sostenible de los Recursos Hídricos</t>
  </si>
  <si>
    <t>1.1.1</t>
  </si>
  <si>
    <t xml:space="preserve">Implementar al 100% las acciones integrales para la protección de áreas de interés hídrico, caracterización y conservación del recurso hídrico y  la ejecución de políticas efectivas para la gestión del cambio climático
</t>
  </si>
  <si>
    <t>Porcentaje de acciones integrales para la protección de áreas de interés hídrico, caracterización y conservación del recurso hídrico implementadas</t>
  </si>
  <si>
    <t>Implementación de la educacion, sensibilizacion ambiental y Uso Sostenible de los Recursos Hídricos en el Municipio de Tenjo Cundinamarca</t>
  </si>
  <si>
    <t>Dar cumplimiento a las estrategias enmarcadas en el art. 111 de la Ley 99 de 1993 "Adquisición o mantenimiento de áreas de interés para acueductos municipales, distritales y regionales"</t>
  </si>
  <si>
    <t xml:space="preserve">2 Estrategias (Reforestación y manteniniento)
880 has DMI
308 Has de propiedad del municipio </t>
  </si>
  <si>
    <t>Número</t>
  </si>
  <si>
    <t>I</t>
  </si>
  <si>
    <t>Actividades desarrolladas</t>
  </si>
  <si>
    <t>Secretaría de Desarrollo Económico y Medio Ambiente o quien haga sus veces</t>
  </si>
  <si>
    <t>P</t>
  </si>
  <si>
    <t xml:space="preserve"> META 1</t>
  </si>
  <si>
    <t>Meta 1.docx</t>
  </si>
  <si>
    <t xml:space="preserve">Eje 1. Ambiente, Conectividad y Ordenamiento y servicios públicos 
</t>
  </si>
  <si>
    <t>Implementar 1 estrategia para la caracterización y conservación del recurso hídrico del municipio en el marco del POMCA del Río Bogotá y de la Sentencia del Río Bogotá</t>
  </si>
  <si>
    <t xml:space="preserve">Número de actividades realizadas  </t>
  </si>
  <si>
    <t xml:space="preserve">META 2 </t>
  </si>
  <si>
    <t>Meta 2.docx</t>
  </si>
  <si>
    <t>Implementar 4 líneas estratégicas de la política pública  de gestión  integral del cambio climático departamental (ORDENANZA No. 0112/2023)</t>
  </si>
  <si>
    <t xml:space="preserve">4 líneas estratégicas implementadas </t>
  </si>
  <si>
    <t>META 3</t>
  </si>
  <si>
    <t>Meta 3.docx</t>
  </si>
  <si>
    <t>Es el Tiempo de la Educación y Sensibilización Ambiental</t>
  </si>
  <si>
    <t>1.1.2</t>
  </si>
  <si>
    <t xml:space="preserve"> Implementar en 25% la Política Pública de Educación Ambiental, actualizando y ejecutando completamente el Plan Institucional de Gestión Ambiental (PIGA), y fomentando la participación de la comunidad en la preservación y valoración de los recursos naturales a través de programas educativos</t>
  </si>
  <si>
    <t>Porcentaje de política de Educación Ambiental implementado</t>
  </si>
  <si>
    <t xml:space="preserve">Formular e implementar al 25% la Política Pública de Educación Ambiental </t>
  </si>
  <si>
    <t>Porcentaje</t>
  </si>
  <si>
    <t>1 política Pública formulada e implementada al 25%</t>
  </si>
  <si>
    <t xml:space="preserve">META 4 </t>
  </si>
  <si>
    <t>Meta 4.docx</t>
  </si>
  <si>
    <t>Actualizar e implementar el Plan Institucional de Gestión Ambiental PIGA</t>
  </si>
  <si>
    <t>M</t>
  </si>
  <si>
    <t>1 plan actualizado e implementado</t>
  </si>
  <si>
    <t xml:space="preserve">META 5 </t>
  </si>
  <si>
    <t>Meta 5.docx</t>
  </si>
  <si>
    <t>Ejecutar un modelo de sensibilización de potencialidades ambientales  involucrando la comunidad educativa, grupos ambientalistas, JAC y comunidad en general</t>
  </si>
  <si>
    <t>Modelo ejecutado</t>
  </si>
  <si>
    <t>META 6</t>
  </si>
  <si>
    <t>Meta 6.docx</t>
  </si>
  <si>
    <t xml:space="preserve">Ejecutar al 100% los PROCEDAS </t>
  </si>
  <si>
    <t>Porcentaje PROCEDAS ejecutado</t>
  </si>
  <si>
    <t>SI</t>
  </si>
  <si>
    <t xml:space="preserve">META 7 </t>
  </si>
  <si>
    <t>Meta 7.docx</t>
  </si>
  <si>
    <t>Programa Integral de Transformación Urbana (PINTU)
(Ordenamiento territorial y desarrollo urbano)</t>
  </si>
  <si>
    <t xml:space="preserve">Es el tiempo de la legalización y saneamiento urbanístico </t>
  </si>
  <si>
    <t>2.1.1</t>
  </si>
  <si>
    <t>Asegurar al 100% la eficacia en la gestión y regulación de propiedades para el uso público en el municipio, logrando la legalización y saneamiento para infraestructura y equipamiento público</t>
  </si>
  <si>
    <t>Porcentaje de eficacia en la gestión y regulación de propiedades para el uso público en el municipio asegurado</t>
  </si>
  <si>
    <t>Fortalecimiento integral del programa de transformacion Urbana en el Municipio de Tenjo Cundinamarca</t>
  </si>
  <si>
    <t>Realizar en mínimo 10 predios de interés el proceso de formalización y saneamiento</t>
  </si>
  <si>
    <t xml:space="preserve">Número de predios de interés con proceso de formalización y saneamiento </t>
  </si>
  <si>
    <t xml:space="preserve">Sec. de Planeación y Desarrollo Territorial </t>
  </si>
  <si>
    <t>Meta 8.docx</t>
  </si>
  <si>
    <t>Realizar la titulación del  80% de bienes destinados al uso público en actuaciones urbanísticas a favor del municipio</t>
  </si>
  <si>
    <t xml:space="preserve">Porcentaje de funcionamiento del Banco Inmobiliario </t>
  </si>
  <si>
    <t>Sec.  de Urbanismo</t>
  </si>
  <si>
    <t>META 09.docx</t>
  </si>
  <si>
    <t>Meta 9.docx</t>
  </si>
  <si>
    <t>Ejecutar al 100 % un proceso con la empresa inmobiliaria de Cundinamarca para la compra y adquisición de predios para uso institucional, dotacional, espacio público, cultural y otros.</t>
  </si>
  <si>
    <t>Porcentaje del proceso de compra de predios ejecutados</t>
  </si>
  <si>
    <t>META 10.docx</t>
  </si>
  <si>
    <t>Meta 10.docx</t>
  </si>
  <si>
    <t xml:space="preserve">2,2 </t>
  </si>
  <si>
    <t>Acciones urbanísticas innovadoras</t>
  </si>
  <si>
    <t>2.2.1</t>
  </si>
  <si>
    <t>Optimizar al 100% la gestión y regulación del uso del suelo en el municipio</t>
  </si>
  <si>
    <t>Porcentaje de gestión y regulación del uso del suelo optimizada</t>
  </si>
  <si>
    <t xml:space="preserve"> Implementar anualmente un programa de gestión urbanística y financiación del suelo</t>
  </si>
  <si>
    <t>Programa de revisión de instrumentos de gestión y financiación del suelo implementado</t>
  </si>
  <si>
    <t>META 11.docx</t>
  </si>
  <si>
    <t>Meta 11.docx</t>
  </si>
  <si>
    <t>Programa Avanzado de Gestión Territorial Inteligente (PRAGETI)
(Fortalecimiento a la gestión y dirección de la gestió pública territorial)</t>
  </si>
  <si>
    <t>Sistemas de Información y datos para la toma de decisiones</t>
  </si>
  <si>
    <t>3.1.1</t>
  </si>
  <si>
    <t>Implementar al 100%  el sistema de Información y datos de gestión del desarrollo territorial y  toma de decisiones, mediante la implementación efectiva de tecnologías avanzadas en análisis de datos y la optimización del funcionamiento de los consejos y comités de planificación y estratificación</t>
  </si>
  <si>
    <t>Porcentaje de sistema de Información y datos implementado</t>
  </si>
  <si>
    <t>Fortalecimiento a la direccion y gestión publica en el Municipio de Tenjo Cundinamarca</t>
  </si>
  <si>
    <t>Actualizar mantener y fortalecer en un 100% la infraestructura de datos espaciales en el cuatrienio</t>
  </si>
  <si>
    <t>Funcionamiento garantizado</t>
  </si>
  <si>
    <t>Meta 12.docx</t>
  </si>
  <si>
    <t>Garantizar el funcionamiento del servicio público de catastro multipropósito, logrando la hablilitación como Gestor Catastral al 100%</t>
  </si>
  <si>
    <t>Meta 13.docx</t>
  </si>
  <si>
    <t xml:space="preserve">Formular al 100% los proyectos de inversión para el cumplimiento de metas del plan de desarrollo municipal </t>
  </si>
  <si>
    <t>SD</t>
  </si>
  <si>
    <t xml:space="preserve">Porcentaje de proyectos de inversión formulados y actualizados </t>
  </si>
  <si>
    <t>Meta 14.docx</t>
  </si>
  <si>
    <t>Desarrollar 4 seguimientos anuales a la ejecución del Plan de Desarrollo Territorial gerenado un esquema de ajuste a y mejoras en la toma de decisiones</t>
  </si>
  <si>
    <t xml:space="preserve">Seguimientos anuales al plan de Desarrollo realizados </t>
  </si>
  <si>
    <t>Meta 15.docx</t>
  </si>
  <si>
    <t>Implementar un modelo de gobierno de datos con el manejo de herramientas de analítica de datos para la toma de decisiones.</t>
  </si>
  <si>
    <t>Modelo de gobierno de datos implementado</t>
  </si>
  <si>
    <t>Meta 16.docx</t>
  </si>
  <si>
    <t>Garantizar el sistema de información y el proceso de encuestas del sisben al 100%</t>
  </si>
  <si>
    <t>Meta 17.docx</t>
  </si>
  <si>
    <t>Garantizar el funcionamiento del Consejo Territorial de Planeación</t>
  </si>
  <si>
    <t>Meta 18.docx</t>
  </si>
  <si>
    <t>Garantizar el funcionamiento de comité de estratificación</t>
  </si>
  <si>
    <t>Actalización aplicada</t>
  </si>
  <si>
    <t>Meta 19.docx</t>
  </si>
  <si>
    <t>Ordenamiento Territorial y Desarrollo Urbano Inteligente y Sostenible-OTEDUS
(Ordenamiento territorial y desarrollo urbano)</t>
  </si>
  <si>
    <t>Ordenamiento Territorial Inteligente</t>
  </si>
  <si>
    <t>4.1.1</t>
  </si>
  <si>
    <t>Garantizar al 100% las acciones de revisión, ajustes y actualización de PBOT</t>
  </si>
  <si>
    <t>Porcentaje de acciones de garantizadas</t>
  </si>
  <si>
    <t>Implementación del Desarrollo Urbano y Ordenamiento Territorial Inteligente en el Municipio de Tenjo Cundinamarca</t>
  </si>
  <si>
    <t>Desarrollar un programa de actualización cartográfica</t>
  </si>
  <si>
    <t>Programa desarrollado</t>
  </si>
  <si>
    <t>Meta 20.docx</t>
  </si>
  <si>
    <t>NP</t>
  </si>
  <si>
    <t xml:space="preserve">Realizar un proceso de revisión y ajustes al PBOT en el cuatrienio </t>
  </si>
  <si>
    <t xml:space="preserve">Proceso de revisión realizado </t>
  </si>
  <si>
    <t>Meta 21.docx</t>
  </si>
  <si>
    <t>Mantener actualizado al 100% el expediente municipal del PBOT</t>
  </si>
  <si>
    <t xml:space="preserve">Expediente municipal fortalecido </t>
  </si>
  <si>
    <t>Meta 22.docx</t>
  </si>
  <si>
    <t>4.1.2</t>
  </si>
  <si>
    <t>Garantizar al 100% las acciones de implementación del PEMP programadas para el cuatrienio</t>
  </si>
  <si>
    <t xml:space="preserve">Ejecutar el 30% del Plan Especial de Manejo y Protección PEMP con base en lineamientos de MinCultura </t>
  </si>
  <si>
    <t>PEMP actualizado</t>
  </si>
  <si>
    <t>Meta 23.docx</t>
  </si>
  <si>
    <t>Modernizar la infraestructura física del Parque Principal optimizando la actividad turística y el valor patrimonial del municipio de Tenjo en concordancia con el PEMP</t>
  </si>
  <si>
    <t>Número de parques modernizados</t>
  </si>
  <si>
    <t>Sec. Infraestructura y Obra Pública</t>
  </si>
  <si>
    <t>Meta 24.docx</t>
  </si>
  <si>
    <t>Programa Integral de Innovación de Servicios Públicos de Acuedcto, Alcantarillado y Aseo (PISAAA)
(Acceso de la población a los servicios de agua potable y saneamiento básico)</t>
  </si>
  <si>
    <t>Es el tiempo de Agua Potable con Calidad</t>
  </si>
  <si>
    <t>5.1.1</t>
  </si>
  <si>
    <t>Incrementar al 99% la calidad y continuidad del servicio de acueducto</t>
  </si>
  <si>
    <t>Porcentaje de calidad y continuidad del servicios de acueducto incrementado</t>
  </si>
  <si>
    <t>% en el municipio 97,93
% en la cabecera municipal 99,58
% Centros poblados y rural disperso 96,73
Fuente: Dane.mapa.argis.com</t>
  </si>
  <si>
    <t>Optimización del programa integral para el acceso de la población a los serivicios de agua potable y saneamiento básico en el municipio de Tenjo Cundinamarca</t>
  </si>
  <si>
    <t>Optimizar 27 km de redes de acueducto</t>
  </si>
  <si>
    <t>2 km</t>
  </si>
  <si>
    <t>Km</t>
  </si>
  <si>
    <t>Km de redes de acueducto optimizadas</t>
  </si>
  <si>
    <t>META 25.docx</t>
  </si>
  <si>
    <t>Meta 25.docx</t>
  </si>
  <si>
    <t>Optimizar la macromedición y sectorización al 80% en el municipio de Tenjo en las redes de acueducto.</t>
  </si>
  <si>
    <t>7,75%</t>
  </si>
  <si>
    <t>Porcentaje de macro medición y sectorización optimizadas</t>
  </si>
  <si>
    <t>META 26.docx</t>
  </si>
  <si>
    <t>Meta 26.docx</t>
  </si>
  <si>
    <t>Optimizar la micro medición telemétrica para 3500 usuarios de la Empresa de Servicios Públicos de Tenjo – EMSERTENJO</t>
  </si>
  <si>
    <t>Número de usuarios con optimización telemétrica</t>
  </si>
  <si>
    <t>Meta 27.docx</t>
  </si>
  <si>
    <t>Construir 4 tanques de almacenamiento de agua potable para la distribución y continuidad del servicio en la zona rural del municipio</t>
  </si>
  <si>
    <t>Tanques de almacenamiento construidos</t>
  </si>
  <si>
    <t>META 28.docx</t>
  </si>
  <si>
    <t>Meta 28.docx</t>
  </si>
  <si>
    <t>Realizar los estudios tecnicos y diseños que garanticen la extracción de agua de un pozo profundo</t>
  </si>
  <si>
    <t>Estudios técnicos y diseños realizados</t>
  </si>
  <si>
    <t>META 29.docx</t>
  </si>
  <si>
    <t>Meta 29.docx</t>
  </si>
  <si>
    <t>Mejorar al 100% la capacidad de equipos de bombeo y potabilización</t>
  </si>
  <si>
    <t>Porcentaje de capacidad mejorada</t>
  </si>
  <si>
    <t>META 30.docx</t>
  </si>
  <si>
    <t>Meta 30.docx</t>
  </si>
  <si>
    <t>Ampliar mínimo en 60% la capacidad de almacenaje de agua potable de los tanques existentes</t>
  </si>
  <si>
    <t>Porcentaje de capacidad ampliada</t>
  </si>
  <si>
    <t>Meta 31.docx</t>
  </si>
  <si>
    <t>Actualizar el catastro de usuarios del municipio</t>
  </si>
  <si>
    <r>
      <rPr>
        <sz val="7"/>
        <color rgb="FF000000"/>
        <rFont val="Nunito"/>
      </rPr>
      <t xml:space="preserve">Catastro de </t>
    </r>
    <r>
      <rPr>
        <sz val="7"/>
        <color rgb="FF000000"/>
        <rFont val="Nunito"/>
      </rPr>
      <t>usuarios</t>
    </r>
    <r>
      <rPr>
        <sz val="7"/>
        <color rgb="FF000000"/>
        <rFont val="Nunito"/>
      </rPr>
      <t xml:space="preserve"> redes realizado</t>
    </r>
  </si>
  <si>
    <t>META 32.docx</t>
  </si>
  <si>
    <t>Meta 32.docx</t>
  </si>
  <si>
    <t>Incrementar a 4000 metros lineales de redes de acueducto del municipio</t>
  </si>
  <si>
    <t xml:space="preserve">2000 mts </t>
  </si>
  <si>
    <t>Mts</t>
  </si>
  <si>
    <t>Metros lineales de redes de acueducto ampliadas</t>
  </si>
  <si>
    <t>META 33.docx</t>
  </si>
  <si>
    <t>Meta 33.docx</t>
  </si>
  <si>
    <t>Desarrollar un proceso de adquisición de equipos tecnologícos y de transporte de agua que garanticen el acceso universal al liquido en el municipio</t>
  </si>
  <si>
    <t>Proceso de adquisición desarrollado</t>
  </si>
  <si>
    <t>META 34.docx</t>
  </si>
  <si>
    <t>Meta 34.docx</t>
  </si>
  <si>
    <t>5.1.2</t>
  </si>
  <si>
    <t>Ejecutar al 100% la acciones de inspección, vigilancia, control y ahorro de agua</t>
  </si>
  <si>
    <t>Porcentaje de acciones de inspección, vigilancia, control y ahorro del agua ejecutadas</t>
  </si>
  <si>
    <t>Ejecutar al 100% acciones de vigilancia y control de la calidad del agua para el consumo humano</t>
  </si>
  <si>
    <t>Porcentaje de acciones de vigilancia y control ejecutadas</t>
  </si>
  <si>
    <t>Empresa de Servicios Públicos de Tenjo EMSERTENJO SA ESP</t>
  </si>
  <si>
    <t>META 35.docx</t>
  </si>
  <si>
    <t>Meta 35.docx</t>
  </si>
  <si>
    <t>Ejecutar el 40% EL Programa de Uso Eficiente y Ahorro del Agua PUEAA</t>
  </si>
  <si>
    <t>Porcentaje de programa ejecutado</t>
  </si>
  <si>
    <t>META 36.docx</t>
  </si>
  <si>
    <t>Meta 36.docx</t>
  </si>
  <si>
    <t>Mantener el IRCA- Índice de Calidad del Agua Potable sin Riesgo</t>
  </si>
  <si>
    <t>Irca en riesgo medio</t>
  </si>
  <si>
    <t>IRCA sin riesgo</t>
  </si>
  <si>
    <t>META 37.docx</t>
  </si>
  <si>
    <t>Meta 37.docx</t>
  </si>
  <si>
    <t>Generar el 100% de los reportes al Sistema Único de Información oficial del sector de servicios públicos domiciliarios</t>
  </si>
  <si>
    <t>Reportes generados</t>
  </si>
  <si>
    <t>Meta 38.docx</t>
  </si>
  <si>
    <t xml:space="preserve"> Desarrollar en un 80% un proceso de seguimiento, identificación, medición y control de pérdidas de agua potable. </t>
  </si>
  <si>
    <t>0,2</t>
  </si>
  <si>
    <t>Porcentaje de proceso de seguimiento desarrollado</t>
  </si>
  <si>
    <t>Meta 39.docx</t>
  </si>
  <si>
    <t>5.1.3</t>
  </si>
  <si>
    <t>Garantizar al 100% la transferencia de recursos que fortalezcan el acceso universal, equitativo al servicio de agua potable</t>
  </si>
  <si>
    <t>Porcentaje de transferecencia de recursos garanizados</t>
  </si>
  <si>
    <t>Transferir el 100% de los recursos necesarios para el Plan Departamental de Aguas de Cundinamarca</t>
  </si>
  <si>
    <t>Recursos transferidos</t>
  </si>
  <si>
    <t>META 40.docx</t>
  </si>
  <si>
    <t>Meta 40.docx</t>
  </si>
  <si>
    <t>Transferir el 100% de los recursos necesarios para subsidiar la prestación del servicio acueducto,  alcantarillado y aseo</t>
  </si>
  <si>
    <t>Meta 41.docx</t>
  </si>
  <si>
    <t>Saneamiento básico con proyección</t>
  </si>
  <si>
    <t>5.2.1</t>
  </si>
  <si>
    <t>Incrementar al 74% los hogares la calidad de acceso al servicio de alcantarillado y saneamiento básico</t>
  </si>
  <si>
    <t>Porcentaje de hogares con servicio de alcatarillado y saneamiento básico</t>
  </si>
  <si>
    <r>
      <rPr>
        <sz val="7"/>
        <color rgb="FF000000"/>
        <rFont val="Nunito"/>
      </rPr>
      <t xml:space="preserve">% de hogares en el municipio 63,81
% en la cabecera municipal 98,47
% en los centros poblados y rural disperso 38,48
Fuente: Fuente: </t>
    </r>
    <r>
      <rPr>
        <u/>
        <sz val="7"/>
        <color rgb="FF1155CC"/>
        <rFont val="Nunito"/>
      </rPr>
      <t>Dane.mapa.argis.com</t>
    </r>
  </si>
  <si>
    <t>Ampliar la capacidad de las Plantas de Tratamiento de Agua Residual, a 40lts por segundo, unificando la planta norte y la planta sur – PTAR de la vereda La Punta</t>
  </si>
  <si>
    <t>18 Lts*Seg</t>
  </si>
  <si>
    <t>Lts</t>
  </si>
  <si>
    <t>Capacidad de las PTAR ampliadas</t>
  </si>
  <si>
    <t>META 42.docx</t>
  </si>
  <si>
    <t>Meta 42.docx</t>
  </si>
  <si>
    <r>
      <rPr>
        <sz val="7"/>
        <color rgb="FF000000"/>
        <rFont val="Nunito"/>
      </rPr>
      <t xml:space="preserve">% de hogares en el municipio 63,81
% en la cabecera municipal 98,47
% en los centros poblados y rural disperso 38,48
Fuente: Fuente: </t>
    </r>
    <r>
      <rPr>
        <u/>
        <sz val="7"/>
        <color rgb="FF1155CC"/>
        <rFont val="Nunito"/>
      </rPr>
      <t>Dane.mapa.argis.com</t>
    </r>
  </si>
  <si>
    <t>Optimizar el 40% de las redes de alcantarillado donde se tiene cobertura</t>
  </si>
  <si>
    <t>500 mts intervenidos 2020-2023
37,15 Km
(20,8 Sanitario
16,35 Pluvial)</t>
  </si>
  <si>
    <t>Porcentaje de redes de alcantarillado optimizadas</t>
  </si>
  <si>
    <t>META 43.docx</t>
  </si>
  <si>
    <t>Meta 43.docx</t>
  </si>
  <si>
    <r>
      <rPr>
        <sz val="7"/>
        <color rgb="FF000000"/>
        <rFont val="Nunito"/>
      </rPr>
      <t xml:space="preserve">% de hogares en el municipio 63,81
% en la cabecera municipal 98,47
% en los centros poblados y rural disperso 38,48
Fuente: Fuente: </t>
    </r>
    <r>
      <rPr>
        <u/>
        <sz val="7"/>
        <color rgb="FF1155CC"/>
        <rFont val="Nunito"/>
      </rPr>
      <t>Dane.mapa.argis.com</t>
    </r>
  </si>
  <si>
    <t>Optimizar 2 Plantas de tratamiento (una en la vereda la punta y una en la vereda chucua pertenecientes al municipio de Tenjo)</t>
  </si>
  <si>
    <t>Plantas de tratamiento optimizadas</t>
  </si>
  <si>
    <t>META 44.docx</t>
  </si>
  <si>
    <t>Meta 44.docx</t>
  </si>
  <si>
    <t>Es el tiempo de la gestión innovadora de los residuos sólidos</t>
  </si>
  <si>
    <t>5.3.1</t>
  </si>
  <si>
    <t>Mantener al 100% el servicio de aseo, recolección y manejo de resiudos promoviendo la cultura de aprovechamiento y manejo de residuos sólidos</t>
  </si>
  <si>
    <t>Porcentaje de servcio de aseo, recolección y manejo de aprovechamiento de residuos sólidos</t>
  </si>
  <si>
    <t xml:space="preserve">% municipio 98%
%Cabecera municipal 99,50
%Centros poblados y rural disperson </t>
  </si>
  <si>
    <t>Ejecutar el 40% del Programa de gestión integral de residuos sólidos</t>
  </si>
  <si>
    <t>20%
 Fuente CAR 2023</t>
  </si>
  <si>
    <t>Entregar el PGIRS con un avance del 60%</t>
  </si>
  <si>
    <t>META 45</t>
  </si>
  <si>
    <t>Meta 45.docx</t>
  </si>
  <si>
    <t>Instalar 3 Contenedores de reciclaje inteligentes</t>
  </si>
  <si>
    <t>Contenedores instalados</t>
  </si>
  <si>
    <t>META 46.docx</t>
  </si>
  <si>
    <t>Meta 46.docx</t>
  </si>
  <si>
    <t>Programa Integral de Innovación de Servicios Públicos domiciliarios de Tenjo (PIMSEPT)
(Consolidación productiva del sector de energía eléctrica)</t>
  </si>
  <si>
    <t>Es el tiempo de la mejora en gas natural domiciliario y alumbrado público</t>
  </si>
  <si>
    <t>6.1.1</t>
  </si>
  <si>
    <t>Aumentar en 30% la eficiencia energética y la sosteniblilidad  en el sistema de Alumbrado Público en el municipio, reduciendo el consumo de energia y mejorando la percepción de seguiridad y satisfacción de los ciudadanos co la iluminación LED</t>
  </si>
  <si>
    <t>Porcentaje de eficiencia energética aumentado</t>
  </si>
  <si>
    <t>Ampliacion de la cobertura de gas natural y consolidación productiva del sector de energía eléctrica en el Municipio de Tenjo</t>
  </si>
  <si>
    <t xml:space="preserve">Implementar el cambio de 5000 luminarias de alumbrado público a tecnología LED y/o sostenible en la zona rural y urbana </t>
  </si>
  <si>
    <t>Metros de redes de alumbrado público ampliado</t>
  </si>
  <si>
    <t>META 47.docx</t>
  </si>
  <si>
    <t>Meta 47.docx</t>
  </si>
  <si>
    <t xml:space="preserve">Realizar en las 15 veredas  expansión del alumbrado público pasando a tecnología LED y/o sostenible </t>
  </si>
  <si>
    <t>Número de veredas con expansión de alumbrado público</t>
  </si>
  <si>
    <t>META 48.docx</t>
  </si>
  <si>
    <t>Meta 48.docx</t>
  </si>
  <si>
    <t>Garantizar al 100% el Costo de Administración Operación, Mantenimiento y  del sistema de Alumbrado Público</t>
  </si>
  <si>
    <t>CAOM  AP garantizado</t>
  </si>
  <si>
    <t>META 49.docx</t>
  </si>
  <si>
    <t>Meta 49.docx</t>
  </si>
  <si>
    <t>Garantizar al 100% el Costo de suminsitro energia del sistema de Alumbrado Público</t>
  </si>
  <si>
    <t xml:space="preserve"> Suminsitro AP garantizado</t>
  </si>
  <si>
    <t>META 50.docx</t>
  </si>
  <si>
    <t>Meta 50.docx</t>
  </si>
  <si>
    <t>Realizar un un estudio técnico de referencia que determine el costo-beneficio del impuesto de Alumbrado Público de acuerdo con el Art 351 de Ley 1819 de 2016</t>
  </si>
  <si>
    <t>Estudio técnico realizado</t>
  </si>
  <si>
    <t>Meta 51.docx</t>
  </si>
  <si>
    <t>6.1.2</t>
  </si>
  <si>
    <t>Incrementar en 26% los nuevos usuarios del servicio de gas natural</t>
  </si>
  <si>
    <t>Porcentaje de nuevos usuarios de gas natural</t>
  </si>
  <si>
    <t>420
Fuente: Vanti-Gas Natural 2023</t>
  </si>
  <si>
    <t>Aumentar en 570 nuevos usuarios la cobertura de gas natural en el municipio de Tenjo</t>
  </si>
  <si>
    <t>420
2020-2023</t>
  </si>
  <si>
    <t>Número de nuevos usuarios con cobertura de gas natural</t>
  </si>
  <si>
    <t>META 52.docx</t>
  </si>
  <si>
    <t>Meta 52.docx</t>
  </si>
  <si>
    <t>Es el tiempo del Mejoramiento de vial 
(Infraestrcutura red vial regional)</t>
  </si>
  <si>
    <t>0600</t>
  </si>
  <si>
    <t>Es tiempo del Mejoramiento y Mantenimiento Vial</t>
  </si>
  <si>
    <t>7.1.1</t>
  </si>
  <si>
    <t>Incrementar en 5% la construcción, mejoramiento, mantenimiento y optimización de la red vial en el municipio</t>
  </si>
  <si>
    <t>Porcentaje de construcción, mejoramiento, mantenimiento y optimización de la red vial en el municipio incrementado</t>
  </si>
  <si>
    <t>125,838 mts lineales
Fuente: Informe emplame 2023</t>
  </si>
  <si>
    <t>Mejoramiento de la infraestructura red vial regional inteligente y sostenible del Municipio de Tenjo Cundinamarca</t>
  </si>
  <si>
    <t>Construir 2.000 metros lineales de placas huella para el mejoramiento de la malla vial rural del municipio de Tenjo.</t>
  </si>
  <si>
    <t>1402 
mts lineales</t>
  </si>
  <si>
    <t>Metros lineales de placa huellas construidas</t>
  </si>
  <si>
    <t>META 53.docx</t>
  </si>
  <si>
    <t>Meta 53.docx</t>
  </si>
  <si>
    <t xml:space="preserve">Intervenir anualmente con mantenimiento 113 kilómetros de vías rurales </t>
  </si>
  <si>
    <t>113 km</t>
  </si>
  <si>
    <t>Kilómetros de vías terciarias mantenidas</t>
  </si>
  <si>
    <t>META 54.docx</t>
  </si>
  <si>
    <t>Meta 54.docx</t>
  </si>
  <si>
    <t>Intervenir con mantenimiento 16.5 kilómetros de vías urbanas</t>
  </si>
  <si>
    <t>10,8 Km</t>
  </si>
  <si>
    <t>Kilómetros de vías urbanas mantenidas</t>
  </si>
  <si>
    <t>META 55.docx</t>
  </si>
  <si>
    <t>Meta 55.docx</t>
  </si>
  <si>
    <t>Construir 700 metros lineales de vías urbanas en el municipio de Tenjo</t>
  </si>
  <si>
    <t>635 mts</t>
  </si>
  <si>
    <t>Metros de vías urbanas construidas</t>
  </si>
  <si>
    <t>Meta 56.docx</t>
  </si>
  <si>
    <t>Suscribir minímo 1 convenio interadministrativo con entidades e instituciones a nivel local, departamental y/o nacional para el desarrollo de proyectos de infraestructura</t>
  </si>
  <si>
    <t>Numero de convenios suscritos</t>
  </si>
  <si>
    <t>Meta 57.docx</t>
  </si>
  <si>
    <t>Realizar 3 procesos de intervención en los corredores viales principales</t>
  </si>
  <si>
    <t>Número de corredores viales con procesos de intervención realizados</t>
  </si>
  <si>
    <t>META 58.docx</t>
  </si>
  <si>
    <t>Meta 58.docx</t>
  </si>
  <si>
    <t xml:space="preserve">Modernizar en mínimo 2 unidades la maquinaria amarilla para el desarrollo de mantenimientos viales e infraestructura </t>
  </si>
  <si>
    <t>Número de unidades de maquinaria modernizados</t>
  </si>
  <si>
    <t>META 59.docx</t>
  </si>
  <si>
    <t>Meta 59.docx</t>
  </si>
  <si>
    <t>Movilidad Inteligente y Sostenible de Tenjo (MIST)
(Infraestrcutura red vial regional)</t>
  </si>
  <si>
    <t>Promoción de la Movilidad Sostenible y Educación Vial</t>
  </si>
  <si>
    <t>8.1.1</t>
  </si>
  <si>
    <t>Implementar al 100% el subprograma de Movilidad Sostenible y Educación vial</t>
  </si>
  <si>
    <t>Porcentaje de subprograma implementado</t>
  </si>
  <si>
    <t>Desarrollar Infraestructura red vial regional</t>
  </si>
  <si>
    <t>Construir 1.000 metros lineales de ciclo rutas en el casco urbano y rural del municipio de Tenjo.</t>
  </si>
  <si>
    <t>Metros lineales construidos de ciclo rutas</t>
  </si>
  <si>
    <t>META 60.docx</t>
  </si>
  <si>
    <t>Meta 60.docx</t>
  </si>
  <si>
    <t>Definir un carril exclusivo para el uso de la bicicleta y de fomento de medios alternativos de movilización</t>
  </si>
  <si>
    <t>Carril exclusivo definido</t>
  </si>
  <si>
    <t>Meta 61.docx</t>
  </si>
  <si>
    <t>Establecer un circuito de sistema de bicicletas compartidas</t>
  </si>
  <si>
    <t>Número de circuitos establecidos</t>
  </si>
  <si>
    <t>Meta 62.docx</t>
  </si>
  <si>
    <t>Desarrollar dos programas de educación vial dirigidos a la comunidad, con especial enfoque en los usuarios de ciclo rutas y peatones.</t>
  </si>
  <si>
    <t>Número de programas desarrollados</t>
  </si>
  <si>
    <t>Sec. Gobierno y convivencia ciudadana o quien haga sus veces</t>
  </si>
  <si>
    <t>Meta 63.docx</t>
  </si>
  <si>
    <t>Generar dos iniciativas de movilidad sostenible, incluyendo el incentivo al uso de transporte público y bicicletas</t>
  </si>
  <si>
    <t>Número de iniciativas generadas</t>
  </si>
  <si>
    <t>Meta 64.docx</t>
  </si>
  <si>
    <t>Instalar 3 paraderos inteligentes en la zona rural y urbana del municipio</t>
  </si>
  <si>
    <t>Número de paraderos inteligentes instalados</t>
  </si>
  <si>
    <t>META 65.docx</t>
  </si>
  <si>
    <t>Meta 65.docx</t>
  </si>
  <si>
    <t>Es tiempo de la Movilidad y Seguridad Vial</t>
  </si>
  <si>
    <t>8.1.2</t>
  </si>
  <si>
    <t>Incrementar a 100%  los procesos de señalización viale instalación de barreras de protección</t>
  </si>
  <si>
    <t>Porcentaje de procesos incrementados</t>
  </si>
  <si>
    <t>Realizar 2 procesos de compra e instalación de señalización vial en el casco urbano y las 15 veredas del municipio de Tenjo.</t>
  </si>
  <si>
    <t>Número de procesos de compra realizados</t>
  </si>
  <si>
    <t>Meta 66.docx</t>
  </si>
  <si>
    <t>Suministrar e Instalar 1000 metros lineales de barreras metálicas de protección vial</t>
  </si>
  <si>
    <t>Metros lineales de barreras de protección vial instalada</t>
  </si>
  <si>
    <t>Meta 67.docx</t>
  </si>
  <si>
    <t>8.1.3</t>
  </si>
  <si>
    <t>Incrementar a 100% las acciones de planificación, seguridad y monitoreo que mejoren las condciones de tránsito y movilidad</t>
  </si>
  <si>
    <t>Porcentaje de acciones  incrementadas</t>
  </si>
  <si>
    <t>Formular e implementar en un 40% el plan vial municipal</t>
  </si>
  <si>
    <t>Plan vial formulado e implementado</t>
  </si>
  <si>
    <t>Meta 68.docx</t>
  </si>
  <si>
    <t xml:space="preserve">Actualizar el Plan de Movilidad implementando las acciones que mejoren las condiciones de movilidad y seguridad vial </t>
  </si>
  <si>
    <t>Plan de Movilidad Actualizado</t>
  </si>
  <si>
    <t>Meta 69.docx</t>
  </si>
  <si>
    <t>Implementar un sistema de monitoreo y gestión de tráfico en tiempo real que utilice analítica de datos, reconocimiento de placas de vehículos y reconocimiento facial, en los principales corredores viales de Tenjo.</t>
  </si>
  <si>
    <t>Sistema de monitoreo y gestión implementado</t>
  </si>
  <si>
    <t>Meta 70.docx</t>
  </si>
  <si>
    <t xml:space="preserve">Implementar 8 acciones para mejorar las condiciones de tránsito </t>
  </si>
  <si>
    <t xml:space="preserve">Número de acciones implementadas </t>
  </si>
  <si>
    <t>Meta 71.docx</t>
  </si>
  <si>
    <t>Es el tiempo de espacio público innovador
(Ordenamiento territorial y desarrollo urbano)</t>
  </si>
  <si>
    <t>Un espacio para todos</t>
  </si>
  <si>
    <t>9.1.1.</t>
  </si>
  <si>
    <t>Incrementar en 0,31% el índice de espacio público del municipio</t>
  </si>
  <si>
    <t>Índice de espacio público</t>
  </si>
  <si>
    <t>349.200 mts 
Fuente: Sec Urbanismo</t>
  </si>
  <si>
    <t>Mejoramiento del espacio público innovador del municipio de Tenjo Cundinamarca</t>
  </si>
  <si>
    <t>Mejorar y/o construir 600 metros cuadrados  de andenes en el municipio de Tenjo</t>
  </si>
  <si>
    <t>226 mts</t>
  </si>
  <si>
    <t>Mts 2</t>
  </si>
  <si>
    <t>Número de metros cuadrados de andenes construidos</t>
  </si>
  <si>
    <t>Meta 72.docx</t>
  </si>
  <si>
    <t>Construir 500 metros cuadrados de alameda en el casco urbano del municipio de Tenjo</t>
  </si>
  <si>
    <t>Número de alameda construidos</t>
  </si>
  <si>
    <t>Meta 73.docx</t>
  </si>
  <si>
    <t>Es el tiempo de la vivienda y Desarrollo Sostenible para Tenjo
(Acceso a soluciones de vivienda)</t>
  </si>
  <si>
    <t>Mejoramiento Habitacional</t>
  </si>
  <si>
    <t>10.1.1</t>
  </si>
  <si>
    <t>Reducir a 8,97 el déficit cualitativo de vivienda del municipio</t>
  </si>
  <si>
    <t>Déficit cualitativo de viviedna</t>
  </si>
  <si>
    <t>12.5
Fuente: Dane VIHOPE
4258
 viviendas con destino habitacional
Fuente: Sec. Planeación 2024</t>
  </si>
  <si>
    <t>Mejoramiento habitacional y acceso a la vivienda y desarrollo sostenible en el Municipio de Tenjo Cundinamarca</t>
  </si>
  <si>
    <t>Realizar al 100% los estudios técnicos y jurídicos para los beneficiaros de mejoras de vivienda, solicitados por los interesados.</t>
  </si>
  <si>
    <t>Porcentaje de estudios técnicos y jurídicos realizados</t>
  </si>
  <si>
    <t>Meta 74.docx</t>
  </si>
  <si>
    <t>Déficit cualitativo de vivienda</t>
  </si>
  <si>
    <t>Beneficiar a 150 familias a través del programa de mejoramientos de viviendas en el casco urbano y rural del municipio de Tenjo</t>
  </si>
  <si>
    <t>Número de familias beneficiadas</t>
  </si>
  <si>
    <t>META 75.docx</t>
  </si>
  <si>
    <t>Meta 75.docx</t>
  </si>
  <si>
    <t>Implementar un programa de capacitación en mantenimiento y reparaciones domésticas para el 50% de las familias beneficiarias de los programas de mejoramiento de vivienda.</t>
  </si>
  <si>
    <t>Número de programas implementados</t>
  </si>
  <si>
    <t>Meta 76.docx</t>
  </si>
  <si>
    <t>Financiamiento y Acceso a la Vivienda</t>
  </si>
  <si>
    <t>10.2.1</t>
  </si>
  <si>
    <t>Ejecutar al 100% las acciones complementarias que faciliten el acceso a la vivienda y la implementación de políticas de sosteniblidad, adaptación al cambio climático y reducción de las huella de carbono</t>
  </si>
  <si>
    <t>Porcentaje de acciones complemantarias de acceso a vivienda y adaptación al cambio climático ejecutadas</t>
  </si>
  <si>
    <t>Establecer una alianza con entidades financieras, organizaciones sin ánimo de lucro o de carácter privado que facilite el acceso a créditos de vivienda, o que articule este componente favorablemente para mínimo 30 familias del municipio de Tenjo</t>
  </si>
  <si>
    <t>Número de alianzas establecidas</t>
  </si>
  <si>
    <t>Meta 77.docx</t>
  </si>
  <si>
    <t>Desarrollar e implementar un plan de acción para la integración de tecnologías verdes y eficiencia energética en el 100% de los proyectos de mejoramiento de vivienda.</t>
  </si>
  <si>
    <t>Plan de acción desarrollado y establecido</t>
  </si>
  <si>
    <t>Eje 2. Seguridad Convivencia y Participación Ciudadana</t>
  </si>
  <si>
    <t>Ecosistema Inteligente de seguridad y convivencia
(Fortalecimiento de la convivencia y seguridad ciudadana)</t>
  </si>
  <si>
    <t>Seguridad inteligente</t>
  </si>
  <si>
    <t>11.1.1</t>
  </si>
  <si>
    <t>Incrementar a 60% la Percepción de Seguridad Ciudadana</t>
  </si>
  <si>
    <t xml:space="preserve"> Percepción de Seguridad Ciudadana</t>
  </si>
  <si>
    <t>45%
Fuente: Encuesta dePercepción de Ciudadana- Sabana Centro Cómo Vámos 2023</t>
  </si>
  <si>
    <t>Fortalecimiento de la convivencia y seguridad ciudadana del municipio de Tenjo Cundinamarca</t>
  </si>
  <si>
    <t>Realizar 5 actividades relacionadas con el mejoramiento de la infraestructura tecnológica en seguridad, convivencia ciudadana y orden público</t>
  </si>
  <si>
    <t>90 cámaras 1 actividad</t>
  </si>
  <si>
    <t>Número de actividades realizadas</t>
  </si>
  <si>
    <t>Meta 79.docx</t>
  </si>
  <si>
    <t>Garantizar el cumplimiento al 100% del Plan Integral de Seguridad y Convivencia Ciudadana (PISCC) buscando el fortalecimiento de acciones de prevención, atención y respuesta en todo el territorio y en entornos educativos</t>
  </si>
  <si>
    <t xml:space="preserve">Porcentaje de cumplimiento garantizado </t>
  </si>
  <si>
    <t>Meta 80.docx</t>
  </si>
  <si>
    <t>Desarrollar 8 capacitaciones a actores clave sobre seguridad y convivencia ciudadana durante el cuatrienio.</t>
  </si>
  <si>
    <t>Número de capacitaciones desarrolladas</t>
  </si>
  <si>
    <t>Meta 81.docx</t>
  </si>
  <si>
    <t>Implementar la estrategia de mantenimiento y robustecimiento del pie de fuerza - Ejército Nacional y Policía Nacional - y seguridad privada con motorizados para el mejoramiento de las condiciones de seguridad ciudadana y orden público en el municipio.</t>
  </si>
  <si>
    <t>Porcentaje de estrategia implementada</t>
  </si>
  <si>
    <t>Meta 82.docx</t>
  </si>
  <si>
    <t xml:space="preserve">Garantizar al 100% el funcionamiento y mejoramiento de la atención integral de la Inspección de Policía junto con sus acciones de control urbanístico en el municipio </t>
  </si>
  <si>
    <t>Porcentaje de funcionamiento garantizado</t>
  </si>
  <si>
    <t>Meta 83.docx</t>
  </si>
  <si>
    <t>Establecer un mecanismo colaboración ciudadana mediante la implementación de recompensas, fortaleciendo a seguridad, la cofianza de la comunidad y la disuasión y reducción de hechos delictivos</t>
  </si>
  <si>
    <t>Mecanismo de colaboración ciudadana establecido</t>
  </si>
  <si>
    <t>Meta 84.docx</t>
  </si>
  <si>
    <t xml:space="preserve">Garantizar el funcionamiento y mejoramiento al 100% de la atención integral de la Comisaría de Familia  y sus servcios de atención integral en el municipio durante el cuatrienio (Ley 2126 del 2021) </t>
  </si>
  <si>
    <t>Porcentaje de funcionamiento y mejoramiento garantizado</t>
  </si>
  <si>
    <t>Meta 85.docx</t>
  </si>
  <si>
    <t xml:space="preserve">Garantizar al 100%  de las personas privadas de la libertad  en el municipio de Tenjo sus derechos </t>
  </si>
  <si>
    <t>Porcentaje de personas privadas de las libertades  con garantía de derechos</t>
  </si>
  <si>
    <t>Meta 86.docx</t>
  </si>
  <si>
    <t>Poner en funcionamiento el Centro de  Traslado por Protección dando cumplimiento a la Ley 1801 del 2016 durante el cuatrienio</t>
  </si>
  <si>
    <t>Centro de Traslado por protección en funcionamiento</t>
  </si>
  <si>
    <t>Meta 87.docx</t>
  </si>
  <si>
    <t>Es el tiempo de la acción y partcipación comunitaria
(Fortalecimiento del buen gobierno para el respeto y la garantía de los DDHH)</t>
  </si>
  <si>
    <t>Es el tiempo de la infraestructura comunitaria</t>
  </si>
  <si>
    <t>12.1.1</t>
  </si>
  <si>
    <t>Ejecutar al 100% las acciones establecidas frente al mantenimiento, construcción y adecuación de la infraestructura comunitaria</t>
  </si>
  <si>
    <t>Porcentaje de acciones ejecutadas</t>
  </si>
  <si>
    <t>Fortalecimiento a la infraestructura,  a la accion y participacion comunitaria en el municipio de Tenjo</t>
  </si>
  <si>
    <t>Realizar la construcción, adecuación y/o rehabilitación de 2 aulas comunitarias</t>
  </si>
  <si>
    <t>Número de salones multifuncionales construidos</t>
  </si>
  <si>
    <t>META 88.docx</t>
  </si>
  <si>
    <t>Meta 88.docx</t>
  </si>
  <si>
    <t>Mantener físicamente el 100% de los salones multifuncionales e infraestructura comunitaria del municipio en el cuatrienio</t>
  </si>
  <si>
    <t>Porcentaje de salones multifuncionales intervenidos</t>
  </si>
  <si>
    <t>Meta 89.docx</t>
  </si>
  <si>
    <t>Ejecutar una estrategia de mantenimiento de ornato público, limpieza de suminideros, cunetas y vallados</t>
  </si>
  <si>
    <t>Número de estrategias ejecutadas</t>
  </si>
  <si>
    <t>META 90.docx</t>
  </si>
  <si>
    <t>Meta 90.docx</t>
  </si>
  <si>
    <t>Participación comunitaria con acciones y resultados</t>
  </si>
  <si>
    <t>13.1.1</t>
  </si>
  <si>
    <t>Incrementar al 90% de la capacidad organizativa y participativa de las Juntas de Acción Comunal en el municipio mediante la ejecución de las acciones establecidas en Participación Comunitaria</t>
  </si>
  <si>
    <t>Porcentaje de  capacidad organizativa y participativa de JAC incrementada</t>
  </si>
  <si>
    <t>Realizar la suscripción de 20 convenios solidarios con las JAC que cuenten con su documentación actualizada</t>
  </si>
  <si>
    <t>Suscripción de convenios solidarios realizados</t>
  </si>
  <si>
    <t>Meta 91.docx</t>
  </si>
  <si>
    <t>Reglamentar e implementar el presupuesto participativo en el municipio</t>
  </si>
  <si>
    <t>Presupuesto participativo reglamentado e implementado</t>
  </si>
  <si>
    <t>Meta 92.docx</t>
  </si>
  <si>
    <t>Realizar  acompañamiento al 100% a las JAC del municipio en asesoría técnica</t>
  </si>
  <si>
    <t>proceso realizado</t>
  </si>
  <si>
    <t>Meta 93.docx</t>
  </si>
  <si>
    <t>Realizar 4 procesos de acompañamiento en formulación y estructuración de proyectos de inversión, creando el banco de proyectos comunales</t>
  </si>
  <si>
    <t>procesos realizados</t>
  </si>
  <si>
    <t>Meta 94.docx</t>
  </si>
  <si>
    <t>Ejecutar 4 procesos de dotación a las JAC para su fortalecimiento</t>
  </si>
  <si>
    <t>Procesos de dotación realizados</t>
  </si>
  <si>
    <t>Meta 95.docx</t>
  </si>
  <si>
    <t>Desarrollar 1 versión de los juegos comunales, fortaleciendo los juegos autóctonos</t>
  </si>
  <si>
    <t>Juegos comunales desarrollados</t>
  </si>
  <si>
    <t>INDERTEN</t>
  </si>
  <si>
    <t>Meta 96.docx</t>
  </si>
  <si>
    <t>Desarrollar de manera anual la conmemoración del Día de la acción comunal</t>
  </si>
  <si>
    <t>Día de la acción comunal desarrollado</t>
  </si>
  <si>
    <t>Meta 97.docx</t>
  </si>
  <si>
    <t xml:space="preserve">Implementar el 35% de política pública de participación ciudadana </t>
  </si>
  <si>
    <t>Porcentaje de Política pública implementada</t>
  </si>
  <si>
    <t>Meta 98.docx</t>
  </si>
  <si>
    <t>Construcción de paz para mitigar la Pobreza
(Inclusión social y productiva para la población en situación de vulnerabilidad)</t>
  </si>
  <si>
    <t>Superando la pobreza y la pobreza extrema</t>
  </si>
  <si>
    <t>13.2.1</t>
  </si>
  <si>
    <t>Reducir en 2 pts porcentuales el índice de Necesidades Básicas Insatisfechas</t>
  </si>
  <si>
    <t>NBI</t>
  </si>
  <si>
    <t xml:space="preserve">% 4,27 municipio      
 % 4,09 Cabecera     
%  4,40 RuraL
Fuente: DANE Censo Nacional de Población y Vivienda 2018 </t>
  </si>
  <si>
    <t>Construccion de paz para mitigar la pobreza en el Municipio de Tenjo Cundinamarca</t>
  </si>
  <si>
    <t>Ejecutar cuatro acciones que aporten en la disminución del índice de pobreza  Multidimensional del Municipio en especial para las familas que tengan NNA</t>
  </si>
  <si>
    <t>Número de acciones ejecutadas</t>
  </si>
  <si>
    <t>Sec. Protección Social</t>
  </si>
  <si>
    <t>Meta 99.docx</t>
  </si>
  <si>
    <t xml:space="preserve">Establecer la ruta de atención para los personas en situación de calle </t>
  </si>
  <si>
    <t xml:space="preserve">Ruta establecida </t>
  </si>
  <si>
    <t>Meta 100.docx</t>
  </si>
  <si>
    <t>Es el tiempo de la Reparación efectiva e integral a las víctimas
(Atención, asistencia  y reparación integral a las víctimas)</t>
  </si>
  <si>
    <t>Es el tiempo de una debida atención a las víctimas.</t>
  </si>
  <si>
    <t>14.1.1</t>
  </si>
  <si>
    <t>Ejecutar al 100% las determinates programáticas establecidas en el Plan de Acción Territorial-PAT</t>
  </si>
  <si>
    <t>Porcenatje de PAT ejecutado</t>
  </si>
  <si>
    <t>Fortalecimiento a  la atención, asistencia y reparación integral de las víctimas en el municipio de Tenjo</t>
  </si>
  <si>
    <t>Actualizar de manera anual el Plan de Acción Territorial contando con  la participación de las víctimas del conflicto armado presentes en el municipio</t>
  </si>
  <si>
    <t>PAT actualizado</t>
  </si>
  <si>
    <t>Meta 101.docx</t>
  </si>
  <si>
    <t>Realizar anualmente una feria de servicios dirigida a las Víctimas del conflicto armado, para acceder a la oferta Institucional del Sistema Nacional de Atención y Reparación Integral a las Víctimas(SNARIV )</t>
  </si>
  <si>
    <t>Número de ferias realizadas</t>
  </si>
  <si>
    <t>Meta 102.docx</t>
  </si>
  <si>
    <t>Garantizar  al 100% el servicio de ayuda y atención humanitaria a los hogares Víctimas del Conflicto armado que lo requieran</t>
  </si>
  <si>
    <t>Porcentaje  de ayuda a hogares Víctimas del conflicto</t>
  </si>
  <si>
    <t>Meta 103.docx</t>
  </si>
  <si>
    <t>Brindar asistencia funeraria al 100% de los hogares Víctimas del conflicto armado que no cuenten con recursos para sufragarlo</t>
  </si>
  <si>
    <t>Porcentaje de asistencia humanitaria</t>
  </si>
  <si>
    <t>Meta 104.docx</t>
  </si>
  <si>
    <t>Realizar un proceso anual de apoyo a emprendimientos liderados por la población víctima del conflicto amado, mediante incentivos para la generación de ingresos</t>
  </si>
  <si>
    <t xml:space="preserve"> Número de procesos de apoyo realizados</t>
  </si>
  <si>
    <t>Meta 105.docx</t>
  </si>
  <si>
    <t>Mantener al 100% actualizada la caracterización de la población víctima fortaleciendo su atención integral</t>
  </si>
  <si>
    <t>Porcentaje de la caracterización de la población víctima actualizada</t>
  </si>
  <si>
    <t>Meta 106.docx</t>
  </si>
  <si>
    <t>Realizar anualmente la Conmemoración del día Nacional de la Memoria y Solidaridad con las Víctimas del Conflicto Armado</t>
  </si>
  <si>
    <t>Número de conmemoraciones realizadas</t>
  </si>
  <si>
    <t>Meta 107.docx</t>
  </si>
  <si>
    <t xml:space="preserve">Garantizar el funcionamiento de la Mesa de Participación Efectiva de Víctimas del conflicto armado </t>
  </si>
  <si>
    <t>Mesas de participación con funcionamiento garantizado</t>
  </si>
  <si>
    <t>Meta 108.docx</t>
  </si>
  <si>
    <t>Es el tiempo de los Derechos Humanos para la construccion de Paz y convivencia
(Fortalecimiento del buen gobierno para el respeto y garantía de los derechos humanos)</t>
  </si>
  <si>
    <t>Derechos Humanos base de la convivencia</t>
  </si>
  <si>
    <t>15.1.1</t>
  </si>
  <si>
    <t>Implementar al 100% las políticas públicas integrales que aborden la garantía de derechos de las minorias presentes en el territorio</t>
  </si>
  <si>
    <t>Porcentaje de politícas integrales de garantía de derechos de las minorias implementadas</t>
  </si>
  <si>
    <t>Fortalecimiento del buen gobierno para el respeto y garantía de los derechos humanos en el Municipio de Tenjo</t>
  </si>
  <si>
    <t xml:space="preserve">   Implementar y ejecutar al 35% los lineamientos de la política pública nacional de libertad religiosa y de culto </t>
  </si>
  <si>
    <t>Porcentaje de políticas públicas implementadas y ejecutadas</t>
  </si>
  <si>
    <t>Meta 109.docx</t>
  </si>
  <si>
    <t>Realizar una estrategia de caracterización, seguimiento y monitoreo de la dinámica de la población migrante y flotante con enfoque étnico en el municipio durante el cuatrienio</t>
  </si>
  <si>
    <t xml:space="preserve">Proceso realizado </t>
  </si>
  <si>
    <t>Meta 110.docx</t>
  </si>
  <si>
    <t>Establecer una estrategia para prevenir la trata de personas, explotación laboral, violencia de género y vulneración de derechos de la primera infancia e infancia de la población migrante y/o flotante y grupos étnicos</t>
  </si>
  <si>
    <t>Número de estrategias establecidas</t>
  </si>
  <si>
    <t>Meta 111.docx</t>
  </si>
  <si>
    <t>Formular e implementar en un 20% un programa para la caracterización de los vendedores informales y aprovechamiento económico del espacio público</t>
  </si>
  <si>
    <t>Porcentaje de programa formulado e implementada</t>
  </si>
  <si>
    <t>Meta 112.docx</t>
  </si>
  <si>
    <t>Es el tiempo de la gestión inteligente de riesgos de desastres y emergencias
(Gestión del riesgo de desastres y emergencias)</t>
  </si>
  <si>
    <t>Es el tiempo de una adecuada atención a emergencias</t>
  </si>
  <si>
    <t>16.1.1</t>
  </si>
  <si>
    <t xml:space="preserve">Ejecutar al 100% el programa "Tenjo preparado para el manejo, mitigación y la gestión de riesgos y desastres"	Porcentaje de programa ejecutado	</t>
  </si>
  <si>
    <t>Apoyo a  una adecuada gestion del riesgo de desastres y emergencias en el municipio de Tenjo</t>
  </si>
  <si>
    <t>Realizar estudios y diseños que garanticen  la construcción de la nueva estación de bomberos del municipio de Tenjo</t>
  </si>
  <si>
    <t>Número de estudios y diseños realizados</t>
  </si>
  <si>
    <t>META 113.docx</t>
  </si>
  <si>
    <t>Meta 113.docx</t>
  </si>
  <si>
    <t>Actualizar y garantizar el cumplimiento al 100% del plan Municipal para la gestión del riesgo implementado el enfoque diferencial con especial atención NNA</t>
  </si>
  <si>
    <t>Porcentaje de cumplimiento PMGR</t>
  </si>
  <si>
    <t>Meta 114.docx</t>
  </si>
  <si>
    <t>Construir 3 unidades funcionales de muros de contención que mitiguen riesgos de deslizamiento</t>
  </si>
  <si>
    <t>3 muros construidos</t>
  </si>
  <si>
    <t>Unidades de  muros de contención construidos</t>
  </si>
  <si>
    <t>META 115.docx</t>
  </si>
  <si>
    <t>Meta 115.docx</t>
  </si>
  <si>
    <t>Garantizar al 100% la asignación y ejecución de recursos necesarios que permitan el despliegue de acciones de gestión, manejo y mitigación de riesgo de desastres, incorporando estudios a detalle de amenaza vulnerabilidad y riesgos por movimientos de masa</t>
  </si>
  <si>
    <t xml:space="preserve">Porcentaje de recursos asignados y ejecutados en acciones de gestion manejo y mitigación de riesgo de desastres </t>
  </si>
  <si>
    <t>Meta 116.docx</t>
  </si>
  <si>
    <t>Eje 3. Progreso y Desarrollo Económico</t>
  </si>
  <si>
    <t>Impulso Turístico Inteligente de Tenjo (ITIT)
(Productividad y competitividad de las empresas colombianas)</t>
  </si>
  <si>
    <t>Gobernanza en el turismo sostenible e innovador</t>
  </si>
  <si>
    <t>17.1.1</t>
  </si>
  <si>
    <t>Lograr 2,59 pts en Criterio Gestión de destino del ICTRC</t>
  </si>
  <si>
    <t>Criterio Gestión de destino del ICTRC</t>
  </si>
  <si>
    <t>APOYO AL IMPULSO TURISTICO INTELIGENTE DEL MUNICIPIO TENJO</t>
  </si>
  <si>
    <t>Formular e implementar en un 20% del plan de desarrollo Turístico con enfoque prospectivo</t>
  </si>
  <si>
    <t>Plan Desarrollo Turístico actualizado</t>
  </si>
  <si>
    <t>IMCTT</t>
  </si>
  <si>
    <t>Meta 117.docx</t>
  </si>
  <si>
    <t>Diseñar e implementar un (1) sello de calidad local a operadores y prestadores de servicios turísticos</t>
  </si>
  <si>
    <t>Sello de calidad local a operadores turísticos Diseñado e implementado</t>
  </si>
  <si>
    <t>Meta 118.docx</t>
  </si>
  <si>
    <t>Crear y poner en funcionamiento una (1) escuela de guías, intérpretes o baquianos para niños, adolescentes y jóvenes.</t>
  </si>
  <si>
    <t>Escuela de guías, intérpretes o baquianos para niños, adolescentes y jóvenes creada</t>
  </si>
  <si>
    <t>Meta 119.docx</t>
  </si>
  <si>
    <t>Incrementar a tres (3) sectores la cobertura de los Puntos de Información Turística -PIT</t>
  </si>
  <si>
    <t>Cobertura de los PITS Incrementada</t>
  </si>
  <si>
    <t>Meta 120.docx</t>
  </si>
  <si>
    <t>Implementar un (1) plan de mercadeo para la promoción y divulgación turística de Tenjo</t>
  </si>
  <si>
    <t>Plan de mercadeo para la promoción y divulgación turística de Tenjo implementada</t>
  </si>
  <si>
    <t>Meta 121.docx</t>
  </si>
  <si>
    <t>Implementar 5 líneas de estímulos a proyectos turísticos</t>
  </si>
  <si>
    <t>Líneas de estímulos a proyectos turísticos Implementadas</t>
  </si>
  <si>
    <t>Meta 122.docx</t>
  </si>
  <si>
    <t>Establecer cuatro (4) alianzas con instituciones públicas o privadas de nivel local, nacional o internacional para el diseño o ejecución de proyectos turísticos</t>
  </si>
  <si>
    <t>Alianzas con instituciones públicas o privadas de nivel local, nacional o internacional para el diseño o ejecución de proyectos turísticos Establecidas.</t>
  </si>
  <si>
    <t>Meta 123.docx</t>
  </si>
  <si>
    <t>Optimizar la operación, promoción y sostenibilidad de  un (1) atractivo turístico</t>
  </si>
  <si>
    <t>Atractivo turístico optimizado en opreación y con promoción</t>
  </si>
  <si>
    <t>Meta 124.docx</t>
  </si>
  <si>
    <t>Crear un (1) sistema de Información turístico - SITUR y de fortalecimiento de la gestión del turismo local</t>
  </si>
  <si>
    <t>Sistema de Información turístico – SITUR Creado</t>
  </si>
  <si>
    <t>Meta 125.docx</t>
  </si>
  <si>
    <t>Realizar 4 procesos de señalización turística: Casco Urbano, zonas rurales de interés, Sector las cuevas y el DMI</t>
  </si>
  <si>
    <t>Procesos de señalización realizados</t>
  </si>
  <si>
    <t xml:space="preserve"> Meta 126.docx</t>
  </si>
  <si>
    <t>Meta 126.docx</t>
  </si>
  <si>
    <t>Implementar y fortalecer de manera anual del Índice de Competitividad Turística Regional de
Colombia - ICTRC para el municipio de tenjo alcanzando el 2,59 en el cuatrienio.</t>
  </si>
  <si>
    <t>Número de procesos realizados y publicados</t>
  </si>
  <si>
    <t>Meta 127.docx</t>
  </si>
  <si>
    <t>Diseñar e implementar una Estrategia Municipal de Cooperación Internacional, Nacional y/o regional</t>
  </si>
  <si>
    <t>Estretegia de Cooperación establecida</t>
  </si>
  <si>
    <t>Meta 128.docx</t>
  </si>
  <si>
    <t>Tecnología para consolidar a Tenjo como destino inteligente</t>
  </si>
  <si>
    <t>17.1.2</t>
  </si>
  <si>
    <t>Lograr 1,18 pts en el Criterio Estrategia de mercadeo del ICTRC</t>
  </si>
  <si>
    <t>Criterio Estrategia de mercadeo del ICTRC</t>
  </si>
  <si>
    <t>Realizar ocho (8) encuentros de turismo</t>
  </si>
  <si>
    <t>Encuentros de turismo realizados</t>
  </si>
  <si>
    <t>Meta 129.docx</t>
  </si>
  <si>
    <t>Diseñar e implementar un (1) producto turístico</t>
  </si>
  <si>
    <t>Producto turístico diseñado e implementado</t>
  </si>
  <si>
    <t>Meta 130.docx</t>
  </si>
  <si>
    <t>Implementar los planes operativos Juaica y las Cuevas bajo las tipologías de turismo comunitario, rural de contemplación y afines</t>
  </si>
  <si>
    <t>Planes operativos puestos en marcha</t>
  </si>
  <si>
    <t>Meta 131.docx</t>
  </si>
  <si>
    <t>Realizar anualmente cuatro (4) Capacitaciones a los operadores turísticos del municipio con enfoque en la promoción, calidad, sosteniblidad y buenas prácticas turísticas</t>
  </si>
  <si>
    <t>Capacitaciones a los operadores turísticos del municipio Realizadas</t>
  </si>
  <si>
    <t>Meta 132.docx</t>
  </si>
  <si>
    <t>Desarrollar una (1) aplicación o página web, de oferta turística del municipio de Tenjo</t>
  </si>
  <si>
    <t>Aplicación de oferta turística del municipio de Tenjo Desarrollada</t>
  </si>
  <si>
    <t>Meta 133.docx</t>
  </si>
  <si>
    <t>Desarrollar una intervención anual decorativa con alumbrado navideño</t>
  </si>
  <si>
    <t>Intervención decorativa desarrollada</t>
  </si>
  <si>
    <t>META 134.docx</t>
  </si>
  <si>
    <t>Meta 134.docx</t>
  </si>
  <si>
    <t>Crear un (1) espacio turístico Instagrameable</t>
  </si>
  <si>
    <t>Espacio turístico Instagrameable creado</t>
  </si>
  <si>
    <t>Meta 135.docx</t>
  </si>
  <si>
    <t>Sostenibilidad turística para un destino inteligente</t>
  </si>
  <si>
    <t>17.1.3</t>
  </si>
  <si>
    <t>Lograr 1,85 pts en el Criterio Cultural del ICTRC</t>
  </si>
  <si>
    <t>Criterio Cultural del ICTRC</t>
  </si>
  <si>
    <t>Implementar en las tres IED un proceso de inmersión al programa Colegios Amigos del Turismo - CAT, para promover la cultura turística y de paz, facilitando el acceso al conocimiento del turismo y construcción de paz desde la infancia.</t>
  </si>
  <si>
    <t>Número de procesos de inmersion al CAT implementado</t>
  </si>
  <si>
    <t>Meta 136.docx</t>
  </si>
  <si>
    <t>Realizar un proceso de fortalecimiento del sector de turismo gastronómico</t>
  </si>
  <si>
    <t>Proceso de fortalecimiento realizado</t>
  </si>
  <si>
    <t>Meta 137.docx</t>
  </si>
  <si>
    <t>Desarrollo Rural Innovador, Sostenible e Inclusivo- DERURIS
(Productividad y competitividad de las empresas colombianas)</t>
  </si>
  <si>
    <t xml:space="preserve">Tranformación digital del campo </t>
  </si>
  <si>
    <t>18.1.1</t>
  </si>
  <si>
    <t xml:space="preserve">Implememtar al 100% el programa de Desarrollo Rural, diversificando la  productividad y fortaleciendo los sistemas de producción agropecuaria a través de la educación, el apoyo técnico y el acceso a mercados sostenibles
</t>
  </si>
  <si>
    <t>Porcentaje de programa implementado</t>
  </si>
  <si>
    <t>Desarrollo Rural Innovador y sostenible en el Municipio de Tenjo Cundinamarca</t>
  </si>
  <si>
    <t xml:space="preserve">Incluir el 30% de los hogares rurales con jefatura femenina en el programa de inclusión y diversificación productiva con mujeres rurales </t>
  </si>
  <si>
    <t xml:space="preserve">27.17% de la población
Mujer Agrícola
Hogares jefatura femenina
43.6%
</t>
  </si>
  <si>
    <t>Porcentaje de hogares de jefatura femenina incluidos en el programa.</t>
  </si>
  <si>
    <t>Meta 138.docx</t>
  </si>
  <si>
    <t xml:space="preserve">Adelantar un plan en el cuatrienio para la generación de capacidades urbanas y rurales en la implementación de sistemas caseros de abastecimiento de alimentos. </t>
  </si>
  <si>
    <t>Población Agrícola 
 Tenjo 2890 personas
21%
114.09 ha agricultura tradicional</t>
  </si>
  <si>
    <t>Número de planes diseñados e implementados.</t>
  </si>
  <si>
    <t>Meta 139.docx</t>
  </si>
  <si>
    <t>Establecer 4 planes de acompañamiento integral, caracterización, sistematización y generación de capacidades e instancias de participación a productores agrícolas y pecuarios con enfoque territorial para promover sistemas productivos sostenibles.</t>
  </si>
  <si>
    <t>Población Agrícola
 Tenjo 2890 personas
21%
114.09 ha agricultura tradicional
 UPA 2.164
Unidades Productivas Agropecuarias</t>
  </si>
  <si>
    <t>Número de estrategias formuladas e implementadas</t>
  </si>
  <si>
    <t>Meta 140.docx</t>
  </si>
  <si>
    <t xml:space="preserve">Establecer un plan de fortalecimiento de plataformas de mercadeo de productos agropecuarios en el municipio </t>
  </si>
  <si>
    <t>Meta 141.docx</t>
  </si>
  <si>
    <t xml:space="preserve">Implementar un programa de fincas agroecológicas demostrativas como mecanismo para masificar y promover la agroecología </t>
  </si>
  <si>
    <t>Número de Programas diseñados e implementados.</t>
  </si>
  <si>
    <t>Meta 142.docx</t>
  </si>
  <si>
    <t>Gobernanza Territorial Sostenible, Innovadora e Inclusiva- GOTESI
(Fortalecimiento de la convivencia y seguridad ciudadana)</t>
  </si>
  <si>
    <t>Gobernanza para la erradicación del hambre</t>
  </si>
  <si>
    <t>19.1.1</t>
  </si>
  <si>
    <t>Incrementar a 63,7 la  ejecución de la Política Pública de Seguridad Alimentaria y Nutricional- SAN</t>
  </si>
  <si>
    <t>Porcentaje de Política Pública  SAN incrementado</t>
  </si>
  <si>
    <t xml:space="preserve">23,7% </t>
  </si>
  <si>
    <t xml:space="preserve">Aumentar en 40% la implementación de la Política Pública de Seguridad y Soberanía Alimentaria y Nutricional </t>
  </si>
  <si>
    <t>23.7%
Avance 2021-2023</t>
  </si>
  <si>
    <t>Porcentaje de Política Pública  SAN implementado en el cuatrienio</t>
  </si>
  <si>
    <t>Meta 143.docx</t>
  </si>
  <si>
    <t>Gobernanza para la coexistencia interespecie</t>
  </si>
  <si>
    <t>19.1.2</t>
  </si>
  <si>
    <t>Incrementar a 55,5 la  ejecución de la Política Pública de  Protección y Bienestar animal</t>
  </si>
  <si>
    <t>Porcentaje de Política Pública incrementado</t>
  </si>
  <si>
    <t>15,5%</t>
  </si>
  <si>
    <t>Implementación de la política pública de protección y bienestar animal en el municipio de Tenjo</t>
  </si>
  <si>
    <t>Aumentar en 40% la implementación de la Política Publica de Protección y Bienestar Animal</t>
  </si>
  <si>
    <t>15,50% 
Avance 2022-2023</t>
  </si>
  <si>
    <t>Porcentaje de Política Pública  implementado en el cuatrienio</t>
  </si>
  <si>
    <t>Meta 144.docx</t>
  </si>
  <si>
    <t>Realizar 4 campañas de cultura ciudadana sobre bienestar animal y tenencia responsable dando cumplimiento a la Ley 1801 de 2016</t>
  </si>
  <si>
    <t>Número de campañas realizadas</t>
  </si>
  <si>
    <t>Meta 145.docx</t>
  </si>
  <si>
    <t>Innovación para el Desarrollo Económico Local de Tenjo- IDET
(Productividad y competitividad de las empresas colombianas)</t>
  </si>
  <si>
    <t>Impulso al Emprendimiento y la Producción Sostenible</t>
  </si>
  <si>
    <t>20.1.1</t>
  </si>
  <si>
    <t>Aumentar la creación de nuevas empresas en un 20% con énfasis en los sectores de servicios, comercio y manufactura, Intensificando el desarrollo y diversificación del ecosistema emprendedor en Tenjo a través de la capacitación, comercialización y sostenibilidad para productores, artesanos y artistas manuales</t>
  </si>
  <si>
    <t>Porcentaje de creación de nuevas empresas aumentado</t>
  </si>
  <si>
    <t>20% (260)- 2023
18% (217)- 2022
21% (245)- 2021
Fuente: Cámara de Comercio de Bogotá 2024</t>
  </si>
  <si>
    <t>DISEÑO E IMPLEMENTACION DEL IMPULSO AL EMPRENDIMIENTO Y PRODUCCION SOSTENIBLE EN EL MUNICIPIO DE TENJO</t>
  </si>
  <si>
    <t>Desarrollar 5 estrategias de fortalecimiento al ecosistema emprendedor del Municipio de Tenjo</t>
  </si>
  <si>
    <t>Programa Feria Dominical, Mercados Campesinos, Fondo de Emprendimiento (Fuente Administración Municipal)</t>
  </si>
  <si>
    <t>Número de estrategias desarrolladas</t>
  </si>
  <si>
    <t>Meta 146.docx</t>
  </si>
  <si>
    <t>Ejecutar el Fondo de Emprendimiento del municipio, generando las actualizaciones reglamentarias y técnicas que permitan la mejora en el fortalecimiento e impulso del emprendimiento local</t>
  </si>
  <si>
    <t>Porcentaje de actividades ejecutadas</t>
  </si>
  <si>
    <t>Meta 147 .docx</t>
  </si>
  <si>
    <t>Meta 147.docx</t>
  </si>
  <si>
    <t>Establecer un modelo estratégico de comercialización sostenible para los pequeños, medianos productores y asociaciones agropecuarias y agroindustriales del Municipio de Tenjo</t>
  </si>
  <si>
    <t>Modelo estratégico establecido</t>
  </si>
  <si>
    <t>Meta 148.docx</t>
  </si>
  <si>
    <t>Implementar un modelo sostenible de relacionamiento con el sector empresarial con el municipio</t>
  </si>
  <si>
    <t>Modelo sostenible de relacionamiento implementado</t>
  </si>
  <si>
    <t>Meta 149.docx</t>
  </si>
  <si>
    <t>Diseñar e implementar una estrategia para la promoción, capacitación y fortalecimiento a los artesanos y artistas manuales del Municipio de Tenjo</t>
  </si>
  <si>
    <t>Casa Chitasugá, Participación en ferias</t>
  </si>
  <si>
    <t>Una estrategia diseñada e implementada</t>
  </si>
  <si>
    <t>Meta 150.docx</t>
  </si>
  <si>
    <t>Territorio Innovador e Inteligente de Tenjo -TIIT 
(Fomento de la investigación, desarrollo tecnológico e innovación del sector trabajo)</t>
  </si>
  <si>
    <t>Infraestructura y Servicios Inteligentes</t>
  </si>
  <si>
    <t>21.1.1</t>
  </si>
  <si>
    <t>Lograr 3,0 en el Índice de Ciudades y Territorios Inteligentes dentro del Modelo de El Modelo de Madurez de Ciudades y Territorios Inteligentes del MinTic</t>
  </si>
  <si>
    <t>Índice de Ciudades y Territorios inteligentes del Mintic</t>
  </si>
  <si>
    <t xml:space="preserve">Implementar el modelo de Smartcity en el municipio </t>
  </si>
  <si>
    <t>Modelo implementado</t>
  </si>
  <si>
    <t>Meta 151.docx</t>
  </si>
  <si>
    <t>DESARROLLO DEL TERRITORIO INNOVADOR E INTELIGENTE DEL MUNICIPIO DE TENJO</t>
  </si>
  <si>
    <t>Realizar dos procesos de referenciación de CteI a nivel regional, nacional o internacional</t>
  </si>
  <si>
    <t xml:space="preserve">Número de procesos de referenciación realizados </t>
  </si>
  <si>
    <t>Meta 152.docx</t>
  </si>
  <si>
    <t>Desarrollar dos proyectos para la ampliación de elementos urbanos innovadores de características inteligente y  sustentable en el municipio de Tenjo</t>
  </si>
  <si>
    <t>Centro Regional de Ciencia, Tecnología e Innovación para el Emprendimiento consolidado</t>
  </si>
  <si>
    <t>META 153.docx</t>
  </si>
  <si>
    <t>Meta 153.docx</t>
  </si>
  <si>
    <t xml:space="preserve">Implementar una red de infraestructura en telecomunicaciones que garantice el acceso a la internet, la información el conocimiento y la ciencia, ampliando además la red  Wi-Fi pública en tres zonas del municipio </t>
  </si>
  <si>
    <t>Número de redes de infraestructura en telecomunicaciones implementada</t>
  </si>
  <si>
    <t>META 154.docx</t>
  </si>
  <si>
    <t>Meta 154.docx</t>
  </si>
  <si>
    <t>Tenjo Innovador es Ecosistema de Ciencia, Tecnología e Innovación -TINEC
(Fortalecimiento de la gobernanza e institucionalidad multinivel del sector de CTeI)</t>
  </si>
  <si>
    <t>Educación y Capacitación en CTeI</t>
  </si>
  <si>
    <t>Consolidar el Centro Regional de Ciencia, Tecnología e Innovación para el Emprendimiento.</t>
  </si>
  <si>
    <t>Centro regional CteI consolidado</t>
  </si>
  <si>
    <t>Meta 155.docx</t>
  </si>
  <si>
    <t>DESARROLLO INNOVADOR ES ECOSISTEMA DE CIENCIA, TECNOLOGIA E INNOVACIÓN EN EL MUNICIPIO DE TENJO</t>
  </si>
  <si>
    <t>Generar una a lianza con una institución de educación superior para el desarrollo de investigación en el municipio</t>
  </si>
  <si>
    <t>Alianza generada</t>
  </si>
  <si>
    <t xml:space="preserve">Sec. Desarrollo Educativo </t>
  </si>
  <si>
    <t>Meta 156.docx</t>
  </si>
  <si>
    <t>Crear el aula Móvil Steam llevando la CteI a todas las veredas</t>
  </si>
  <si>
    <t>Aula Móvil Steam Creada</t>
  </si>
  <si>
    <t>Meta 157.docx</t>
  </si>
  <si>
    <t xml:space="preserve">Generar una alianza que permita el aprendizaje no formal en lenguaje de programación, bigdata y machine learning para niños, niñas, adolescentes y jóvenes </t>
  </si>
  <si>
    <t>Meta 158.docx</t>
  </si>
  <si>
    <t>Crear un programa de mentorias en tecnología, innovación y emprendimiento que conecte a jóvenes y emprendedores de Tenjo con expertos y profesionales del sector e industriales y empresarios del a región, fomentando el desarrollo de habilidades y la creación de startups</t>
  </si>
  <si>
    <t>Programa creado</t>
  </si>
  <si>
    <t>Meta 159.docx</t>
  </si>
  <si>
    <t>Fomento de la Innovación y el Emprendimiento</t>
  </si>
  <si>
    <t>Formular la política pública de Ciencia tecnología e Innovación y de  fomento a la alfabetización en IA para los nuevos modelos de trabajo</t>
  </si>
  <si>
    <t>Política Pública formulada</t>
  </si>
  <si>
    <t>Meta 160.docx</t>
  </si>
  <si>
    <t>Eje 4. Transformación Social</t>
  </si>
  <si>
    <t>Programa Inteligente para la Excelencia Educativa de Tenjo (PIEET)
 (Calidad, cobertura y fortalecimiento de la educación inicial, prescolar, básica y media)
(Calidad y fomento de la educación superior)</t>
  </si>
  <si>
    <t>Sistema de Acceso y Calidad Educativa (SACE)</t>
  </si>
  <si>
    <t>23.1.1</t>
  </si>
  <si>
    <t>Incrementar a 90 la tasa de aprobación promedio para el cuatrienio</t>
  </si>
  <si>
    <t>Tasa de aprobación (promedio cuatrienio)</t>
  </si>
  <si>
    <t>89,3
Tasa de aprobación promedio 
87,36- 2019
92,84- 2021
97,99- 2022
Fuente: Men Estadísticas por municipio 2024</t>
  </si>
  <si>
    <t>Fortalecimiento al programa  para la excelencia educativa en el Municipio de Tenjo</t>
  </si>
  <si>
    <t>Beneficiar al 100% de los estudiantes matriculados en las IED con el Programa de Alimentación Escolar PAE</t>
  </si>
  <si>
    <t>2957. Estudiantes beneficiados</t>
  </si>
  <si>
    <t>Porcentaje de estudiantes beneficiados en el programa PAE</t>
  </si>
  <si>
    <t>Meta 161.docx</t>
  </si>
  <si>
    <t>Beneficiar el 100% de los estudiantes focalizados con el servicio de Transporte Escolar</t>
  </si>
  <si>
    <t>1208. Estudiantes beneficiados</t>
  </si>
  <si>
    <t>Porcentaje de estudiantes beneficiados con servicio de transporte escolar</t>
  </si>
  <si>
    <t>Meta 162.docx</t>
  </si>
  <si>
    <t>Fortalecer el programa de Atención de Necesidades Educativas Transitorias - Yo Aprendo - al 100% de la Población Estudiantil focalizada y garantizado los derechos de permanencia de NNA en gestación</t>
  </si>
  <si>
    <t>289. Estudianates beneficiados</t>
  </si>
  <si>
    <t>Porcentaje de familias beneficiadas en el programa "Yo Aprendo"</t>
  </si>
  <si>
    <t>Meta 163.docx</t>
  </si>
  <si>
    <t>Generar 4 procesos de dotación y equipamiento tecnológico y mobiliario para las IED del municipio de Tenjo</t>
  </si>
  <si>
    <t>Número de IED dotadas</t>
  </si>
  <si>
    <t>Meta 164.docx</t>
  </si>
  <si>
    <t>Beneficiar al 100% de los estudiantes matriculados en las IED con la entrega de uniformes</t>
  </si>
  <si>
    <t>Porcentaje de estudiantes beneficiados con entrega de uniformes</t>
  </si>
  <si>
    <t>Meta 165.docx</t>
  </si>
  <si>
    <t>Garantizar el mantenimiento de las 3 IED y sus 17 subsedes del municipio de Tenjo.</t>
  </si>
  <si>
    <t>Mantenimiento realizado</t>
  </si>
  <si>
    <t>META 166.docx</t>
  </si>
  <si>
    <t>Meta 166.docx</t>
  </si>
  <si>
    <t>Dotar con 3 aulas inteligentes las tres instituciones educativas departamentales del municipio de Tenjo.</t>
  </si>
  <si>
    <t>3 IED, dotadas con aulas inteligentes</t>
  </si>
  <si>
    <t>Meta 167.docx</t>
  </si>
  <si>
    <t>Garantizar en las 17 sedes de las IED la conectividad a internet, dando continuidad a la red de fibra óptica</t>
  </si>
  <si>
    <t xml:space="preserve">Número de instituciones con servicios de internet </t>
  </si>
  <si>
    <t>Meta 168.docx</t>
  </si>
  <si>
    <t>Ampliar la infraestructura educativa de las tres IED zona rural del municipio</t>
  </si>
  <si>
    <t>Número de instituciones educativas construidas</t>
  </si>
  <si>
    <t>Meta 169.docx</t>
  </si>
  <si>
    <t>Generar un proceso de capacitación y acompañamiento anual a los docentes de las instituciones públicas y privadas en DUA Y PIAR, a través de personal especializado en educación inclusiva</t>
  </si>
  <si>
    <t>Número de procesos generados</t>
  </si>
  <si>
    <t>Meta 170.docx</t>
  </si>
  <si>
    <t>Sistema de Fortalecimiento Educativo y Comunitario (SIFEC)</t>
  </si>
  <si>
    <t>23.2.1</t>
  </si>
  <si>
    <t>Lograr la clasificación A de las tres IED en en las pruebas Saber Pro</t>
  </si>
  <si>
    <t>Clasificación Pruebas Saber Pro</t>
  </si>
  <si>
    <t>B
2023</t>
  </si>
  <si>
    <t>Fortalecimiento al sistema educativo y comunitario en el municipio de tenjo</t>
  </si>
  <si>
    <t>Fortalecer en las 3 IED  la Cátedra de indentidad de Tenjo y la Cátedra de Cultura de Paz</t>
  </si>
  <si>
    <t>IED con cátedras fortalecidas</t>
  </si>
  <si>
    <t>Meta 171.docx</t>
  </si>
  <si>
    <t>Incrementar la atención y acompañamiento a 500 familias de estudiantes focalizados en la Escuela de Padres Municipal.</t>
  </si>
  <si>
    <t>Número de familias atendidas en escuela de padres</t>
  </si>
  <si>
    <t>Meta 172.docx</t>
  </si>
  <si>
    <t>Implementar en 40% a la política pública educativa del municipio de Tenjo.</t>
  </si>
  <si>
    <t>Política Pública implementada</t>
  </si>
  <si>
    <t>Meta 173.docx</t>
  </si>
  <si>
    <t xml:space="preserve">Garantizar la transferencia de los recursos de gratuidad </t>
  </si>
  <si>
    <t>Transferencia de recursos garantizados</t>
  </si>
  <si>
    <t>Meta 174.docx</t>
  </si>
  <si>
    <t>Implementar  un proceso no formal sobre  la educación en finanzas y empleo para el 100% de los estudiantes de grado noveno de las tres IED departamentales del municipio de Tenjo de manera inicial</t>
  </si>
  <si>
    <t>Porentaje de estudiantes beneficiados</t>
  </si>
  <si>
    <t>Meta 175.docx</t>
  </si>
  <si>
    <t>Realizar un curso anual preparatorio para la presentación de las Pruebas Saber 11° en las 3 IED del municipio de Tenjo.</t>
  </si>
  <si>
    <t>Número de estudiantes beneficiados en pruebas saber 11</t>
  </si>
  <si>
    <t>Meta 176.docx</t>
  </si>
  <si>
    <t>Beneficiar minímo a 500 personas con el programa certificado de Bilingüismo</t>
  </si>
  <si>
    <t>Número de población beneficiada</t>
  </si>
  <si>
    <t>Meta 177.docx</t>
  </si>
  <si>
    <t xml:space="preserve">      Generar cuatro procesos de acompañamiento en las 15 veredas del municipio en contra jornada mejorando y fortaleciendo habilidades y competencias académicas y desarrollando 4 procesos de inmersión en Robótica y áreas STEAM </t>
  </si>
  <si>
    <t>Procesos de acompañamiento generado</t>
  </si>
  <si>
    <t>Meta 178.docx</t>
  </si>
  <si>
    <t>Realizar cuatro acciones de fortalecimiento que garanticen la mejora en salud mental, seguridad y salud en el trabajo y servcios de enfermería para los estudiantes y docentes de las tres Instituciones educativas del municipio.</t>
  </si>
  <si>
    <t>Número de acciones de fortalecimiento en salud mental, seguridad y salud en el trabajo y servcios de enfermería realizados</t>
  </si>
  <si>
    <t>Meta 179.docx</t>
  </si>
  <si>
    <t>Sistema de Acceso y a la Educación Superior (SAES)</t>
  </si>
  <si>
    <t>23.3.1</t>
  </si>
  <si>
    <t>Incrementar en 58% el esquema de beneficios de acceso y apoyo a la educación superior</t>
  </si>
  <si>
    <t>Porcentaje de incremento en el esquema de beneficios de acceso y apoyo a la educación superior</t>
  </si>
  <si>
    <t>52% 
(3941 beneficios) 
Fuente: Informe empalme 2023</t>
  </si>
  <si>
    <t>Fortalecimiento al programa para la excelencia en educacion superior en el Municipio de Tenjo</t>
  </si>
  <si>
    <t>Aumentar durante el cuatrienio el apoyo a minímo a 4000 estudiantes de Educación Técnica, Tecnológica y Profesional, con Bonos de Transporte Educativo.</t>
  </si>
  <si>
    <t xml:space="preserve">Número de estudiantes beneficiados en bonos de transporte educativo </t>
  </si>
  <si>
    <t>Meta 180.docx</t>
  </si>
  <si>
    <t>Ampliar la cobertura durante el cuatrienio  minímo a 3000 beneficiarios del fondo Luis Carlos Galán para el pago parcial de matricula.</t>
  </si>
  <si>
    <t>Número de estudiantes beneficiados con el pago parcial de matricula</t>
  </si>
  <si>
    <t>Meta 181.docx</t>
  </si>
  <si>
    <t>Beneficiar a 500 estudiantes egresados de las IED con convenios de Educación Complementaria, Técnica, Tecnológica y Superior.</t>
  </si>
  <si>
    <t>Número de estudiantes beneficiados con convenios en Educación</t>
  </si>
  <si>
    <t>Meta 182.docx</t>
  </si>
  <si>
    <t>Incrementar a 60 incentivos en el cuatrienio para los mejores estudiantes de las Instituciones Educativas Departamentales - IED del Municipio de Tenjo.</t>
  </si>
  <si>
    <t>Número de incentivos entregados a estudiantes</t>
  </si>
  <si>
    <t>Meta 183.docx</t>
  </si>
  <si>
    <t>Sistema de Dignifcación a la Labor Docente (SIDILAD)</t>
  </si>
  <si>
    <t>23.4.1</t>
  </si>
  <si>
    <t>Ejecutar al 100% las acciones de dignificación docente planteadas para el cuatrienio</t>
  </si>
  <si>
    <t>APOYO A LA LABOR DOCENTE Y COMUNICDAD EDUCATIVA  EN EL MUNICIPIO DE TENJO</t>
  </si>
  <si>
    <t xml:space="preserve">Realizar un evento anual en conmemoración del día del maestro en el cual se exalte el ejercicio de la labor docente. </t>
  </si>
  <si>
    <t>1 evento realizado número de docentes beneficiados.</t>
  </si>
  <si>
    <t>Meta 184.docx</t>
  </si>
  <si>
    <t>Incrementar a 24 beneficiarios del Programa de Estímulos para los Docentes de las 3 Instituciones Educativas Departamentales IED del municipio.</t>
  </si>
  <si>
    <t xml:space="preserve">Número de estímulos entregados </t>
  </si>
  <si>
    <t>Meta 185.docx</t>
  </si>
  <si>
    <t>Realizar un foro anualmente dirigido a la comunidad educativa publica y privada brindando oportunidades de encuentros de experiencias significativas</t>
  </si>
  <si>
    <t>Numero de foros realizados</t>
  </si>
  <si>
    <t>Meta 186.docx</t>
  </si>
  <si>
    <t>Salud Pública Inteligente e innovadora
(Aseguramiento y prestación integral de servicios de salud)
(Salud pública)
(Inspección, vigilancia y control)</t>
  </si>
  <si>
    <t>Prestación de Servicios y Aseguramiento</t>
  </si>
  <si>
    <t>24.1.1</t>
  </si>
  <si>
    <t>Mantener una cobertura de 68% de  afiliación  al Sistema General de Seguridad Social en Salud -SSSG</t>
  </si>
  <si>
    <t>Cobertura de afiliación al SGSSS</t>
  </si>
  <si>
    <t>Desarrollo del aseguramiento integral en el Municipio de Tenjo</t>
  </si>
  <si>
    <t>Mantener anualmente minímo 4500 personas afiliadas al régimen subsidiado del Sistema General de Seguridad Social en Salud -SSSG</t>
  </si>
  <si>
    <t>Número de personas afiliadas al régimen subsidiado</t>
  </si>
  <si>
    <t>Meta 187.docx</t>
  </si>
  <si>
    <t>24.1.2</t>
  </si>
  <si>
    <t>Mantener en 100% la ejecución de las estrategias de promoción y prevención mediante de la atención primaria en salud.</t>
  </si>
  <si>
    <t>Porcentaje de ejecución de atención primaria en salud</t>
  </si>
  <si>
    <t xml:space="preserve">Implementar una estrategia de atención en salud  del modelo de atencion predictivo y preventivo bajo el esquema extramural de la salud que incluya los enfoques diferenciales  LGTBIQ+, población migrante, indígena, ROM, comunidad negra, afrocolombiana y palenquera </t>
  </si>
  <si>
    <t>Número de estartegias implementadas</t>
  </si>
  <si>
    <t>Meta 188.docx</t>
  </si>
  <si>
    <t>Es el tiempo de la innovación en la Salud Pública</t>
  </si>
  <si>
    <t>24.2.1</t>
  </si>
  <si>
    <t>Mantener en 5,3 % la desnutrición aguda en menores de 5 años</t>
  </si>
  <si>
    <t>Prevalencia de desnutrición aguda en menores de 5 años</t>
  </si>
  <si>
    <t>DESARROLLO DE LA SALUD PUBLICA INTELIGENTE E INNOVADORA EN EL MUNICIPIO DE TENJO</t>
  </si>
  <si>
    <t>Realizar 1 estrategia anual para fortalecer el plan de recuperación nutricional Municipal</t>
  </si>
  <si>
    <t>Número estrategias anuales realizadas</t>
  </si>
  <si>
    <t>Meta 189.docx</t>
  </si>
  <si>
    <t>24.2.2</t>
  </si>
  <si>
    <t>Disminuir a 24% el porcentaje de sobrepeso y obesidad (exceso de peso) en población escolar y  adolescente( 5-17 años)</t>
  </si>
  <si>
    <t>Prevalencia de exceso de peso en escolares y adolescentes</t>
  </si>
  <si>
    <t>Realizar 2 campañas anuales de entornos escolares saludables.</t>
  </si>
  <si>
    <t>Numero de campañas realizadas</t>
  </si>
  <si>
    <t>Meta 190.docx</t>
  </si>
  <si>
    <t>24.2.3</t>
  </si>
  <si>
    <t>Mantener en menos de 514*100.000 la tasa de Violencia de género e intrafamiliar notificados al (Sistema Nacional de Vigilancia en Salud Pública)SIVIGILA</t>
  </si>
  <si>
    <t>Tasa de violencia de género e intrafamiliar</t>
  </si>
  <si>
    <t>542*100.000</t>
  </si>
  <si>
    <t>Desarrollar 1 campaña anual enmarcada en promoción de la salud y prevención de los trastornos mentales.</t>
  </si>
  <si>
    <t>Número de campaña desarrolladas</t>
  </si>
  <si>
    <t>Meta 191.docx</t>
  </si>
  <si>
    <t>24.2.4</t>
  </si>
  <si>
    <t>Mantener en 0 el numero de casos de intoxicacion  por sustancia psicoactivas notificados al sistema de vigilancia epidemiologia</t>
  </si>
  <si>
    <t xml:space="preserve"> Número de casos de intoxicacion por sustancia psicoactivas notificadas</t>
  </si>
  <si>
    <t>Desarrollar 1 estrategia anual para abordar la población a riesgo de uso de sustancias psicoactivas con enfoque diferencial y de género en especial para NNA</t>
  </si>
  <si>
    <t>Número de estrategias anuales desarrolladas</t>
  </si>
  <si>
    <t>Meta 192.docx</t>
  </si>
  <si>
    <t>24.2.5</t>
  </si>
  <si>
    <t>Mantener en 0 la razón mortalidad materna</t>
  </si>
  <si>
    <t>Razón de mortalidad materna.</t>
  </si>
  <si>
    <t>Desarrollar 1 estrategia en el marco de la gestión del riesgo en salud sexual y reproductiva orientada a la implementación, ejecución y seguimiento a la RIA materno perinatal a través del Mecanismo Articulador</t>
  </si>
  <si>
    <t>Meta 193.docx</t>
  </si>
  <si>
    <t>24.2.6</t>
  </si>
  <si>
    <t>Mantener en 0 la tasa de mortalidad en menores de cinco años por IRA.</t>
  </si>
  <si>
    <t>Tasa de mortalidad en menores de 5 años por IRA</t>
  </si>
  <si>
    <t>Realizar una campaña anual para intervenir enfermedades emergentes, reemergentes y desatendidas.</t>
  </si>
  <si>
    <t>Meta 194.docx</t>
  </si>
  <si>
    <t>24.2.7</t>
  </si>
  <si>
    <t>Mantener en 100% las acciones del fortalecimiento de la rectoria de salud territorial dando cumplimiento a las competencias establecidas.</t>
  </si>
  <si>
    <t>Porcentaje de acciones</t>
  </si>
  <si>
    <t xml:space="preserve">Formular un proyecto de inversión para el fortalecimento de la infraestructura física, mobiliario y/o equipos de la E.S.E. en el marco de la Ley 1608 de 2013 </t>
  </si>
  <si>
    <t>Número de proyectos formulados</t>
  </si>
  <si>
    <t>Meta 195.docx</t>
  </si>
  <si>
    <t>24.2.8</t>
  </si>
  <si>
    <t>Mantener en 95% la Cobertura de vacunación con triple viral (menores 1 año)</t>
  </si>
  <si>
    <t>Cobertura de vacunación con  triple viral en menores de un año</t>
  </si>
  <si>
    <t>Desarrollar 1 estrategia en el marco de la gestión del riesgo en Enfermedades prevalentes de la primera infancia orientada a la Ruta Integral de la promoción y mantenimiento.</t>
  </si>
  <si>
    <t>Meta 196.docx</t>
  </si>
  <si>
    <t>24.2.9</t>
  </si>
  <si>
    <t>Realizar la caracterización y seguimiento anual de 4500 hogares en el marco de la estrategia primaria en salud</t>
  </si>
  <si>
    <t>Número de hogares caracterizados y con seguimiento</t>
  </si>
  <si>
    <t>Meta 197.docx</t>
  </si>
  <si>
    <t xml:space="preserve">Es el tiempo de la Vigilancia, Inspección y control </t>
  </si>
  <si>
    <t>24.3.1</t>
  </si>
  <si>
    <t>Disminuir en 10%  la notificación de casos por agresiones por animales potencialmente trasmisores de rabia en el SIVIGILA</t>
  </si>
  <si>
    <t xml:space="preserve">Porcentaje de agresiones por animales potencialmente trasmisores de rabia evento 300 </t>
  </si>
  <si>
    <t>FORTALECIMIENTO DE LA VIGILANCIA, INSPECCION Y CONTROL DE LA SALUD PUBLICA EN EL MUNICIPIO DE TENJO</t>
  </si>
  <si>
    <t>Desarrollar 2 estrategias anuales orientadas a disminuir las agresiones por animales potencialmente trasmisores de rabia y el control de vectores</t>
  </si>
  <si>
    <t>Número estrategias desarrolladas</t>
  </si>
  <si>
    <t>Meta 198.docx</t>
  </si>
  <si>
    <t>Ampliar a 4 veredas la estrategia de Ciudad Entorno y Ruralidad  Saludable CERS</t>
  </si>
  <si>
    <t>Estrategía CERS ampliada</t>
  </si>
  <si>
    <t>Meta 199.docx</t>
  </si>
  <si>
    <t>Realizar seguimiento y monitoreo trimestral a las entidades administradoras de planes de beneficios (EAPBs) que cuenten con población afiliada en el municipio</t>
  </si>
  <si>
    <t>Número de seguimientos</t>
  </si>
  <si>
    <t>Meta 200.docx</t>
  </si>
  <si>
    <t>Ejecutar al 100% las visitas de inspección vigilancia y control sanitario programadas.</t>
  </si>
  <si>
    <t>Porcentaje de visitas ejecutadas</t>
  </si>
  <si>
    <t>Meta 201.docx</t>
  </si>
  <si>
    <t>Realizar seguimiento anual a 3 instituciones prestadoras de servicios de salud mediante el talento humano de gestión de la salud pública.</t>
  </si>
  <si>
    <t>Número de seguimientos realizados</t>
  </si>
  <si>
    <t>Meta 202.docx</t>
  </si>
  <si>
    <t>Desarollar un proceso de segumiento anual al PTS y Politícas Públicas con plan de acción salud</t>
  </si>
  <si>
    <t>Número de procesos desarrollados</t>
  </si>
  <si>
    <t>Meta 203.docx</t>
  </si>
  <si>
    <t>Ejecutar el 100% de acciones de planeación estratégica, porgramación de recursos y analisis de datos e información en salud</t>
  </si>
  <si>
    <t>Número de Procesos fortalecidos</t>
  </si>
  <si>
    <t>Meta 204.docx</t>
  </si>
  <si>
    <t>Ejecutar al 100% las acciones de vigilancia en salud pública</t>
  </si>
  <si>
    <t>Meta 205.docx</t>
  </si>
  <si>
    <t xml:space="preserve">Atender al 100%  las peticiones, quejas, reclamos y denuncias en materia de salud en el marco de la participación social y sus mecanismos de participación </t>
  </si>
  <si>
    <t>Porcentale de PQRS en salud atendidas</t>
  </si>
  <si>
    <t>Meta 206.docx</t>
  </si>
  <si>
    <t xml:space="preserve">Renacimiento Inteligente Cultural de Tenjo (RICTE)
(Promoción y acceso efectivo a procesos culturales y artísticos)
</t>
  </si>
  <si>
    <t xml:space="preserve"> Es el tiempo de fortalecimiento Institucional para la Promoción Cultural</t>
  </si>
  <si>
    <t>25.1.1</t>
  </si>
  <si>
    <t xml:space="preserve">Incrementar en 68% el acceso a los procesos de circulación y formación artística y cultural en el municipio através de acciones de promoción fortalecimiento institucional y dotación </t>
  </si>
  <si>
    <t>Porcentaje de acceso a los procesos de circulación y formación artística y cultural incrementado</t>
  </si>
  <si>
    <t>Fortalecimiento institucional para la promocion cultural en el Municpio de Tenjo</t>
  </si>
  <si>
    <t>Implementar un (1) plan de mercadeo para la promoción y divulgación cultural y turística de Tenjo</t>
  </si>
  <si>
    <t>Plan de mercadeo ejecutado</t>
  </si>
  <si>
    <t>Meta 207.docx</t>
  </si>
  <si>
    <t xml:space="preserve">Diseñar y ejecutar al 100% esquema de fortalecimiento operativo Institucional en el Instituto Municipal de Cultura y Turismo  </t>
  </si>
  <si>
    <t>Plan de fortalecimiento Institucional diseñado y ejecutado</t>
  </si>
  <si>
    <t>Meta 208.docx</t>
  </si>
  <si>
    <t>Implementar y ejecutar al 100% un (1)  plan para la promoción, salvaguardia, conservación y divulgación del patrimonio material, inmaterial y natural  del municipio</t>
  </si>
  <si>
    <t>Plan implementado</t>
  </si>
  <si>
    <t>Meta 209.docx</t>
  </si>
  <si>
    <t xml:space="preserve">Diseñar e implementar al 100%  un programa anual de economía popular para las asociaciones culturales  del municipio </t>
  </si>
  <si>
    <t>Programa de economía popular para la cultura del municipio establecido</t>
  </si>
  <si>
    <t>Meta 210.docx</t>
  </si>
  <si>
    <t>Aumentar a 80 los procesos de circulación de los grupos representativos  de las  escuelas de formación Artística y cultural  en eventos del orden departamental, nacional y/o internacional</t>
  </si>
  <si>
    <t>Procesos de circulación aumentados</t>
  </si>
  <si>
    <t>Meta 211.docx</t>
  </si>
  <si>
    <t xml:space="preserve">Garantizar anualmente el acceso de 2700 beneficiarios  a los procesos de las escuelas de formación artística y cultural </t>
  </si>
  <si>
    <t>1998
Fuente informe de gestión 2023</t>
  </si>
  <si>
    <t>Acceso garantizado</t>
  </si>
  <si>
    <t>Meta 212.docx</t>
  </si>
  <si>
    <t xml:space="preserve">Garantizar anualmente el acceso de 2800 beneficiarios a los procesos de las de las escuelas de formación artística y cultural en la zona rural y IED </t>
  </si>
  <si>
    <t>Meta 213.docx</t>
  </si>
  <si>
    <t>Ejecutar el 100% de los recursos BEPS viabilizados por el Ministerio de Cultura</t>
  </si>
  <si>
    <t>Porcentaje de BEPS ejecutados</t>
  </si>
  <si>
    <t>Meta 214.docx</t>
  </si>
  <si>
    <t>Realizar en el cuatrienio 4 procesos de dotación para el fortalecimiento de las escuelas de formación</t>
  </si>
  <si>
    <t xml:space="preserve">Procesos de dotación a cada Proceso de Formación realizados </t>
  </si>
  <si>
    <t>Meta 215.docx</t>
  </si>
  <si>
    <t>Biblioteca Innovadora y más Digital para el fomento de la Lectura</t>
  </si>
  <si>
    <t>25.2.1</t>
  </si>
  <si>
    <t xml:space="preserve">Incrementar en 55% las asistencias a servicios bibliotecarios </t>
  </si>
  <si>
    <t>Porcentaje de incremento de servicios bibliotecarios</t>
  </si>
  <si>
    <t>121.406
Asistencias a los servicios bibliotecarios registrados en el aplicativo "Llave de Saber" de Mincultura- 2021-2023</t>
  </si>
  <si>
    <t>APOYO PARA UNA BIBLIOTECA INNOVADORA Y MAS DIGITAL EN EL MUNICIPIO DE TENJO</t>
  </si>
  <si>
    <t xml:space="preserve">Diseñar e Implementar en un 100% una aplicación de Biblioteca Digital </t>
  </si>
  <si>
    <t>Aplicativo Biblioteca Digital creado</t>
  </si>
  <si>
    <t>Meta 216.docx</t>
  </si>
  <si>
    <t xml:space="preserve">Incrementar a 54.623 el número de asistencias a los servicios bibliotecarios registrados en el aplicativo "Llave de Saber" de Mincultura </t>
  </si>
  <si>
    <t>53.278
Total de Asistencias 2023
Fuente: Aplicativo "Llave del Saber" MinCultura 2024</t>
  </si>
  <si>
    <t>Número de accesos registrados en la Llave del Saber</t>
  </si>
  <si>
    <t>Meta 217.docx</t>
  </si>
  <si>
    <t>Diseñar e Implementar 3 servcios complementarios nuevos para la biblioteca municipal</t>
  </si>
  <si>
    <t>Servicios complementarios nuevos para la Biblioteca municipal diseñados y ejecutados</t>
  </si>
  <si>
    <t>Meta 218.docx</t>
  </si>
  <si>
    <t>Realizar anualmente un (1) proceso de dotación para la biblioteca municipal y sus extensiones</t>
  </si>
  <si>
    <t>Número de dotaciones realizadas</t>
  </si>
  <si>
    <t>Meta 219.docx</t>
  </si>
  <si>
    <t>Es el tiempo de mejores Eventos Culturales y Estímulos</t>
  </si>
  <si>
    <t>25.3.1</t>
  </si>
  <si>
    <t xml:space="preserve">Ejecutar al 100% la agenda de eventos culturales y el programa de estímulos </t>
  </si>
  <si>
    <t>Porcentaje de agenda y programa de estímulos ejecutado</t>
  </si>
  <si>
    <t>APOYO A LOS EVENTOS CUTURALES Y ESTIMULOS DEL MUNICIPIO DE TENJO</t>
  </si>
  <si>
    <t xml:space="preserve">Garantizar  anualmente el desarrollo del 100% de los eventos culturales  establecidos en el estatuto de cultura  fortaleciendo la identidad Tejana y la formación de público </t>
  </si>
  <si>
    <t>Desarrollo de eventos culturales desarrollados</t>
  </si>
  <si>
    <t>Meta 220.docx</t>
  </si>
  <si>
    <t>Fortalecer y ejecutar anualmente un (1) el programa de estímulos - Artenjo</t>
  </si>
  <si>
    <t>Programa de estímulos diseñado y ejecutado</t>
  </si>
  <si>
    <t>Meta 221.docx</t>
  </si>
  <si>
    <t>Innovación para la conservación del Patrimonio y Memoria histórica</t>
  </si>
  <si>
    <t>25.4.1</t>
  </si>
  <si>
    <t>Incrementar en 75% las acciones que garanticen la conservación del Patrimonio y la memoria histórica</t>
  </si>
  <si>
    <t>Porcentaje de acciones incrementadas</t>
  </si>
  <si>
    <t>FORTALECIMIENTO DEL PATRIMONIO Y MEMORIA HISTORICA DEL MUNICIPIO DE TENJO</t>
  </si>
  <si>
    <t>Actualizar la lista de inventario Patrimonial del Municipio</t>
  </si>
  <si>
    <t>lista de inventario patrimonial del municipio realizado</t>
  </si>
  <si>
    <t>Meta 222.docx</t>
  </si>
  <si>
    <t>Realizar anualmente un (1) foro municipal de patrimonio</t>
  </si>
  <si>
    <t>Foro Municipal de patrimonio realizado</t>
  </si>
  <si>
    <t>Meta 223.docx</t>
  </si>
  <si>
    <t>Intervenir mínimo 1 bien que cuente con el carácter de patrimonio histórico o cultural</t>
  </si>
  <si>
    <t>Número de bienes intervenidos</t>
  </si>
  <si>
    <t>META 224.docx</t>
  </si>
  <si>
    <t>Meta 224.docx</t>
  </si>
  <si>
    <t>Crear un (1) guión museológico para el fortalecimiento de la memoria cultural y patrimonial del municipio de Tenjo</t>
  </si>
  <si>
    <t>Guión museológico de memoria histórica del municipio de Tenjo creado</t>
  </si>
  <si>
    <t>Meta 225.docx</t>
  </si>
  <si>
    <t xml:space="preserve">Realizar el levantamiento arquitectónico de mínimo 3 edificaciones de patrimonio histórico cultural </t>
  </si>
  <si>
    <t>Numero de edificaciones a las que se le hicieron levantamiento arquitectónico</t>
  </si>
  <si>
    <t>Meta 226.docx</t>
  </si>
  <si>
    <t>Construir un (1) paquete  de indicadores de evaluación para el seguimiento y actualización del estatuto municipal de Cultura y la Cátedra tenjana con el uso de machine learning y big data</t>
  </si>
  <si>
    <t>Paquete de indicadores construido con bigdata y machine learning</t>
  </si>
  <si>
    <t>Meta 227.docx</t>
  </si>
  <si>
    <t>Es el Tiempo de la Infraestructura Cultural y de mejores espacios de aprendizaje</t>
  </si>
  <si>
    <t>25.4.2</t>
  </si>
  <si>
    <t>Desarrollar al 100% el mantenimiento, mejoramiento y/o ampliación de las infraestructura cultural cargo del instituto</t>
  </si>
  <si>
    <t>Porcentaje de mantenimiento mejoramiento y/o ampliación de infraestructura cultural</t>
  </si>
  <si>
    <t xml:space="preserve">Diseñar y ejecutar un plan de mantenimiento y ampliación de la infraestructura cultural del instituto municipal de cultura y turismo </t>
  </si>
  <si>
    <t>Plan de mantenimiento  diseñado y ejecutado</t>
  </si>
  <si>
    <t>Meta 228.docx</t>
  </si>
  <si>
    <t>Es el tiempo de Tenjo Activo
(Fomento a la recreación, la actividad física y el deporte para desarrollar entornos de convivencia y paz)</t>
  </si>
  <si>
    <t>Infraestructura Deportiva innovadora e inteligente</t>
  </si>
  <si>
    <t>26.1.1</t>
  </si>
  <si>
    <t>Mejorar y optimizar  la infraestructura deportiva en 58,7% fomentado las actividades recreodeporivas y el aprovchamiento del tiempo libre</t>
  </si>
  <si>
    <t>Porcentaje de mejoras y optimizaciones e infraestrcutura deportiva incrementado</t>
  </si>
  <si>
    <t>41,3%</t>
  </si>
  <si>
    <t>DESARROLLO DE LA INFRAESTRUCTURA DEPORTIVA INNOVADORA E INTELIGENTE EN EL MUNICIPIO DE TENJO</t>
  </si>
  <si>
    <t>Modernizar y fortalecer el 85% de los equipos del gimnasio municipal con una implementación adecuada</t>
  </si>
  <si>
    <t>Porcentaje del gimnasio municipal modernizado</t>
  </si>
  <si>
    <t>Meta 229.docx</t>
  </si>
  <si>
    <t>Realizar los estudios y diseños que garanticen la instalación de una cancha de futbol sintética</t>
  </si>
  <si>
    <t>Estudios, diseños e instalación realizada</t>
  </si>
  <si>
    <t>META 230.docx</t>
  </si>
  <si>
    <t>Meta 230.docx</t>
  </si>
  <si>
    <t>Garantizar anualmente en los 17 escenarios deportivos los mantenimientos correctivos, preventivos, sistemas de seguridad y aseguramiento que garanticen la operatividad, el acceso, uso y disfrute de actividades recreo deportivas, incluyendo acciones que den continuidad gradual a las fase 2 del complejo deportivo</t>
  </si>
  <si>
    <t>Número de escenarios deportivos mantenidosy con operatividad garantizada</t>
  </si>
  <si>
    <t>Meta 231.docx</t>
  </si>
  <si>
    <t xml:space="preserve">Incrementar a 14 los parques infantiles y/o máquinas biosaludables en el cuatrienio </t>
  </si>
  <si>
    <t>Número de parques incrementados</t>
  </si>
  <si>
    <t>Meta 232.docx</t>
  </si>
  <si>
    <t>Realizar un proceso de modernización  del Coliseo Municipal</t>
  </si>
  <si>
    <t>Procesos de mejoramiento realizados</t>
  </si>
  <si>
    <t>META 233.docx</t>
  </si>
  <si>
    <t>Meta 233.docx</t>
  </si>
  <si>
    <t>Construir mínimo 2 cubiertas deportivas en el municipio de Tenjo</t>
  </si>
  <si>
    <t>Cubiertas deportivas construidas</t>
  </si>
  <si>
    <t>META 234.docx</t>
  </si>
  <si>
    <t>Meta 234.docx</t>
  </si>
  <si>
    <t xml:space="preserve">Realizar 4 procesos de dotación con implementación y equipo tecnológico para la realización de eventos deportivos y recreativos </t>
  </si>
  <si>
    <t>Número de procesos de dotación realizados</t>
  </si>
  <si>
    <t>Meta 235.docx</t>
  </si>
  <si>
    <t xml:space="preserve">Realizar estudios, diseños y la construcción del parque didáctico multifuncional para fomentar la educación vial, la cultura ciudadana y el cuidado al medio ambiente para uso desde la primera infancia e infancia  </t>
  </si>
  <si>
    <t>Número de parques lúdicos construidos</t>
  </si>
  <si>
    <t>Meta 236.docx</t>
  </si>
  <si>
    <t>Es el tiempo Desarrollo Deportivo y de Talentos</t>
  </si>
  <si>
    <t>26.2.1</t>
  </si>
  <si>
    <t>Mejorar el sistema deportivo en 28%, asegurando un aumento en la participación de atletas en programas de formación deportiva, el apoyo estructural y reconocimiento a los deportistas de alto rendimiento, incluyendo a aquellos en condición de discapacidad</t>
  </si>
  <si>
    <t>Porcentaje de sistema deportivo fortalecido</t>
  </si>
  <si>
    <t>APROVECHAMIENTO DEL TIEMPO EN LA ACTIVIDAD FISICA, RECREACIONAL Y DEPORTIVA EN EL MUNICIPIO DE TENJO</t>
  </si>
  <si>
    <t>Incrementar y fortalecer a 30 las Escuelas de Iniciación y Formación Deportiva para su funcionamiento en el cuatrienio</t>
  </si>
  <si>
    <t>Escuelas de iniciación y formación deportiva incrementadas y fortalecidas</t>
  </si>
  <si>
    <t>Meta 237.docx</t>
  </si>
  <si>
    <t>Incrementar en el cuatrienio en un 75% las alianzas estratégicas con las ligas, clubes y federaciones del sistema nacional del deporte para APOYAR  los deportistas de alto rendimiento</t>
  </si>
  <si>
    <t>Porcentaje de alianzas incrementado</t>
  </si>
  <si>
    <t>Meta 238.docx</t>
  </si>
  <si>
    <t>Galardonar y exaltar anualmente al 100% de los mejores deportistas  en "La Noche de la Excelencia Deportiva Tenjana"</t>
  </si>
  <si>
    <t>Porcentaje de deportistas galardonados y exaltados</t>
  </si>
  <si>
    <t>Meta 239.docx</t>
  </si>
  <si>
    <t>Crear un portafolio de incentivos para mínimo 20 deportistas de alto rendimiento convencionales y en condición de discapacidad</t>
  </si>
  <si>
    <t>Portafolio creado</t>
  </si>
  <si>
    <t>Meta 240.docx</t>
  </si>
  <si>
    <t>Fortalecer y apoyar con implementación deportiva a  los clubes deportivos legalmente constituidos en el municipio</t>
  </si>
  <si>
    <t>Clubes deportivos fortalecidos y apoyados</t>
  </si>
  <si>
    <t>Meta 241.docx</t>
  </si>
  <si>
    <t>Es el tiempo de la Promoción y la participación en el deporte y la recreación</t>
  </si>
  <si>
    <t>26.3.1</t>
  </si>
  <si>
    <t xml:space="preserve">Lograr la participación efectiva del 45% de la población en actividades recreodeportivas </t>
  </si>
  <si>
    <t>Porcentaje de participación logrado</t>
  </si>
  <si>
    <t>Total Población 
2024        26.834
2025        27.644
2026        28.422
2027        29.180
Fuente: Proyecciones Dane</t>
  </si>
  <si>
    <t xml:space="preserve">Participar en 300 eventos recreo deportivos a Nivel Zonal, Departamental, Nacional e Internacional </t>
  </si>
  <si>
    <t>Número de eventos con participación</t>
  </si>
  <si>
    <t>Meta 242.docx</t>
  </si>
  <si>
    <t>Realizar y ejecutar a nivel municipal 200 eventos recreo deportivos beneficiando a la comunidad Tenjana</t>
  </si>
  <si>
    <t>Número de eventos municipales realizados</t>
  </si>
  <si>
    <t>Meta 243.docx</t>
  </si>
  <si>
    <t>Brindar cobertura en las 15  veredas a través de los programas de Inderten</t>
  </si>
  <si>
    <t>Número de veredas con cobertura de los programas de Inderten</t>
  </si>
  <si>
    <t>Meta 244.docx</t>
  </si>
  <si>
    <t>Realizar 4 Festivales recreo deportivo de escuelas de formación deportiva</t>
  </si>
  <si>
    <t>Festival realizado</t>
  </si>
  <si>
    <t>Meta 245.docx</t>
  </si>
  <si>
    <t>Innovación con capacitación para un mejor Inderten</t>
  </si>
  <si>
    <t>26.4.1</t>
  </si>
  <si>
    <t>Ejecutar el 100% de las acciones de fortalecimiento de la capacidad estratégicas, técnica y operativa de Inderten</t>
  </si>
  <si>
    <t>Porcentaje de acciones de fortalecimiento ejecutadas</t>
  </si>
  <si>
    <t>Formular e implementar  en un 35% la Política Pública del deporte en el cuatrienio</t>
  </si>
  <si>
    <t>Política pública formulada e implementada</t>
  </si>
  <si>
    <t>Meta 246.docx</t>
  </si>
  <si>
    <t>Realizar 2 capacitaciones anualmente para la planta de personal del instituto relacionada con deporte, recreación y/o administración deportiva</t>
  </si>
  <si>
    <t>Número de capacitaciones realizadas</t>
  </si>
  <si>
    <t>Meta 247.docx</t>
  </si>
  <si>
    <t>Realizar un estudio técnico para rediseñar la planta de personal del inderten</t>
  </si>
  <si>
    <t>Meta 248.docx</t>
  </si>
  <si>
    <t xml:space="preserve">Es el tiempo de  las acciones integrales de la Infancia, Adolescencia
(Desarrollo integral de la primera infancia a la juventud, y fortalecimiento de las capacidades de las familias de niñas, niños y adolescentes)
</t>
  </si>
  <si>
    <t>Es el tiempo para bienestar para nuestros niñas, niños y adolecentes</t>
  </si>
  <si>
    <t>27.1.1</t>
  </si>
  <si>
    <t>Impactar al 60% de los NNA proyectados para el cuatrienio a través de la oferta institucional de la Política Pública NNA</t>
  </si>
  <si>
    <t>Porcentaje de población de NNA impactados a través de la oferta institucional</t>
  </si>
  <si>
    <t xml:space="preserve">
Total Población NNA 2024-2027
2024        5,168
2025        5,527
2026        5,329
2027        5,396
Fuente: Proyecciones Dane</t>
  </si>
  <si>
    <t>DESARROLLO INTEGRAL DE LA PRIMERA INFANCIA, INFANCIA, ADOLESCENDIA Y FAMILIAS EN EL MUNICPIO DE TENJO</t>
  </si>
  <si>
    <t>Implementar en 45% la ejecución de Política Pública de Primera Infancia, infancia y adolescencia en el cuatrienio</t>
  </si>
  <si>
    <t>Porcentaje de ejecución de Política Pública de Primera Infancia, infancia y adolescencia incrementada</t>
  </si>
  <si>
    <t>Meta 249.docx</t>
  </si>
  <si>
    <t>Mantener el funcionamiento del 100% de la ludoteca Municipal</t>
  </si>
  <si>
    <t>Porcentaje de funcionamiento</t>
  </si>
  <si>
    <t>Meta 250.docx</t>
  </si>
  <si>
    <t>Mantener al 100% el funcionamiento  de la Sala de lactancia del Municipio</t>
  </si>
  <si>
    <t>Porcentaje de Funcionamiento</t>
  </si>
  <si>
    <t>Meta 251.docx</t>
  </si>
  <si>
    <t>Garantizar el funcionamiento y/o dotación  al 100% de los Centros de Atención a la Primera Infancia</t>
  </si>
  <si>
    <t>Meta 252.docx</t>
  </si>
  <si>
    <t>Realizar 2 campañas  anuales sobre Proyecto de Vida para la prevención de Embarazo Adolescente, Consumo de Sustancias Psicoactivas, Ideación Suicida y Cutting.</t>
  </si>
  <si>
    <t>Estrategias realizadas</t>
  </si>
  <si>
    <t>Meta 253.docx</t>
  </si>
  <si>
    <t>Dar cumplimiento al 50% de la Política Municipal para la Prevención y la Atención del Consumo de Sustancias Psicoactivas en el Municipio de Tenjo (Acuerdo 15 del 2021)</t>
  </si>
  <si>
    <t>Política implementada al 50 %</t>
  </si>
  <si>
    <t>Meta 254.docx</t>
  </si>
  <si>
    <t>Fomento de la Cultura y Recreación para la niñez y adolescencia</t>
  </si>
  <si>
    <t>Realizar 3 eventos anuales de conmemoración del Día del Niño, el Día Dulce y actividad navideña implementado acciones lúdicas y de promoción del juego</t>
  </si>
  <si>
    <t>Eventos  realizados</t>
  </si>
  <si>
    <t>Meta 255.docx</t>
  </si>
  <si>
    <t>Establecer un concurso anual de fortalecimiento de competencias en matemáticas, ortografía y creación literaria</t>
  </si>
  <si>
    <t>Número de concursos establecidos</t>
  </si>
  <si>
    <t>Meta 256.docx</t>
  </si>
  <si>
    <t>Realizar dos eventos de apropiación social de la CTeI (festival de astronomía de Tenjo  feria de ciencia, tecnología e innovación de manera anual)</t>
  </si>
  <si>
    <t>Número de eventos realizados</t>
  </si>
  <si>
    <t>Meta 257.docx</t>
  </si>
  <si>
    <t>Deporte y Aprovechamiento del Tiempo Libre para la niñez y adolescencia</t>
  </si>
  <si>
    <t>Realizar 4 eventos para fortalecer el Deporte Escolar en el municipio de Tenjo</t>
  </si>
  <si>
    <t>Meta 258.docx</t>
  </si>
  <si>
    <t>Ejecutar dos programas anualmente de aprovechamiento del tiempo libre y/o actividad física dirigido a la población juvenil del municipio</t>
  </si>
  <si>
    <t>Número de programas ejecutados</t>
  </si>
  <si>
    <t>Meta 259.docx</t>
  </si>
  <si>
    <t>Educación Ambiental y Sostenibilidad para la niñez y adolescencia</t>
  </si>
  <si>
    <t>Ejecutar al 100% los PRAES de las Instituciones Educativas públicas y privadas</t>
  </si>
  <si>
    <t>Porcentaje de PRAES ejecutado</t>
  </si>
  <si>
    <t>META 260</t>
  </si>
  <si>
    <t>Meta 260.docx</t>
  </si>
  <si>
    <t>Entornos de prevención y participación para NNAJ</t>
  </si>
  <si>
    <t>Realizar una estrategia integral que desarrolle el restablecimiento de derechos para Niños, Niñas y Adolescentes y el  componente preventivo del sistema de responsabilidad penal para adolescentes - SRPA durante el cuatrienio</t>
  </si>
  <si>
    <t>Estrategia integral desarrollada</t>
  </si>
  <si>
    <t>Meta 261.docx</t>
  </si>
  <si>
    <t>Realizar un proceso de rendición de cuentas de NNA en el marco de la garantía de sus derechos en el cuatrienio</t>
  </si>
  <si>
    <t>Procesos de rendición de cuentas realizado</t>
  </si>
  <si>
    <t>Meta 262.docx</t>
  </si>
  <si>
    <t>Mujeres avanzando y progresando
(Fortalecimiento del buen gobierno para el respeto y garantía de los derechos humanos)
(Atención integral de población en situación permanente de desprotección social y/o familiar)</t>
  </si>
  <si>
    <t>Trabajo digno e inclusión productiva para las mujeres</t>
  </si>
  <si>
    <t>28.1.1</t>
  </si>
  <si>
    <t>Implementar al 100%  un esquema operativo en la administración municipal y empresas privadas, garantizando un aumento en la empleabilidad de mujeres en trabajos dignos y la ejecución completa de programas de educación sexual y menstrual con enfoque de género</t>
  </si>
  <si>
    <t>Porcentaje de esquema operativo que garantice el aumento en la empleablilidad de las mujeres en trabajos dignos implementado</t>
  </si>
  <si>
    <t>FORTALECIMIENTO DE LAS CAPACIDADES INTITUCIONALES PARA GARANTIZAR LOS DERECHOS DE LAS MUJERES EN EL MUNICIPIO DE TENJO</t>
  </si>
  <si>
    <t>Diseñar e Implementar  un esquema operativo para la equidad de Género en la administración municipal y en empresas del sector privado</t>
  </si>
  <si>
    <t>Plan diseñado e implementado</t>
  </si>
  <si>
    <t>Sec Mujer y Equidad de Género</t>
  </si>
  <si>
    <t>Meta 263.docx</t>
  </si>
  <si>
    <t>Ejecutar una estrategia para la vinculación a trabajos dignos para mujeres, en el cuatrienio</t>
  </si>
  <si>
    <t xml:space="preserve"> </t>
  </si>
  <si>
    <t>Meta 264.docx</t>
  </si>
  <si>
    <t>Salud fisíca y mental para las mujeres</t>
  </si>
  <si>
    <t>28.2.1</t>
  </si>
  <si>
    <t>Desarollar al 100% el subprograma de Salud fisíca y mental para las mujeres, asegurando la ejecución efectiva de programas educativos en salud sexual y menstrual, apoyos alimentarios, la salud mental con un enfoque integral de género</t>
  </si>
  <si>
    <t>Porcentaje de subprograma desarrollado</t>
  </si>
  <si>
    <t>Diseñar e implementar 7 acciones integrales en educación sexual y menstrual con enfoque de género</t>
  </si>
  <si>
    <t>Número de acciones integrales diseñadas e implementadas</t>
  </si>
  <si>
    <t>Meta 265.docx</t>
  </si>
  <si>
    <t>Desarrollar un sistema asistencial de apoyos alimentarios para mujeres en condición de vulnerabilidad</t>
  </si>
  <si>
    <t>Sistema asistencial de apoyos alimentarios desarrollados</t>
  </si>
  <si>
    <t>Meta 266.docx</t>
  </si>
  <si>
    <t>Realizar 4 eventos durante el cuatrienio  de" La Carrera de la Mujer" en el municipio de Tenjo</t>
  </si>
  <si>
    <t>Meta 267.docx</t>
  </si>
  <si>
    <t>Ejecutar una estrategia que favorezca la salud mental de las y los habitantes del municipio con enfoque de género</t>
  </si>
  <si>
    <t>Estrategia de salud metal ejecutada</t>
  </si>
  <si>
    <t>Meta 268.docx</t>
  </si>
  <si>
    <t>Participación de las Mujeres</t>
  </si>
  <si>
    <t xml:space="preserve">28.3.1 </t>
  </si>
  <si>
    <t>Ejecutar al 100% las acciones enmarcadas en el subporgrama "Participación de las Mujeres"</t>
  </si>
  <si>
    <t xml:space="preserve">Estructurar y poner en marcha una escuela de formación política y de liderazgo para mujeres </t>
  </si>
  <si>
    <t>Escuelade formación política estructurada y puesta en marcha</t>
  </si>
  <si>
    <t>Meta 269.docx</t>
  </si>
  <si>
    <t>Garantizar al 100% el acompañamiento al Consejo Consultivo de Mujeres</t>
  </si>
  <si>
    <t>Porcentaje de acompañamiento al CCM garantizado</t>
  </si>
  <si>
    <t>Meta 270.docx</t>
  </si>
  <si>
    <t>Actualizar e implementar la Política Pública de equidad de género e igualdad de oportunidades</t>
  </si>
  <si>
    <t>Política Pública actualizada e implementada</t>
  </si>
  <si>
    <t>Meta 271.docx</t>
  </si>
  <si>
    <t>Educación y acceso a las Tic</t>
  </si>
  <si>
    <t>28.4.1</t>
  </si>
  <si>
    <t>Ofertar al 100% de las mujeres que asisten a la Casa Social de la Mujer un portafolio de capacitaciones y educación no formal que fortelzecan sus competencias</t>
  </si>
  <si>
    <t>Porcentaje de mujeres que reciben oferta</t>
  </si>
  <si>
    <t>Realizar un programa de talleres y capacitaciones en saberes, artes y oficios en la casa de la mujer que beneficie a 1000 mujeres anualmente</t>
  </si>
  <si>
    <t>Programa de talleres y capacitaciones realizado</t>
  </si>
  <si>
    <t>Meta 272.docx</t>
  </si>
  <si>
    <t xml:space="preserve">Ejecutar un sistema de educación no formal de acceso y permanencia para las mujeres en las áreas CTIM y TIC </t>
  </si>
  <si>
    <t>Sistema de educación no formal ejecutado</t>
  </si>
  <si>
    <t>Meta 273.docx</t>
  </si>
  <si>
    <t>Vida libre de violencia</t>
  </si>
  <si>
    <t xml:space="preserve">28.5.1 </t>
  </si>
  <si>
    <t>Generar al 100% un esquema de recolección analisis, porcesamiento y difusión de infromación sobre asuntos de género que mejoren la toma de decisiones y fortalezacan el Goce Efectivo de Derechos de las Mujeres y la comunidad LGTBIQ+</t>
  </si>
  <si>
    <t>Porcentaje de esquema generado</t>
  </si>
  <si>
    <t>Crear un observatorio municipal en asuntos de género que de cuentas de la situación diferencial a razón de sexo y género, armonizando las acciones a través del Mecanismo Articulador</t>
  </si>
  <si>
    <t>Observatorio municipal de asuntos de génereo creado</t>
  </si>
  <si>
    <t>Meta 274.docx</t>
  </si>
  <si>
    <t>Desarrollar un programa de atención y acompañamiento psicojurídico en el territorio en los casos que requieran ser llevados a la mesa de atención</t>
  </si>
  <si>
    <t>Meta 275.docx</t>
  </si>
  <si>
    <t>Mujer rural</t>
  </si>
  <si>
    <t>28.6.1</t>
  </si>
  <si>
    <t>Beneficiar al 38% de la mujeres rurales, cabeza de hogar y/o cuidadoras en condiciones vulnerables en grupo A Sisbén con un beneficio económico de apoyo al ahorro</t>
  </si>
  <si>
    <t>Porcentaje de mujeres beneficiadas</t>
  </si>
  <si>
    <t>390 Mujeres en Grupo A Sisbén (219 mujres en Zona Rura)
Fuente: Sisbén 2024</t>
  </si>
  <si>
    <t>Otorgar en el cuatrienio a mínimo 150 mujeres rurales, cabeza de hogar y/o cuidadoras en condiciones vulnerables, un beneficio económico para apoyar el ahorro a BEPS (Beneficios económicos periódicos).</t>
  </si>
  <si>
    <t>Número de mujeres con BEPS otorgados</t>
  </si>
  <si>
    <t>Meta 276.docx</t>
  </si>
  <si>
    <t>Orientaciones e identidades de género diversa</t>
  </si>
  <si>
    <t>28.7.1</t>
  </si>
  <si>
    <t>Lograr el 25% en la participación efectiva de la comunidad LGTBIQ+ en actividades frente al ejercicio y garantía de sus derechos</t>
  </si>
  <si>
    <t>Porcentaje de participación efectiva logrado</t>
  </si>
  <si>
    <t>Realizar una campaña anual para eliminar los estereotipos sexuales fomentando, espacios de participación de la población LGTBIQ+</t>
  </si>
  <si>
    <t>Número de capañas realizadas</t>
  </si>
  <si>
    <t>Meta 277.docx</t>
  </si>
  <si>
    <t>Casa de la mujer avazando</t>
  </si>
  <si>
    <t>28.8.1</t>
  </si>
  <si>
    <t>Garantizar la 100% la operación, mantenimiento y desarrollo de programas a través de la Casa Social de la Mujer</t>
  </si>
  <si>
    <t>Porcentaje de operación manteniemiento y desarrollo de programas de la Casa Social de la Mujer garantizado</t>
  </si>
  <si>
    <t>0,7</t>
  </si>
  <si>
    <t>Garantizar el funcionamiento de la Casa de la Mujer Ana Sixta Gonzáles</t>
  </si>
  <si>
    <t>Porcentaje de funcionamiento de la Casa de la Mujer garantizado</t>
  </si>
  <si>
    <t>Meta 278.docx</t>
  </si>
  <si>
    <t>Protección Social y Bienestar para los Adultos Mayores (PROSOBAM)
(Atención integral de población en situación permanente de desprotección social y/o familiar)</t>
  </si>
  <si>
    <t xml:space="preserve">Envejecimiento activo </t>
  </si>
  <si>
    <t>29.1.1</t>
  </si>
  <si>
    <t>Impactar al 40% de la población adulta mayor proyectada para el cuatrienio a través de la oferta institucional de la Política Pública de envejecimiento y vejez</t>
  </si>
  <si>
    <t>Porcentaje de población de &gt;60 años impactada a través de la oferta institucional</t>
  </si>
  <si>
    <t xml:space="preserve">
Total Población &gt;60 años 2024-2027
2024        3,544
2025        3,746
2026        3,933
2027        4,127
Fuente: Proyecciones Dane</t>
  </si>
  <si>
    <t>FORTALECIMIENTO DE LA VEJEZ DIGNA Y SALUDABLES DEL MUNICIPIO DE TENJO</t>
  </si>
  <si>
    <t>Implementar una estrategia de generación de ingresos y fortalecimiento psicosocial para los cuidadores de adulto mayor, conmemorando además el Día Nacional del Cuidador</t>
  </si>
  <si>
    <t>Estrategia Implementada</t>
  </si>
  <si>
    <t>Meta 279.docx</t>
  </si>
  <si>
    <t xml:space="preserve">Beneficiar a 400 adultos mayores en condición de vulnerabilidad mendiante la estrategia para salud oral, visual y auditiva </t>
  </si>
  <si>
    <t>Número de adultos mayores beneficiados</t>
  </si>
  <si>
    <t>Meta 280.docx</t>
  </si>
  <si>
    <t>Implementar el 40% de la política publica de envejecimiento y vejez para las personas mayores durante el cuatrienio</t>
  </si>
  <si>
    <t>Porcenatje de Política Pública Implementada</t>
  </si>
  <si>
    <t>Meta 281.docx</t>
  </si>
  <si>
    <t>Garantizar el funcionamiento al 100% del centro vida  para las personas mayores beneficiarias del programa adulto mayor del Municipio</t>
  </si>
  <si>
    <t>Meta 282.docx</t>
  </si>
  <si>
    <t>Beneficiar a 700 adultos Mayores con actividades recreo deportivas de manera anual</t>
  </si>
  <si>
    <t>Meta 283.docx</t>
  </si>
  <si>
    <t>Garantizar la operatividad del programa Nacional Colombia Mayor que beneficia a 400 personas mayores del Municipio de Tenjo.</t>
  </si>
  <si>
    <t>Número de beneficiarios</t>
  </si>
  <si>
    <t>Meta 284.docx</t>
  </si>
  <si>
    <t>Suscribir dos convenicos y/o contratos que granticen la institucionalización de personas mayores en centros de larga estancia; en condición de vulnerabilidad y abandono siempre y  cuando cumplan con los criterios establecidos en el Municipio de Tenjo.</t>
  </si>
  <si>
    <t>Número de convenios y/o contratos suscritos</t>
  </si>
  <si>
    <t>Meta 285.docx</t>
  </si>
  <si>
    <t>Ejecutar estudios, diseños y construcción de un centro de atención integral para el programa de adulto mayor garantizado la cobertura a la población</t>
  </si>
  <si>
    <t>Estudios, diseños y construcción de Unidad de Centro de Atención Integral para el programa de adulto mayor ejecutados</t>
  </si>
  <si>
    <t>Meta 286.docx</t>
  </si>
  <si>
    <t>Programa Inteligente de Asistencia a las Juventud (PRIAJU)</t>
  </si>
  <si>
    <t>Juventud innovadora</t>
  </si>
  <si>
    <t>30.1.1</t>
  </si>
  <si>
    <t>Impactar al 30% de la población juvenil proyectada para el cuatrienio a través de la oferta institucional en el marco del Estatuto Juvenil y la Política Pública de Juventudes</t>
  </si>
  <si>
    <t>Porcentaje de población de 14-28 años impactada a través de la oferta institucional</t>
  </si>
  <si>
    <t xml:space="preserve">
Total Población 14-28 
2024        6,086
2025        6,146
2026        6,223
2027        6,323
Fuente: Proyecciones Dane
</t>
  </si>
  <si>
    <t>DESARROLLO INTEGRAL DE LA JUVENTUD INNOVADORA EN EL MUNICIPIO DE TENJO</t>
  </si>
  <si>
    <t>Actualizar e implementar la política pública de Juventudes, ejecutando las acciones correspondientes al periodo de gobierno</t>
  </si>
  <si>
    <t>Meta 287.docx</t>
  </si>
  <si>
    <t>Implementar al 90% el funcionamiento de 2 escenarios de Participación Juvenil: La Plataforma Juvenil y  el Consejo Municipal de Juventud.</t>
  </si>
  <si>
    <t>Porcentaje de funcionamiento de escenarios de participación juvenil</t>
  </si>
  <si>
    <t>Meta 288.docx</t>
  </si>
  <si>
    <t>Garantizar un espacio para el funcionamiento de los programas y actividades de la juvetud tenjana: escuela de liderazgo y salón de capacitaciones para la promoción de derechos juveniles</t>
  </si>
  <si>
    <t>Espacio desarrollado</t>
  </si>
  <si>
    <t>Meta 289.docx</t>
  </si>
  <si>
    <t>Realizar 1 evento cultural anualmente para conmemorar la semana de la Juventud Tenjana</t>
  </si>
  <si>
    <t>Evento realizado</t>
  </si>
  <si>
    <t>Meta 290.docx</t>
  </si>
  <si>
    <t>Realizar un proceso anual de caracterización juvenil</t>
  </si>
  <si>
    <t>Proceso de caracterización realizado</t>
  </si>
  <si>
    <t>Meta 291.docx</t>
  </si>
  <si>
    <t>Implementar un banco de proyectos de la adolescencia y  juveniles con enfoque de apoyo al territorio</t>
  </si>
  <si>
    <t>Número de proyectos beneficiados</t>
  </si>
  <si>
    <t>Meta 292.docx</t>
  </si>
  <si>
    <t>Implementar 2 programas de formación con enfoque pedagógico que promuevan la participación juvenil en el territorio</t>
  </si>
  <si>
    <t>Meta 293.docx</t>
  </si>
  <si>
    <t xml:space="preserve"> Es el tiempo de la Inclusión
( Atención integral de población en situación permanente de desprotección social y/o familiar)
</t>
  </si>
  <si>
    <t>Atención Integral a las Personas con Discapacidad</t>
  </si>
  <si>
    <t xml:space="preserve">31.1.1 </t>
  </si>
  <si>
    <t xml:space="preserve">Ejecutar al 100% la política pública de inclusión 
( Atención integral de población en situación permanente de desprotección social y/o familiar)
(Desarrollo integral de la primera infancia a la juventud, y fortalecimiento de las capacidades de las familias de niñas, niños y adolescentes)
</t>
  </si>
  <si>
    <t>Porcentaje de política pública ejecutado</t>
  </si>
  <si>
    <t xml:space="preserve">75%  (Implementación en 9.5 años) </t>
  </si>
  <si>
    <t>APOYO INTEGRAL A LAS PERSONAS CON DISCAPACIDAD EN EL MUNICPIO DE TENJO</t>
  </si>
  <si>
    <t>Ejecutar estudios, diseños y construcción de la Unidad de Atención Integral</t>
  </si>
  <si>
    <t>Estudios, diseños y construcción de Unidad de Atención Integral ejecutados</t>
  </si>
  <si>
    <t>Meta 294.docx</t>
  </si>
  <si>
    <t>Ejecutar en un 45% la Política Pública de inclusión para personas con Discapacidad y sus familias, durante el cuatrienio.</t>
  </si>
  <si>
    <t>Formulación y plan de acción de la Política Política Pública de Discapacidad e Inclusión Social</t>
  </si>
  <si>
    <t>Meta 295.docx</t>
  </si>
  <si>
    <t>Garantizar el  apoyo terapéutico y pedagógico al 100%  Personas con Discapacidad y sus familias que asisten a la Unidad de Atención Integral</t>
  </si>
  <si>
    <t>100%
(240 beneficiarios 2023)</t>
  </si>
  <si>
    <t>Porcentaje de PcD con apoyo terapéutico y pedagógico</t>
  </si>
  <si>
    <t>Meta 296.docx</t>
  </si>
  <si>
    <t>Beneficiar a 100 Personas con Discapacidad en actividades recreo deportivas de manera anual</t>
  </si>
  <si>
    <t>Número de PcD beneficiadas</t>
  </si>
  <si>
    <t>Meta 297.docx</t>
  </si>
  <si>
    <t>Implementar de manera anual dos acciones de registro para las PcD: Proceso de certificación en discapacidad y actualización al 100% el Registro de Localización y Caracterización de Personas con Discapacidad</t>
  </si>
  <si>
    <t>100%
(215 beneficiados 2023)</t>
  </si>
  <si>
    <t>Número de acciones implementadas para certificación en discapacidad y RLCPD</t>
  </si>
  <si>
    <t>Meta 298.docx</t>
  </si>
  <si>
    <t xml:space="preserve">Garantizar a 150 personas con discapacidad o cuidadores de personas en estado de vulnerabilidad que cumplan con los requisitos establecidos la entrega del subsidio monetario </t>
  </si>
  <si>
    <t>100%
(130 beneficiarios 2023)</t>
  </si>
  <si>
    <t>Número de PcD o cuidadores  beneficiados</t>
  </si>
  <si>
    <t>Meta 299.docx</t>
  </si>
  <si>
    <t>Desarrollar la commemoración de la semana de la Discapacidad con actividades de sensiblización drigidas a toda la comunidad</t>
  </si>
  <si>
    <t>Número de semanas de la Dispacidad conmemoradas</t>
  </si>
  <si>
    <t>Meta 300.docx</t>
  </si>
  <si>
    <t>Es el tiempo de las familias tenjanas
(Atención integral de población en situación permanente de desprotección social y/o familiar)</t>
  </si>
  <si>
    <t>Es el tiempo de las familias tenjanas</t>
  </si>
  <si>
    <t xml:space="preserve">32.1.1 </t>
  </si>
  <si>
    <t>Ejecutar al 100% las acciones establecidas para el cuatrienio que garanticen el bienestar y goce efectivo de los derechos de las familias del municipio</t>
  </si>
  <si>
    <t>DESARROLLO INTEGRAL DE LAS FAMILIAS DEL MUNICIPIO DE TENJO</t>
  </si>
  <si>
    <t>Realizar seguimiento al 100% de las familias del Municipio inscritas en el programa renta ciudadana</t>
  </si>
  <si>
    <t>363
Familias Inscritas en el Municipio</t>
  </si>
  <si>
    <t>Porcentaje de familias con seguimiento realizado</t>
  </si>
  <si>
    <t>Meta 301.docx</t>
  </si>
  <si>
    <t>Formular e implementar en un 45% la política pública de  Familia, ejecutando las acciones correspondientes durante el cuatrienio.</t>
  </si>
  <si>
    <t>Meta 302.docx</t>
  </si>
  <si>
    <t xml:space="preserve">Ejecutar 4 jornadas de conmemoración a las familias  del Municipio </t>
  </si>
  <si>
    <t>Número de jornadas ejecuatdas</t>
  </si>
  <si>
    <t>Meta 303.docx</t>
  </si>
  <si>
    <t>Eje 5. Innovación y Nueva Gestión Pública</t>
  </si>
  <si>
    <t>Es el tiempo de ja Innovación en la Gestión Pública
(Fortalecimiento a la gestión y dirección de la administración pública territorial)</t>
  </si>
  <si>
    <t>Bienestar y calidad para un mejor servicio</t>
  </si>
  <si>
    <t>33.1.1</t>
  </si>
  <si>
    <t>Incrementar 10 pts en la Dimensión de Talento Humano del Mipg</t>
  </si>
  <si>
    <t>Puntaje en la Dimensión de Talento Humano Mipg incrementado</t>
  </si>
  <si>
    <t>47,9
Furag 2022</t>
  </si>
  <si>
    <t>FORTALECIMIENTO A LA GESTION Y DIRECCION DE LA ADMINISTRACION PUBLICA TERRITORIAL EN EL MUNICIPIO DE TENJO</t>
  </si>
  <si>
    <t>Implementar un plan anual de trabajo del sistema de gestión de seguridad y salud en el trabajo, según las necesidades de la Administración</t>
  </si>
  <si>
    <t>Número de planes implementados</t>
  </si>
  <si>
    <t>Sec.  de Desarrollo Institucional</t>
  </si>
  <si>
    <t>Meta 304.docx</t>
  </si>
  <si>
    <t>Realizar un estudio y diseño técnico de modernización, actualización y/o rediseño institucional</t>
  </si>
  <si>
    <t>Meta 305.docx</t>
  </si>
  <si>
    <t>Mantener la certificación ISO 9001-15 e ISO 45001-18 durante el cuatrienio</t>
  </si>
  <si>
    <t>Certificaciones ISO mantenidas</t>
  </si>
  <si>
    <t>Meta 306.docx</t>
  </si>
  <si>
    <t>Actualizar y fortalecer anualmente el plan de capacitación que beneficie la planta de personal de administración</t>
  </si>
  <si>
    <t>Plan de capacitación actualizado y fortalecido</t>
  </si>
  <si>
    <t>Meta 307.docx</t>
  </si>
  <si>
    <t>Realizar dos procesos en el cuatrienio de equipamiento tecnológico y mobiliario para la alcaldía municipal</t>
  </si>
  <si>
    <t>Número de procesos de equipamiento tecnológico y mobiliario realizados</t>
  </si>
  <si>
    <t>Meta 308.docx</t>
  </si>
  <si>
    <t>Finanzas publicas y defensa jurídica- Procesos fortalecidos</t>
  </si>
  <si>
    <t>33.2.1</t>
  </si>
  <si>
    <t>Incrementar  4,8 pts anuales el Índice de Desempeño Fiscal-IDF</t>
  </si>
  <si>
    <t>IDF</t>
  </si>
  <si>
    <t xml:space="preserve">62,5
https://www.dnp.gov.co/
</t>
  </si>
  <si>
    <t>Implementar una estrategia orientada a la sostenibilidad fiscal y financiera del Municipio, dando cumplimiento a la normatividad vigente y demás requerimientos de las entidades departamentales y nacionales.</t>
  </si>
  <si>
    <t>Número de estrategias implementadas</t>
  </si>
  <si>
    <t>Sec.  de Hacienda</t>
  </si>
  <si>
    <t>Meta 309.docx</t>
  </si>
  <si>
    <t>Incrementar en 10  pts la Política de Defensa Jurídica del Mipg</t>
  </si>
  <si>
    <t>Política de Defensa Jurídica del Mipg</t>
  </si>
  <si>
    <t>64,3
Furag 2022</t>
  </si>
  <si>
    <t>Formular e implementar al 100% un programa que contribuya al fortalecimiento de las prácticas  en materia de la Contratación Estatal</t>
  </si>
  <si>
    <t>Programa formulado e implementado</t>
  </si>
  <si>
    <t>Sec.  Jurídica y de asuntos legales</t>
  </si>
  <si>
    <t>Meta 310.docx</t>
  </si>
  <si>
    <t>Formular e implementar al 100% el programa para el fortalecimiento de la Defensa Jurídica</t>
  </si>
  <si>
    <t>Meta 311.docx</t>
  </si>
  <si>
    <t>A la vanguardia de los sistemas de información para la toma de decisiones</t>
  </si>
  <si>
    <t>33.3.1</t>
  </si>
  <si>
    <t>Incrementar en 10  pts la Política de Seguirdad Digital del Mipg</t>
  </si>
  <si>
    <t>Política de Seguridad Digital del Mipg</t>
  </si>
  <si>
    <t>57,9
Furag 2022</t>
  </si>
  <si>
    <t>Realizar un proceso anual para el desarrollo, actualización y mantenimiento de los Sistemas de Información e infraestructura tecnológica de la Alcaldía Municipal</t>
  </si>
  <si>
    <t>Proceso realizado</t>
  </si>
  <si>
    <t>Meta 312.docx</t>
  </si>
  <si>
    <t xml:space="preserve">Generar un proceso de interoperabilidad de los sistemas informáticos institucionales </t>
  </si>
  <si>
    <t>Procesos de integración informáticos generados</t>
  </si>
  <si>
    <t>Meta 313.docx</t>
  </si>
  <si>
    <t>Realizar 4 procesos durante el cuatrienio de adquisición de licencias de software para las diferentes dependencias de la administración municipal</t>
  </si>
  <si>
    <t>Numero de procesos de adquisición de software y licencias realizado</t>
  </si>
  <si>
    <t>Meta 314.docx</t>
  </si>
  <si>
    <t xml:space="preserve">Fortalecer un sistema de gestión documental en la Administración Municipal </t>
  </si>
  <si>
    <t>S.D</t>
  </si>
  <si>
    <t>Sistema de gestión documental implementado</t>
  </si>
  <si>
    <t>Meta 315.docx</t>
  </si>
  <si>
    <t>Hacia un Modelo de gestión de la mano de la comunidad</t>
  </si>
  <si>
    <t>33.4.1</t>
  </si>
  <si>
    <t>Incrementar a 75% el nivel de satisfacción con el municipio</t>
  </si>
  <si>
    <t>Nivel de satisfacción del municipio</t>
  </si>
  <si>
    <t xml:space="preserve">65
Fuente: Sabana Centro CómoVámos- Encuesta de Percepción Ciudadana 2023 </t>
  </si>
  <si>
    <t>Incrementar en 10 puntos el índice de desempeño institucional en el cuatrienio</t>
  </si>
  <si>
    <t>71,2 fuente furag 2022</t>
  </si>
  <si>
    <t>Ínidice de Desempeño Institucional</t>
  </si>
  <si>
    <t>Puntaje incrementado</t>
  </si>
  <si>
    <t>Meta 316.docx</t>
  </si>
  <si>
    <t>Mantener anualmente el funcionamiento de la oficina de atención al ciudadano CISAT</t>
  </si>
  <si>
    <t>Oficina de atención al ciudadano CISAT con funcionamiento mantenido</t>
  </si>
  <si>
    <t>Meta 317.docx</t>
  </si>
  <si>
    <t xml:space="preserve">Integrar el portal web de la Administración Municipal y sus servicios al portal único del Estado Colombiano gov.co </t>
  </si>
  <si>
    <t>Portal web integrado</t>
  </si>
  <si>
    <t>Meta 318.docx</t>
  </si>
  <si>
    <t>Implementar una estrategia integral de fortalecimiento de las dependencias de la administración municipal</t>
  </si>
  <si>
    <t>Estrategia implementada</t>
  </si>
  <si>
    <t>Meta 319.docx</t>
  </si>
  <si>
    <t>Apoyar anualmente al 100% el desarrollo de actividades, programas y/o desconcentración de servicios institucionales de la Administración Municipal</t>
  </si>
  <si>
    <t>Porcentaje de actividades y servicios apoyados</t>
  </si>
  <si>
    <t>Meta 320.docx</t>
  </si>
  <si>
    <t>Infraestructura moderna en la mejora de la gestión pública</t>
  </si>
  <si>
    <t>33.5.1</t>
  </si>
  <si>
    <t>Optimizar, mejorar y mantener en un 100% la infraestructura de los edificios públicos del municipio, mejorando su eficiencia operativa, accesibilidad y buen servicio</t>
  </si>
  <si>
    <t>Porcentaje de infraestructura de edifcios públicos optimizada, mejorada y mantenida</t>
  </si>
  <si>
    <t xml:space="preserve">Implementar un sistema de gestión y control de recursos físicos e inventarios de la Administración Municipal </t>
  </si>
  <si>
    <t>Sistema de control de recursos físicos implementado</t>
  </si>
  <si>
    <t>Meta 321.docx</t>
  </si>
  <si>
    <t>Construir un Centro Administrativo Municipal</t>
  </si>
  <si>
    <t>0 </t>
  </si>
  <si>
    <t>Número de Centro Administrativo Municipal construidos</t>
  </si>
  <si>
    <t>META 322.docx</t>
  </si>
  <si>
    <t>Meta 322.docx</t>
  </si>
  <si>
    <t>Crear el banco de materiales en el municipio de Tenjo</t>
  </si>
  <si>
    <t> 0</t>
  </si>
  <si>
    <t>Banco de materiales creado</t>
  </si>
  <si>
    <t>Meta 323.docx</t>
  </si>
  <si>
    <t>Garantizar el mantenimiento físico, la operatividad, funcionalidad y sistemas de seguridad de 31 edificios públicos en el municipio de Tenjo, Cundinamarca.</t>
  </si>
  <si>
    <t>Número de edificios públicos mantenidos</t>
  </si>
  <si>
    <t>META 324.docx</t>
  </si>
  <si>
    <t>Meta 324.docx</t>
  </si>
  <si>
    <t>Innovación en la información y comunicación
(Fortalecimiento a la gestión y dirección de la administración pública territorial)</t>
  </si>
  <si>
    <t>Planificación para  información  comunicaciones de calidad</t>
  </si>
  <si>
    <t xml:space="preserve">34.1.1 </t>
  </si>
  <si>
    <t>Incrementar 10 pts en la Dimensión de Información y Comunicaciones del Mipg</t>
  </si>
  <si>
    <t>Puntaje en la Dimensión de Información y Comunicaciones  Mipg incrementado</t>
  </si>
  <si>
    <t>64,6
Furag 2022</t>
  </si>
  <si>
    <t>FORTALECIMIENTO DE LA INFORMACION Y COMUNICACIONES EN EL MUNICIPIO DE TENJO</t>
  </si>
  <si>
    <t>Formular e implementar al 100% Plan de Comunicaciones para el cuatrienio que logre el fortalecimiento, recordación, visibilidad y posicionamiento de la Alcaldía de Tenjo.</t>
  </si>
  <si>
    <t>Plan de Comunicaciones formulado e implementado</t>
  </si>
  <si>
    <t>Oficina de Prensa y Comunicaciones</t>
  </si>
  <si>
    <t>Meta 325</t>
  </si>
  <si>
    <t>Meta 325.docx</t>
  </si>
  <si>
    <t>Establecer y ejecutar al 100% plan de medios anual que fortalezca el relacionamiento con los medios de comunicación locales, regionales o nacionales</t>
  </si>
  <si>
    <t>Plan de medios establecido y ejecutado</t>
  </si>
  <si>
    <t>Meta 326</t>
  </si>
  <si>
    <t>Meta 326.docx</t>
  </si>
  <si>
    <t>Infraestructura al servicio de la información</t>
  </si>
  <si>
    <t>Realizar dos procesos de compra de equipos tecnológicos que garanticen la operatividad de la Oficina de Prensa y Comunicaciones</t>
  </si>
  <si>
    <t>Procesos de compra realizados.</t>
  </si>
  <si>
    <t>Meta 327</t>
  </si>
  <si>
    <t>Meta 327.docx</t>
  </si>
  <si>
    <t>Realizar dos procesos de mantenimiento, en el cuatrienio, a los equipos de la Oficina de Prensa y Comunicaciones</t>
  </si>
  <si>
    <t>Procesos de mantenimiento realizados.</t>
  </si>
  <si>
    <t>Meta 328.docx</t>
  </si>
  <si>
    <t>Crear, mejorar y poner en funcionamiento un espacio con las especificaciones técnicas para la creación de contenido audiovisual y gráfico que garantice la divulgación de las actividades desarrolladas por la Alcaldía de Tenjo</t>
  </si>
  <si>
    <t>Espacio con las especificaciones técnicas para la creación de contenido audiovisual y gráfico creado, mejorado y puesto en marcha</t>
  </si>
  <si>
    <t>Meta 329</t>
  </si>
  <si>
    <t>Meta 329.docx</t>
  </si>
  <si>
    <t>Branding de ciudad para la promoción de Tenjo como lugar de atracción y desarrollo</t>
  </si>
  <si>
    <t>34.2.1</t>
  </si>
  <si>
    <t>Actualizar la Marca Tenjo y su manual de uso, garantizando su divulgación respectiva</t>
  </si>
  <si>
    <t>Marca de Tenjo actualizada y divulgada</t>
  </si>
  <si>
    <t>Meta 330.docx</t>
  </si>
  <si>
    <t>Garantizar un proceso anual de cubrimiento, difusion y promoción de las acciones que realice la administración municipial dando cumplimiento al Plan de Desarrollo 2024-2027</t>
  </si>
  <si>
    <t>Funcionamiento de la Oficina de Prensa y Comunicaciones garantizado</t>
  </si>
  <si>
    <t>Meta 331</t>
  </si>
  <si>
    <t>Meta 331.docx</t>
  </si>
  <si>
    <t>TOTAL METAS</t>
  </si>
  <si>
    <t>Eje 1. Ambiente, Conectividad y Ordenamiento y servicios públicos</t>
  </si>
  <si>
    <t>TOTALES</t>
  </si>
  <si>
    <t>PROGRAMAS</t>
  </si>
  <si>
    <t>SUB PROGRAMAS</t>
  </si>
  <si>
    <t>METAS DE RESULTADO</t>
  </si>
  <si>
    <t>METAS DE PRODUCTO</t>
  </si>
  <si>
    <t>No de metas</t>
  </si>
  <si>
    <t>peso procentual programa</t>
  </si>
  <si>
    <t>peso porcental subprograma</t>
  </si>
  <si>
    <t>peso porcentual peso porcentual mera de resultado</t>
  </si>
  <si>
    <t>peso porcental meta de producto</t>
  </si>
  <si>
    <t>Nombre</t>
  </si>
  <si>
    <t>PESO PORCENTUAL ANUAL ASIGANDO 15%</t>
  </si>
  <si>
    <t>METAS DE PRODUCTO PROGRAMADAS</t>
  </si>
  <si>
    <t>METAS DE PRODUCTO NO PROGRAMADAS</t>
  </si>
  <si>
    <t>PESO PORCENTUAL EJE</t>
  </si>
  <si>
    <t>AVANCE 2024 POR EJE</t>
  </si>
  <si>
    <t>AVANCE EJE FRENTE AL PESO PORCENTUAL ASIGANDO</t>
  </si>
  <si>
    <t>1.2.1</t>
  </si>
  <si>
    <t>9.1.1</t>
  </si>
  <si>
    <t xml:space="preserve">24.1.1 </t>
  </si>
  <si>
    <t xml:space="preserve">24.2.4 </t>
  </si>
  <si>
    <t>34.1.1</t>
  </si>
  <si>
    <t>No EJE</t>
  </si>
  <si>
    <t>POND EJE</t>
  </si>
  <si>
    <t>POND PROGRAMA BASE 100</t>
  </si>
  <si>
    <t>POND PROGRAMA</t>
  </si>
  <si>
    <t>POND PRESUPUESTAL PROGRAMA</t>
  </si>
  <si>
    <t>POND ACTIVIDAD</t>
  </si>
  <si>
    <t xml:space="preserve">Ambiente, Conectividad y Ordenamiento y servicios públicos </t>
  </si>
  <si>
    <t>Seguridad Convivencia y Participación Ciudadana</t>
  </si>
  <si>
    <t>Progreso y Desarrollo Económico</t>
  </si>
  <si>
    <t>Transformación Social</t>
  </si>
  <si>
    <t>Innovación y Nueva Gestión Pública</t>
  </si>
  <si>
    <t>Ejes</t>
  </si>
  <si>
    <t>Imagen URL</t>
  </si>
  <si>
    <t/>
  </si>
  <si>
    <t>https://drive.google.com/file/d/1_IKP_LprOPNizIFGRsBCPGgP_jDZGuKz/view?usp=sharing</t>
  </si>
  <si>
    <t>https://drive.google.com/file/d/1kZqgfV6Cq-e0CpUKtrwXqQXaTgtayLT3/view?usp=sharing</t>
  </si>
  <si>
    <t>https://drive.google.com/file/d/1USKTzqGKoPv5INSwUkzz_bLllg7C1mIG/view?usp=sharing</t>
  </si>
  <si>
    <t>https://drive.google.com/file/d/1UM69viCS6ETl-4t2jNgjiryibvNDGDnx/view?usp=sharing</t>
  </si>
  <si>
    <t>https://drive.google.com/file/d/1gTLtb0c-rpuy46tmKQeg2jyC3fd7C04m/view?usp=sharing</t>
  </si>
  <si>
    <t xml:space="preserve">Sec.  de Desarrollo Educativo </t>
  </si>
  <si>
    <t>Sec.  de Desarrollo Institucional-Sec. Infraestructura y Obra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</si>
</sst>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.00"/>
    <numFmt numFmtId="165" formatCode="0.0%"/>
    <numFmt numFmtId="167" formatCode="#,##0.0"/>
    <numFmt numFmtId="168" formatCode="#,##0.000"/>
    <numFmt numFmtId="169" formatCode="0.0000"/>
    <numFmt numFmtId="170" formatCode="#,##0.0000"/>
    <numFmt numFmtId="171" formatCode="0.0"/>
    <numFmt numFmtId="172" formatCode="d\ m"/>
    <numFmt numFmtId="173" formatCode="#,##0.000000"/>
    <numFmt numFmtId="174" formatCode="0.000000000000"/>
  </numFmts>
  <fonts count="36">
    <font>
      <sz val="12"/>
      <color theme="1"/>
      <name val="Calibri"/>
      <scheme val="minor"/>
    </font>
    <font>
      <sz val="7"/>
      <color rgb="FFFFFFFF"/>
      <name val="Nunito"/>
    </font>
    <font>
      <sz val="5"/>
      <color rgb="FFFFFFFF"/>
      <name val="Nunito"/>
    </font>
    <font>
      <b/>
      <sz val="7"/>
      <color rgb="FFFFFFFF"/>
      <name val="Nunito"/>
    </font>
    <font>
      <sz val="8"/>
      <color rgb="FFFFFFFF"/>
      <name val="Nunito"/>
    </font>
    <font>
      <sz val="7"/>
      <color rgb="FF000000"/>
      <name val="Nunito"/>
    </font>
    <font>
      <sz val="7"/>
      <color theme="1"/>
      <name val="Calibri"/>
    </font>
    <font>
      <u/>
      <sz val="7"/>
      <color theme="1"/>
      <name val="Nunito"/>
    </font>
    <font>
      <u/>
      <sz val="7"/>
      <color theme="1"/>
      <name val="Calibri"/>
    </font>
    <font>
      <sz val="6"/>
      <color theme="1"/>
      <name val="Calibri"/>
    </font>
    <font>
      <u/>
      <sz val="7"/>
      <color rgb="FF000000"/>
      <name val="Nunito"/>
    </font>
    <font>
      <sz val="7"/>
      <color theme="1"/>
      <name val="Nunito"/>
    </font>
    <font>
      <sz val="8"/>
      <color theme="1"/>
      <name val="Calibri"/>
    </font>
    <font>
      <u/>
      <sz val="7"/>
      <color theme="1"/>
      <name val="Calibri"/>
    </font>
    <font>
      <sz val="7"/>
      <color rgb="FF00000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7"/>
      <color rgb="FF000000"/>
      <name val="Arial"/>
    </font>
    <font>
      <sz val="8"/>
      <color rgb="FF000000"/>
      <name val="Nunito"/>
    </font>
    <font>
      <u/>
      <sz val="7"/>
      <color theme="1"/>
      <name val="Calibri"/>
    </font>
    <font>
      <b/>
      <sz val="7"/>
      <color theme="1"/>
      <name val="Calibri"/>
    </font>
    <font>
      <sz val="12"/>
      <color rgb="FF000000"/>
      <name val="Calibri"/>
    </font>
    <font>
      <b/>
      <sz val="12"/>
      <color theme="1"/>
      <name val="Calibri"/>
      <scheme val="minor"/>
    </font>
    <font>
      <sz val="9"/>
      <color theme="1"/>
      <name val="Calibri"/>
      <scheme val="minor"/>
    </font>
    <font>
      <b/>
      <sz val="9"/>
      <color rgb="FFFFFFFF"/>
      <name val="Calibri"/>
    </font>
    <font>
      <b/>
      <sz val="9"/>
      <color rgb="FFFFFFFF"/>
      <name val="Calibri"/>
      <scheme val="minor"/>
    </font>
    <font>
      <b/>
      <sz val="9"/>
      <color rgb="FF000000"/>
      <name val="Calibri"/>
    </font>
    <font>
      <sz val="9"/>
      <color theme="1"/>
      <name val="Calibri"/>
    </font>
    <font>
      <b/>
      <sz val="9"/>
      <color theme="1"/>
      <name val="Calibri"/>
      <scheme val="minor"/>
    </font>
    <font>
      <sz val="12"/>
      <color rgb="FFFFFFFF"/>
      <name val="Roboto"/>
    </font>
    <font>
      <sz val="9"/>
      <color rgb="FF1F1F1F"/>
      <name val="&quot;Google Sans&quot;"/>
    </font>
    <font>
      <u/>
      <sz val="12"/>
      <color rgb="FF0000FF"/>
      <name val="Calibri"/>
    </font>
    <font>
      <b/>
      <sz val="12"/>
      <color rgb="FF1155CC"/>
      <name val="Roboto"/>
    </font>
    <font>
      <u/>
      <sz val="7"/>
      <color rgb="FF1155CC"/>
      <name val="Nunito"/>
    </font>
    <font>
      <sz val="9"/>
      <color theme="2"/>
      <name val="Nunito"/>
    </font>
    <font>
      <sz val="7"/>
      <color theme="2"/>
      <name val="Nunito"/>
    </font>
  </fonts>
  <fills count="2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2677F1"/>
        <bgColor rgb="FF2677F1"/>
      </patternFill>
    </fill>
    <fill>
      <patternFill patternType="solid">
        <fgColor rgb="FFDAEDFF"/>
        <bgColor rgb="FFDAEDF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677F1"/>
      </left>
      <right style="thin">
        <color rgb="FF2677F1"/>
      </right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0" fontId="5" fillId="9" borderId="0" xfId="0" applyNumberFormat="1" applyFont="1" applyFill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/>
    </xf>
    <xf numFmtId="4" fontId="6" fillId="9" borderId="1" xfId="0" applyNumberFormat="1" applyFont="1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 wrapText="1"/>
    </xf>
    <xf numFmtId="10" fontId="5" fillId="9" borderId="1" xfId="0" applyNumberFormat="1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167" fontId="6" fillId="9" borderId="1" xfId="0" applyNumberFormat="1" applyFont="1" applyFill="1" applyBorder="1" applyAlignment="1">
      <alignment horizontal="center" vertical="center"/>
    </xf>
    <xf numFmtId="9" fontId="6" fillId="10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4" fontId="5" fillId="9" borderId="1" xfId="0" applyNumberFormat="1" applyFont="1" applyFill="1" applyBorder="1" applyAlignment="1">
      <alignment horizontal="center" vertical="center" wrapText="1"/>
    </xf>
    <xf numFmtId="167" fontId="5" fillId="9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9" fontId="5" fillId="8" borderId="1" xfId="0" applyNumberFormat="1" applyFont="1" applyFill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/>
    </xf>
    <xf numFmtId="9" fontId="6" fillId="11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" fontId="14" fillId="9" borderId="0" xfId="0" applyNumberFormat="1" applyFont="1" applyFill="1" applyAlignment="1">
      <alignment horizontal="center" vertical="center"/>
    </xf>
    <xf numFmtId="168" fontId="6" fillId="9" borderId="1" xfId="0" applyNumberFormat="1" applyFont="1" applyFill="1" applyBorder="1" applyAlignment="1">
      <alignment horizontal="center" vertical="center"/>
    </xf>
    <xf numFmtId="169" fontId="6" fillId="9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/>
    </xf>
    <xf numFmtId="9" fontId="5" fillId="11" borderId="1" xfId="0" applyNumberFormat="1" applyFont="1" applyFill="1" applyBorder="1" applyAlignment="1">
      <alignment horizontal="center" vertical="center" wrapText="1"/>
    </xf>
    <xf numFmtId="10" fontId="6" fillId="11" borderId="1" xfId="0" applyNumberFormat="1" applyFont="1" applyFill="1" applyBorder="1" applyAlignment="1">
      <alignment horizontal="center" vertical="center"/>
    </xf>
    <xf numFmtId="0" fontId="16" fillId="9" borderId="0" xfId="0" applyFont="1" applyFill="1"/>
    <xf numFmtId="3" fontId="14" fillId="9" borderId="0" xfId="0" applyNumberFormat="1" applyFont="1" applyFill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170" fontId="6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 vertical="center"/>
    </xf>
    <xf numFmtId="4" fontId="12" fillId="9" borderId="1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4" fontId="5" fillId="9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 wrapText="1"/>
    </xf>
    <xf numFmtId="9" fontId="5" fillId="12" borderId="1" xfId="0" applyNumberFormat="1" applyFont="1" applyFill="1" applyBorder="1" applyAlignment="1">
      <alignment horizontal="center" vertical="center" wrapText="1"/>
    </xf>
    <xf numFmtId="171" fontId="5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9" borderId="0" xfId="0" applyNumberFormat="1" applyFont="1" applyFill="1" applyAlignment="1">
      <alignment horizontal="center" vertical="center" wrapText="1"/>
    </xf>
    <xf numFmtId="3" fontId="5" fillId="9" borderId="0" xfId="0" applyNumberFormat="1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/>
    </xf>
    <xf numFmtId="9" fontId="5" fillId="9" borderId="0" xfId="0" applyNumberFormat="1" applyFont="1" applyFill="1" applyAlignment="1">
      <alignment horizontal="center" vertical="center" wrapText="1"/>
    </xf>
    <xf numFmtId="165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6" fillId="9" borderId="0" xfId="0" applyNumberFormat="1" applyFont="1" applyFill="1" applyAlignment="1">
      <alignment horizontal="center" vertical="center"/>
    </xf>
    <xf numFmtId="10" fontId="6" fillId="9" borderId="0" xfId="0" applyNumberFormat="1" applyFont="1" applyFill="1" applyAlignment="1">
      <alignment horizontal="center" vertical="center"/>
    </xf>
    <xf numFmtId="9" fontId="6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vertical="center"/>
    </xf>
    <xf numFmtId="164" fontId="20" fillId="9" borderId="0" xfId="0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10" fontId="20" fillId="9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/>
    <xf numFmtId="0" fontId="16" fillId="0" borderId="0" xfId="0" applyFont="1"/>
    <xf numFmtId="0" fontId="21" fillId="10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center" wrapText="1"/>
    </xf>
    <xf numFmtId="0" fontId="21" fillId="14" borderId="0" xfId="0" applyFont="1" applyFill="1" applyAlignment="1">
      <alignment horizontal="right"/>
    </xf>
    <xf numFmtId="0" fontId="21" fillId="14" borderId="0" xfId="0" applyFont="1" applyFill="1"/>
    <xf numFmtId="0" fontId="21" fillId="0" borderId="0" xfId="0" applyFont="1" applyAlignment="1">
      <alignment horizontal="right"/>
    </xf>
    <xf numFmtId="0" fontId="21" fillId="13" borderId="0" xfId="0" applyFont="1" applyFill="1" applyAlignment="1">
      <alignment horizontal="right"/>
    </xf>
    <xf numFmtId="0" fontId="21" fillId="13" borderId="0" xfId="0" applyFont="1" applyFill="1"/>
    <xf numFmtId="172" fontId="21" fillId="0" borderId="0" xfId="0" applyNumberFormat="1" applyFont="1"/>
    <xf numFmtId="10" fontId="21" fillId="10" borderId="0" xfId="0" applyNumberFormat="1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165" fontId="21" fillId="10" borderId="0" xfId="0" applyNumberFormat="1" applyFont="1" applyFill="1" applyAlignment="1">
      <alignment horizontal="center" vertical="center"/>
    </xf>
    <xf numFmtId="9" fontId="21" fillId="10" borderId="0" xfId="0" applyNumberFormat="1" applyFont="1" applyFill="1" applyAlignment="1">
      <alignment horizontal="center" vertical="center"/>
    </xf>
    <xf numFmtId="0" fontId="21" fillId="15" borderId="0" xfId="0" applyFont="1" applyFill="1"/>
    <xf numFmtId="0" fontId="21" fillId="15" borderId="0" xfId="0" applyFont="1" applyFill="1" applyAlignment="1">
      <alignment horizontal="center"/>
    </xf>
    <xf numFmtId="0" fontId="22" fillId="10" borderId="0" xfId="0" applyFont="1" applyFill="1" applyAlignment="1">
      <alignment horizontal="center" vertical="center"/>
    </xf>
    <xf numFmtId="165" fontId="22" fillId="10" borderId="0" xfId="0" applyNumberFormat="1" applyFont="1" applyFill="1" applyAlignment="1">
      <alignment horizontal="center" vertical="center"/>
    </xf>
    <xf numFmtId="9" fontId="22" fillId="10" borderId="0" xfId="0" applyNumberFormat="1" applyFont="1" applyFill="1" applyAlignment="1">
      <alignment horizontal="center" vertical="center"/>
    </xf>
    <xf numFmtId="164" fontId="21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2" borderId="0" xfId="0" applyFont="1" applyFill="1"/>
    <xf numFmtId="0" fontId="16" fillId="16" borderId="0" xfId="0" applyFont="1" applyFill="1" applyAlignment="1">
      <alignment horizontal="center"/>
    </xf>
    <xf numFmtId="0" fontId="6" fillId="17" borderId="1" xfId="0" applyFont="1" applyFill="1" applyBorder="1" applyAlignment="1">
      <alignment horizontal="center" vertical="center"/>
    </xf>
    <xf numFmtId="3" fontId="6" fillId="17" borderId="1" xfId="0" applyNumberFormat="1" applyFont="1" applyFill="1" applyBorder="1" applyAlignment="1">
      <alignment horizontal="center" vertical="center"/>
    </xf>
    <xf numFmtId="4" fontId="6" fillId="17" borderId="1" xfId="0" applyNumberFormat="1" applyFont="1" applyFill="1" applyBorder="1" applyAlignment="1">
      <alignment horizontal="center" vertical="center"/>
    </xf>
    <xf numFmtId="10" fontId="6" fillId="17" borderId="1" xfId="0" applyNumberFormat="1" applyFont="1" applyFill="1" applyBorder="1" applyAlignment="1">
      <alignment horizontal="center" vertical="center"/>
    </xf>
    <xf numFmtId="9" fontId="6" fillId="17" borderId="1" xfId="0" applyNumberFormat="1" applyFont="1" applyFill="1" applyBorder="1" applyAlignment="1">
      <alignment horizontal="center" vertical="center"/>
    </xf>
    <xf numFmtId="1" fontId="6" fillId="17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168" fontId="24" fillId="3" borderId="2" xfId="0" applyNumberFormat="1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164" fontId="26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3" fillId="0" borderId="2" xfId="0" applyNumberFormat="1" applyFont="1" applyBorder="1" applyAlignment="1">
      <alignment horizontal="center" vertical="center"/>
    </xf>
    <xf numFmtId="173" fontId="23" fillId="0" borderId="2" xfId="0" applyNumberFormat="1" applyFont="1" applyBorder="1" applyAlignment="1">
      <alignment horizontal="center" vertical="center"/>
    </xf>
    <xf numFmtId="168" fontId="23" fillId="0" borderId="2" xfId="0" applyNumberFormat="1" applyFont="1" applyBorder="1" applyAlignment="1">
      <alignment horizontal="center" vertical="center"/>
    </xf>
    <xf numFmtId="174" fontId="23" fillId="0" borderId="2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170" fontId="23" fillId="0" borderId="2" xfId="0" applyNumberFormat="1" applyFont="1" applyBorder="1" applyAlignment="1">
      <alignment horizontal="center" vertical="center"/>
    </xf>
    <xf numFmtId="4" fontId="23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 wrapText="1"/>
    </xf>
    <xf numFmtId="167" fontId="16" fillId="0" borderId="0" xfId="0" applyNumberFormat="1" applyFont="1"/>
    <xf numFmtId="0" fontId="23" fillId="0" borderId="0" xfId="0" applyFont="1" applyAlignment="1">
      <alignment horizontal="center" vertical="center" wrapText="1"/>
    </xf>
    <xf numFmtId="4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4" fontId="28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0" fontId="29" fillId="18" borderId="3" xfId="0" applyFont="1" applyFill="1" applyBorder="1" applyAlignment="1">
      <alignment horizontal="center" vertical="center" wrapText="1"/>
    </xf>
    <xf numFmtId="0" fontId="30" fillId="9" borderId="0" xfId="0" applyFont="1" applyFill="1"/>
    <xf numFmtId="0" fontId="31" fillId="0" borderId="0" xfId="0" applyFont="1"/>
    <xf numFmtId="0" fontId="32" fillId="19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9" fontId="16" fillId="13" borderId="0" xfId="0" applyNumberFormat="1" applyFont="1" applyFill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9" fontId="16" fillId="20" borderId="0" xfId="0" applyNumberFormat="1" applyFont="1" applyFill="1" applyAlignment="1">
      <alignment horizontal="center" vertical="center" wrapText="1"/>
    </xf>
    <xf numFmtId="0" fontId="16" fillId="21" borderId="0" xfId="0" applyFont="1" applyFill="1" applyAlignment="1">
      <alignment horizontal="center" vertical="center" wrapText="1"/>
    </xf>
    <xf numFmtId="9" fontId="16" fillId="21" borderId="0" xfId="0" applyNumberFormat="1" applyFont="1" applyFill="1" applyAlignment="1">
      <alignment horizontal="center" vertical="center" wrapText="1"/>
    </xf>
    <xf numFmtId="0" fontId="16" fillId="22" borderId="0" xfId="0" applyFont="1" applyFill="1" applyAlignment="1">
      <alignment horizontal="center" vertical="center" wrapText="1"/>
    </xf>
    <xf numFmtId="9" fontId="16" fillId="22" borderId="0" xfId="0" applyNumberFormat="1" applyFont="1" applyFill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9" fontId="16" fillId="23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0" xfId="0"/>
    <xf numFmtId="0" fontId="34" fillId="2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EPbQxkIBAWSphsAXsaXOp2X-MMQsKyEk/edit?usp=drive_link&amp;ouid=105698644568734712375&amp;rtpof=true&amp;sd=true" TargetMode="External"/><Relationship Id="rId21" Type="http://schemas.openxmlformats.org/officeDocument/2006/relationships/hyperlink" Target="https://docs.google.com/document/d/1Ygj5XRaUTIBOzV7LxTbcfqeMe_Go3ITU/edit?usp=drive_link&amp;ouid=105698644568734712375&amp;rtpof=true&amp;sd=true" TargetMode="External"/><Relationship Id="rId324" Type="http://schemas.openxmlformats.org/officeDocument/2006/relationships/hyperlink" Target="https://docs.google.com/document/d/1aXBDdt4HXABbrCx-0VQz_soE4ackqyys/edit" TargetMode="External"/><Relationship Id="rId531" Type="http://schemas.openxmlformats.org/officeDocument/2006/relationships/hyperlink" Target="https://docs.google.com/document/d/1uL3rMjm-RHur62L1JqxDnLU2lVoxCj56/edit?usp=drive_link&amp;ouid=105698644568734712375&amp;rtpof=true&amp;sd=true" TargetMode="External"/><Relationship Id="rId170" Type="http://schemas.openxmlformats.org/officeDocument/2006/relationships/hyperlink" Target="https://docs.google.com/document/d/10U1ud8nKe2SjKxrW03aUWpEyBy4IXGIh/edit?usp=drive_link&amp;ouid=105698644568734712375&amp;rtpof=true&amp;sd=true" TargetMode="External"/><Relationship Id="rId268" Type="http://schemas.openxmlformats.org/officeDocument/2006/relationships/hyperlink" Target="https://docs.google.com/document/d/1GTLluy-pFRpjezCnsxGLw9qU6HaoueEo/edit?usp=drive_link&amp;ouid=105698644568734712375&amp;rtpof=true&amp;sd=true" TargetMode="External"/><Relationship Id="rId475" Type="http://schemas.openxmlformats.org/officeDocument/2006/relationships/hyperlink" Target="https://docs.google.com/document/d/1pO18TuK3zPwOkf__l8M-dnq0yealLD6G/edit?usp=drive_link&amp;ouid=105698644568734712375&amp;rtpof=true&amp;sd=true" TargetMode="External"/><Relationship Id="rId32" Type="http://schemas.openxmlformats.org/officeDocument/2006/relationships/hyperlink" Target="https://drive.google.com/open?id=1dzkS8FqDthB1Dp0Ztj92PouuPle7N8vc&amp;usp=drive_copy" TargetMode="External"/><Relationship Id="rId128" Type="http://schemas.openxmlformats.org/officeDocument/2006/relationships/hyperlink" Target="https://docs.google.com/document/d/1kmp33asdJxGcSairdp5j9W7TPHacyCG9/edit?usp=drive_link&amp;ouid=105698644568734712375&amp;rtpof=true&amp;sd=true" TargetMode="External"/><Relationship Id="rId335" Type="http://schemas.openxmlformats.org/officeDocument/2006/relationships/hyperlink" Target="https://docs.google.com/document/d/1k9AsPJTIBK-B9mN4riJQSPX7QVhh96kc/edit?usp=drive_link&amp;ouid=105698644568734712375&amp;rtpof=true&amp;sd=true" TargetMode="External"/><Relationship Id="rId542" Type="http://schemas.openxmlformats.org/officeDocument/2006/relationships/hyperlink" Target="https://docs.google.com/document/d/1cZYp6q7V_AjxfNMTcY_SIyaxQeL6coZZ/edit" TargetMode="External"/><Relationship Id="rId181" Type="http://schemas.openxmlformats.org/officeDocument/2006/relationships/hyperlink" Target="https://docs.google.com/document/d/1HDt2kgdRdf-QABMdakTshNqptar1n6ct/edit" TargetMode="External"/><Relationship Id="rId402" Type="http://schemas.openxmlformats.org/officeDocument/2006/relationships/hyperlink" Target="https://docs.google.com/document/d/1UtKIC2MN2VLu_mYQI4TvzYAqGD6wiKTJ/edit?usp=drive_link&amp;ouid=105698644568734712375&amp;rtpof=true&amp;sd=true" TargetMode="External"/><Relationship Id="rId279" Type="http://schemas.openxmlformats.org/officeDocument/2006/relationships/hyperlink" Target="https://docs.google.com/document/d/1-snH7IBE9gUttLbTyKwDTs6Oi5_YgouK/edit" TargetMode="External"/><Relationship Id="rId486" Type="http://schemas.openxmlformats.org/officeDocument/2006/relationships/hyperlink" Target="https://docs.google.com/document/d/1GTuHEjhhCl6ZhSCWryA90K_TqHgcka2z/edit?usp=drive_link&amp;ouid=105698644568734712375&amp;rtpof=true&amp;sd=true" TargetMode="External"/><Relationship Id="rId43" Type="http://schemas.openxmlformats.org/officeDocument/2006/relationships/hyperlink" Target="https://docs.google.com/document/d/16AU7I_DQjJAJJEgJWxzYlJ7MsXZanp2a/edit" TargetMode="External"/><Relationship Id="rId139" Type="http://schemas.openxmlformats.org/officeDocument/2006/relationships/hyperlink" Target="https://docs.google.com/document/d/1gmS1l5gfHahEx-hhfTLqzr18_1ZiMD6x/edit?usp=drive_link&amp;ouid=105698644568734712375&amp;rtpof=true&amp;sd=true" TargetMode="External"/><Relationship Id="rId346" Type="http://schemas.openxmlformats.org/officeDocument/2006/relationships/hyperlink" Target="https://docs.google.com/document/d/1FvVyOJJqq8J5mMHcaZ8mXVopR_H7IgtV/edit" TargetMode="External"/><Relationship Id="rId553" Type="http://schemas.openxmlformats.org/officeDocument/2006/relationships/hyperlink" Target="https://docs.google.com/document/d/1bDC30vBwlDB3QgkqdZthyqwpU8HUQMwG/edit" TargetMode="External"/><Relationship Id="rId192" Type="http://schemas.openxmlformats.org/officeDocument/2006/relationships/hyperlink" Target="https://docs.google.com/document/d/1Ev757_LjVSR0MNShkQdA-JrFNRXQpRdi/edit?usp=drive_link&amp;ouid=105698644568734712375&amp;rtpof=true&amp;sd=true" TargetMode="External"/><Relationship Id="rId206" Type="http://schemas.openxmlformats.org/officeDocument/2006/relationships/hyperlink" Target="https://docs.google.com/document/d/1P5v4bgHd34c549X0RzsaCUHbBa34OaYK/edit?usp=drive_link&amp;ouid=105698644568734712375&amp;rtpof=true&amp;sd=true" TargetMode="External"/><Relationship Id="rId413" Type="http://schemas.openxmlformats.org/officeDocument/2006/relationships/hyperlink" Target="https://docs.google.com/document/d/1XyjTNhK3vvLIDdYHo0E20nliGSwyB-MS/edit" TargetMode="External"/><Relationship Id="rId497" Type="http://schemas.openxmlformats.org/officeDocument/2006/relationships/hyperlink" Target="https://docs.google.com/document/d/13ACNIqW5yLtjevS6Nc6e0CeN2eflihRK/edit?usp=drive_link&amp;ouid=105698644568734712375&amp;rtpof=true&amp;sd=true" TargetMode="External"/><Relationship Id="rId620" Type="http://schemas.openxmlformats.org/officeDocument/2006/relationships/comments" Target="../comments1.xml"/><Relationship Id="rId357" Type="http://schemas.openxmlformats.org/officeDocument/2006/relationships/hyperlink" Target="https://docs.google.com/document/d/1aHyWCFEfHxA86T3YZVmnKb9W_i1b0f7K/edit?usp=drive_link&amp;ouid=105698644568734712375&amp;rtpof=true&amp;sd=true" TargetMode="External"/><Relationship Id="rId54" Type="http://schemas.openxmlformats.org/officeDocument/2006/relationships/hyperlink" Target="https://docs.google.com/document/d/16_xJPA2bBZV3GxKTzjaMdFKI7hWm1LG4/edit?usp=drive_link&amp;ouid=105698644568734712375&amp;rtpof=true&amp;sd=true" TargetMode="External"/><Relationship Id="rId217" Type="http://schemas.openxmlformats.org/officeDocument/2006/relationships/hyperlink" Target="https://docs.google.com/document/d/15tYBgPGeicZteym8PwTLZUxWNOrWQKWo/edit?usp=drive_link&amp;ouid=105698644568734712375&amp;rtpof=true&amp;sd=true" TargetMode="External"/><Relationship Id="rId564" Type="http://schemas.openxmlformats.org/officeDocument/2006/relationships/hyperlink" Target="https://docs.google.com/document/d/1_KB-2DtyP73GSDtXdhJCTKev2cT4mkC5/edit?usp=drive_link&amp;ouid=105698644568734712375&amp;rtpof=true&amp;sd=true" TargetMode="External"/><Relationship Id="rId424" Type="http://schemas.openxmlformats.org/officeDocument/2006/relationships/hyperlink" Target="https://docs.google.com/document/d/1TfSE5MMyj_q21tANXdhs7kp_ZHwfkfiv/edit?usp=drive_link&amp;ouid=105698644568734712375&amp;rtpof=true&amp;sd=true" TargetMode="External"/><Relationship Id="rId270" Type="http://schemas.openxmlformats.org/officeDocument/2006/relationships/hyperlink" Target="https://docs.google.com/document/d/1qvD0zpkqmHH5qV4PsRd7hAu7ffl683A8/edit?usp=drive_link&amp;ouid=105698644568734712375&amp;rtpof=true&amp;sd=true" TargetMode="External"/><Relationship Id="rId65" Type="http://schemas.openxmlformats.org/officeDocument/2006/relationships/hyperlink" Target="https://docs.google.com/document/d/1NyR7ymlslzTzOFawMYDe3Pm3Yxb_25vB/edit?usp=drive_link&amp;ouid=105698644568734712375&amp;rtpof=true&amp;sd=true" TargetMode="External"/><Relationship Id="rId130" Type="http://schemas.openxmlformats.org/officeDocument/2006/relationships/hyperlink" Target="https://docs.google.com/document/d/1PleCkjDbefumgxhPMw4lBM7CEPtgtFPp/edit?usp=drive_link&amp;ouid=105698644568734712375&amp;rtpof=true&amp;sd=true" TargetMode="External"/><Relationship Id="rId368" Type="http://schemas.openxmlformats.org/officeDocument/2006/relationships/hyperlink" Target="https://docs.google.com/document/d/1p5YQbB37FKTsoiZNJquUfMkybwMK74GP/edit?usp=drive_link&amp;ouid=105698644568734712375&amp;rtpof=true&amp;sd=true" TargetMode="External"/><Relationship Id="rId575" Type="http://schemas.openxmlformats.org/officeDocument/2006/relationships/hyperlink" Target="https://docs.google.com/document/d/1PkbCNjdwzbz6oLLRWBl0T8Tp_lavx81o/edit?usp=drive_link&amp;ouid=105698644568734712375&amp;rtpof=true&amp;sd=true" TargetMode="External"/><Relationship Id="rId228" Type="http://schemas.openxmlformats.org/officeDocument/2006/relationships/hyperlink" Target="https://docs.google.com/document/d/11CRHXlwvnbb1Bh1mNRbyGbiJcvOZ79SE/edit" TargetMode="External"/><Relationship Id="rId435" Type="http://schemas.openxmlformats.org/officeDocument/2006/relationships/hyperlink" Target="https://docs.google.com/document/d/1VB9CLkip3MiG9fmDhGjsCcDfop5-a-kc/edit?usp=drive_link&amp;ouid=105698644568734712375&amp;rtpof=true&amp;sd=true" TargetMode="External"/><Relationship Id="rId281" Type="http://schemas.openxmlformats.org/officeDocument/2006/relationships/hyperlink" Target="https://docs.google.com/document/d/1hIJaJ_tuswGS3pMQ5RmEWh60uPc3PYJv/edit?usp=drive_link&amp;ouid=105698644568734712375&amp;rtpof=true&amp;sd=true" TargetMode="External"/><Relationship Id="rId502" Type="http://schemas.openxmlformats.org/officeDocument/2006/relationships/hyperlink" Target="https://docs.google.com/document/d/13roiP5DInRjd7TB0suZvAclzdwHd5G9F/edit" TargetMode="External"/><Relationship Id="rId76" Type="http://schemas.openxmlformats.org/officeDocument/2006/relationships/hyperlink" Target="https://drive.google.com/open?id=1P6Caf7k1HV1UVL40C05IypkRg0iAk9aL&amp;usp=drive_copy" TargetMode="External"/><Relationship Id="rId141" Type="http://schemas.openxmlformats.org/officeDocument/2006/relationships/hyperlink" Target="https://docs.google.com/document/d/1_QnI_rCdfk6wP5hW7309dzEdzpSKTo0j/edit?usp=drive_link&amp;ouid=105698644568734712375&amp;rtpof=true&amp;sd=true" TargetMode="External"/><Relationship Id="rId379" Type="http://schemas.openxmlformats.org/officeDocument/2006/relationships/hyperlink" Target="https://docs.google.com/document/d/12TrSWH0qnuZzvHxnv8LTbLbPbtSk8SfB/edit" TargetMode="External"/><Relationship Id="rId586" Type="http://schemas.openxmlformats.org/officeDocument/2006/relationships/hyperlink" Target="https://docs.google.com/document/d/1QRMokvqtFiK3vEq6NwCoTZ9G5F1JBS_Y/edit?usp=drive_link&amp;ouid=105698644568734712375&amp;rtpof=true&amp;sd=true" TargetMode="External"/><Relationship Id="rId7" Type="http://schemas.openxmlformats.org/officeDocument/2006/relationships/hyperlink" Target="https://docs.google.com/document/d/1u1zvE7CA6iLROaOArfc59YuZxwOoV7-3/edit" TargetMode="External"/><Relationship Id="rId239" Type="http://schemas.openxmlformats.org/officeDocument/2006/relationships/hyperlink" Target="https://docs.google.com/document/d/1m_Ob20sx4xD63ipIBA-lcUxUJTLpSwlW/edit?usp=drive_link&amp;ouid=105698644568734712375&amp;rtpof=true&amp;sd=true" TargetMode="External"/><Relationship Id="rId446" Type="http://schemas.openxmlformats.org/officeDocument/2006/relationships/hyperlink" Target="https://docs.google.com/document/d/1QO5_vtgpvgItsJaaEAkl4nwcR-OoDPKO/edit" TargetMode="External"/><Relationship Id="rId292" Type="http://schemas.openxmlformats.org/officeDocument/2006/relationships/hyperlink" Target="https://docs.google.com/document/d/1_VZbo9eAQc87uehoYs_pDP7ji5nGMpO4/edit?usp=drive_link&amp;ouid=105698644568734712375&amp;rtpof=true&amp;sd=true" TargetMode="External"/><Relationship Id="rId306" Type="http://schemas.openxmlformats.org/officeDocument/2006/relationships/hyperlink" Target="https://docs.google.com/document/d/13V83A6EyXNbC1qA7abVMJLH7vus-ekVv/edit?usp=drive_link&amp;ouid=105698644568734712375&amp;rtpof=true&amp;sd=true" TargetMode="External"/><Relationship Id="rId87" Type="http://schemas.openxmlformats.org/officeDocument/2006/relationships/hyperlink" Target="https://docs.google.com/document/d/1xEPZ3x1MrZYiTBtwd4U48XEOROIu6lRR/edit?usp=drive_link&amp;ouid=105698644568734712375&amp;rtpof=true&amp;sd=true" TargetMode="External"/><Relationship Id="rId513" Type="http://schemas.openxmlformats.org/officeDocument/2006/relationships/hyperlink" Target="https://docs.google.com/document/d/1hC4cviBWHNuHIbrK4ylFbCkSKu__UtyV/edit?usp=drive_link&amp;ouid=105698644568734712375&amp;rtpof=true&amp;sd=true" TargetMode="External"/><Relationship Id="rId597" Type="http://schemas.openxmlformats.org/officeDocument/2006/relationships/hyperlink" Target="https://docs.google.com/document/d/1GcINEbHrUK0ScmeS7fVPZ1fwBDRgMUcD/edit?usp=drive_link&amp;ouid=105698644568734712375&amp;rtpof=true&amp;sd=true" TargetMode="External"/><Relationship Id="rId152" Type="http://schemas.openxmlformats.org/officeDocument/2006/relationships/hyperlink" Target="https://docs.google.com/document/d/1YEr_bneomafWm39EzpeuvCSiXFshMy7M/edit" TargetMode="External"/><Relationship Id="rId457" Type="http://schemas.openxmlformats.org/officeDocument/2006/relationships/hyperlink" Target="https://docs.google.com/document/d/1aWJ8ePda4LARwn_Be3rZ9lKtfQ07tHkJ/edit?usp=drive_link&amp;ouid=105698644568734712375&amp;rtpof=true&amp;sd=true" TargetMode="External"/><Relationship Id="rId14" Type="http://schemas.openxmlformats.org/officeDocument/2006/relationships/hyperlink" Target="https://drive.google.com/open?id=1bx8HgrzDjEGQMD8stzzrH05GtY5W6xFx&amp;usp=drive_copy" TargetMode="External"/><Relationship Id="rId317" Type="http://schemas.openxmlformats.org/officeDocument/2006/relationships/hyperlink" Target="https://docs.google.com/document/d/1FLrqMoaDf2Ac9fRZ_JxqeSLJdiwhmh0l/edit?usp=drive_link&amp;ouid=105698644568734712375&amp;rtpof=true&amp;sd=true" TargetMode="External"/><Relationship Id="rId524" Type="http://schemas.openxmlformats.org/officeDocument/2006/relationships/hyperlink" Target="https://docs.google.com/document/d/1KdjGFA3J4HNi6MWH-vFHlzLz-n1_GJrE/edit" TargetMode="External"/><Relationship Id="rId98" Type="http://schemas.openxmlformats.org/officeDocument/2006/relationships/hyperlink" Target="https://docs.google.com/document/d/12-tQeiUDIwoiDx0_cn9LhdSOp8UGXesK/edit?usp=drive_link&amp;ouid=105698644568734712375&amp;rtpof=true&amp;sd=true" TargetMode="External"/><Relationship Id="rId163" Type="http://schemas.openxmlformats.org/officeDocument/2006/relationships/hyperlink" Target="https://docs.google.com/document/d/1TOKUtPLOGYL8JmH6kw39SoQJphX-GiWl/edit?usp=drive_link&amp;ouid=105698644568734712375&amp;rtpof=true&amp;sd=true" TargetMode="External"/><Relationship Id="rId370" Type="http://schemas.openxmlformats.org/officeDocument/2006/relationships/hyperlink" Target="https://docs.google.com/document/d/1eaFaglVTtBvnaxl8CxEOOWhWBHrkHv5g/edit?usp=drive_link&amp;ouid=105698644568734712375&amp;rtpof=true&amp;sd=true" TargetMode="External"/><Relationship Id="rId230" Type="http://schemas.openxmlformats.org/officeDocument/2006/relationships/hyperlink" Target="https://docs.google.com/document/d/1mH4fkrV6IFgfjzDzKZSQeJsLD8MJIlHt/edit" TargetMode="External"/><Relationship Id="rId468" Type="http://schemas.openxmlformats.org/officeDocument/2006/relationships/hyperlink" Target="https://docs.google.com/document/d/1iafYGZgQo_CK8zl3QDqv17WrSCHdR2ur/edit" TargetMode="External"/><Relationship Id="rId25" Type="http://schemas.openxmlformats.org/officeDocument/2006/relationships/hyperlink" Target="https://docs.google.com/document/d/1sCvDWrnH15CywfiCSt24cq0n8etbYPYj/edit" TargetMode="External"/><Relationship Id="rId328" Type="http://schemas.openxmlformats.org/officeDocument/2006/relationships/hyperlink" Target="https://docs.google.com/document/d/14XXYE0SIZRo6RLAJQqONdeZApwYwAHW7/edit" TargetMode="External"/><Relationship Id="rId535" Type="http://schemas.openxmlformats.org/officeDocument/2006/relationships/hyperlink" Target="https://docs.google.com/document/d/1GCqEhgnxCxbzsCUlj14bvfeWcNddNUmT/edit?usp=drive_link&amp;ouid=105698644568734712375&amp;rtpof=true&amp;sd=true" TargetMode="External"/><Relationship Id="rId132" Type="http://schemas.openxmlformats.org/officeDocument/2006/relationships/hyperlink" Target="https://drive.google.com/open?id=198mUwL9Nfy89-dJRoPofZY6Uc4hHSu8Y&amp;usp=drive_copy" TargetMode="External"/><Relationship Id="rId174" Type="http://schemas.openxmlformats.org/officeDocument/2006/relationships/hyperlink" Target="https://docs.google.com/document/d/11ktxLf5zv3myHElKA4ISpjtodzCyjd_-/edit" TargetMode="External"/><Relationship Id="rId381" Type="http://schemas.openxmlformats.org/officeDocument/2006/relationships/hyperlink" Target="https://docs.google.com/document/d/14NG2ZDnDVDO-Ob6nDkShLy4F2DAiVhre/edit" TargetMode="External"/><Relationship Id="rId602" Type="http://schemas.openxmlformats.org/officeDocument/2006/relationships/hyperlink" Target="https://docs.google.com/document/d/1T-vM-tsRvb8QBnW-LSTIItSI0c9RQR8O/edit?usp=drive_link&amp;ouid=105698644568734712375&amp;rtpof=true&amp;sd=true" TargetMode="External"/><Relationship Id="rId241" Type="http://schemas.openxmlformats.org/officeDocument/2006/relationships/hyperlink" Target="https://docs.google.com/document/d/1WbqTyakLbomb2AemyhASXQvj7w4KQTwb/edit?usp=drive_link&amp;ouid=105698644568734712375&amp;rtpof=true&amp;sd=true" TargetMode="External"/><Relationship Id="rId437" Type="http://schemas.openxmlformats.org/officeDocument/2006/relationships/hyperlink" Target="https://docs.google.com/document/d/1oxhyWXrBfhWLwIHbAjqWh8wijo7H2oWy/edit" TargetMode="External"/><Relationship Id="rId479" Type="http://schemas.openxmlformats.org/officeDocument/2006/relationships/hyperlink" Target="https://docs.google.com/document/d/1UDRRW1VnqRkxAxV5Fy7ZUAWqojP-iJzA/edit?usp=drive_link&amp;ouid=105698644568734712375&amp;rtpof=true&amp;sd=true" TargetMode="External"/><Relationship Id="rId36" Type="http://schemas.openxmlformats.org/officeDocument/2006/relationships/hyperlink" Target="https://docs.google.com/document/d/1KAKS0fvar4AunWOuDDP7YSX9UrSj5Tw3/edit?usp=drive_link&amp;ouid=105698644568734712375&amp;rtpof=true&amp;sd=true" TargetMode="External"/><Relationship Id="rId283" Type="http://schemas.openxmlformats.org/officeDocument/2006/relationships/hyperlink" Target="https://docs.google.com/document/d/1TMYDTQIhcxDwOuNQ7waMs0BZUZlFksD0/edit?usp=drive_link&amp;ouid=105698644568734712375&amp;rtpof=true&amp;sd=true" TargetMode="External"/><Relationship Id="rId339" Type="http://schemas.openxmlformats.org/officeDocument/2006/relationships/hyperlink" Target="https://docs.google.com/document/d/1XV4YIsaXdk0COjag5oRJkSai1-xE0xbA/edit?usp=drive_link&amp;ouid=105698644568734712375&amp;rtpof=true&amp;sd=true" TargetMode="External"/><Relationship Id="rId490" Type="http://schemas.openxmlformats.org/officeDocument/2006/relationships/hyperlink" Target="https://docs.google.com/document/d/1MRGGwqEWE9OCFVbFlqIM6bd_FQonXOcq/edit" TargetMode="External"/><Relationship Id="rId504" Type="http://schemas.openxmlformats.org/officeDocument/2006/relationships/hyperlink" Target="https://docs.google.com/document/d/1G--dQrCCnVDjxbJ8_q52p9npXqgjmDig/edit" TargetMode="External"/><Relationship Id="rId546" Type="http://schemas.openxmlformats.org/officeDocument/2006/relationships/hyperlink" Target="https://docs.google.com/document/d/1Yd5fw2B7CiDMEOVvgis8A93BvXvWi3Sz/edit" TargetMode="External"/><Relationship Id="rId78" Type="http://schemas.openxmlformats.org/officeDocument/2006/relationships/hyperlink" Target="https://docs.google.com/document/d/16Evau5T9uHXQpGb-68nCWNIa4x50ETXV/edit?usp=drive_link&amp;ouid=105698644568734712375&amp;rtpof=true&amp;sd=true" TargetMode="External"/><Relationship Id="rId101" Type="http://schemas.openxmlformats.org/officeDocument/2006/relationships/hyperlink" Target="https://docs.google.com/document/d/1-ctfWBaGgrtJJPX8IzgeYEV05iJcFgji/edit?usp=drive_link&amp;ouid=105698644568734712375&amp;rtpof=true&amp;sd=true" TargetMode="External"/><Relationship Id="rId143" Type="http://schemas.openxmlformats.org/officeDocument/2006/relationships/hyperlink" Target="https://docs.google.com/document/d/16vecXrhf8Fx6EuBwl4OR2lz1skGmmMFD/edit?usp=drive_link&amp;ouid=105698644568734712375&amp;rtpof=true&amp;sd=true" TargetMode="External"/><Relationship Id="rId185" Type="http://schemas.openxmlformats.org/officeDocument/2006/relationships/hyperlink" Target="https://docs.google.com/document/d/1obEXCkIJDHwB6zk5F0IEaKR_llmzM6Tz/edit" TargetMode="External"/><Relationship Id="rId350" Type="http://schemas.openxmlformats.org/officeDocument/2006/relationships/hyperlink" Target="https://docs.google.com/document/d/1yksrNWdKKRqwqMYIcMSqi3CfVBnA2juy/edit" TargetMode="External"/><Relationship Id="rId406" Type="http://schemas.openxmlformats.org/officeDocument/2006/relationships/hyperlink" Target="https://docs.google.com/document/d/1AF6d1x71jbVbe7VsRxHeQe660skxCamO/edit?usp=drive_link&amp;ouid=105698644568734712375&amp;rtpof=true&amp;sd=true" TargetMode="External"/><Relationship Id="rId588" Type="http://schemas.openxmlformats.org/officeDocument/2006/relationships/hyperlink" Target="https://docs.google.com/document/d/1bFDG2uW69cEdTNnHHXASURny0XgyYxT-/edit?usp=drive_link&amp;ouid=105698644568734712375&amp;rtpof=true&amp;sd=true" TargetMode="External"/><Relationship Id="rId9" Type="http://schemas.openxmlformats.org/officeDocument/2006/relationships/hyperlink" Target="https://docs.google.com/document/d/1uXzMq59DEihyrVqelF4hCdIh3uG64ihb/edit" TargetMode="External"/><Relationship Id="rId210" Type="http://schemas.openxmlformats.org/officeDocument/2006/relationships/hyperlink" Target="https://docs.google.com/document/d/1u-5nebIxCZc57IYxn5si-X2VYlTP3-bT/edit?usp=drive_link&amp;ouid=105698644568734712375&amp;rtpof=true&amp;sd=true" TargetMode="External"/><Relationship Id="rId392" Type="http://schemas.openxmlformats.org/officeDocument/2006/relationships/hyperlink" Target="https://docs.google.com/document/d/1q81nUDhZrUOmPdYEwCCy3y9n9FAMzyXe/edit?usp=drive_link&amp;ouid=105698644568734712375&amp;rtpof=true&amp;sd=true" TargetMode="External"/><Relationship Id="rId448" Type="http://schemas.openxmlformats.org/officeDocument/2006/relationships/hyperlink" Target="https://docs.google.com/document/d/1V4Xiq_6EQXlzzXa8OreVnYwuRXmvvon0/edit" TargetMode="External"/><Relationship Id="rId613" Type="http://schemas.openxmlformats.org/officeDocument/2006/relationships/hyperlink" Target="https://docs.google.com/document/d/1k8qO3tesm5xFMPhjo_nrwRTmrccqr4R4/edit?usp=drive_link&amp;ouid=105698644568734712375&amp;rtpof=true&amp;sd=true" TargetMode="External"/><Relationship Id="rId252" Type="http://schemas.openxmlformats.org/officeDocument/2006/relationships/hyperlink" Target="https://docs.google.com/document/d/1GUKsBtMEkkWL6LUOjCnol60dhxrOOYlP/edit?usp=drive_link&amp;ouid=105698644568734712375&amp;rtpof=true&amp;sd=true" TargetMode="External"/><Relationship Id="rId294" Type="http://schemas.openxmlformats.org/officeDocument/2006/relationships/hyperlink" Target="https://docs.google.com/document/d/1UhxCru-DJ5nr2DpxBu_iBqfRFAjKEaDf/edit" TargetMode="External"/><Relationship Id="rId308" Type="http://schemas.openxmlformats.org/officeDocument/2006/relationships/hyperlink" Target="https://docs.google.com/document/d/1D47I-PyDQgzgcygWLCmjE2PilNoyxcq7/edit?usp=drive_link&amp;ouid=105698644568734712375&amp;rtpof=true&amp;sd=true" TargetMode="External"/><Relationship Id="rId515" Type="http://schemas.openxmlformats.org/officeDocument/2006/relationships/hyperlink" Target="https://docs.google.com/document/d/179j9N_S4tyr3g5pnjzs3wwEW-qifPpXi/edit?usp=drive_link&amp;ouid=105698644568734712375&amp;rtpof=true&amp;sd=true" TargetMode="External"/><Relationship Id="rId47" Type="http://schemas.openxmlformats.org/officeDocument/2006/relationships/hyperlink" Target="https://docs.google.com/document/d/1MCrAVJQudwq5_jnZcNNmAE3tMosiOdpB/edit?usp=drive_link&amp;ouid=105698644568734712375&amp;rtpof=true&amp;sd=true" TargetMode="External"/><Relationship Id="rId89" Type="http://schemas.openxmlformats.org/officeDocument/2006/relationships/hyperlink" Target="https://drive.google.com/open?id=16tnKdeOQJo4tEsmctNAgOP1niOTi761A&amp;usp=drive_copy" TargetMode="External"/><Relationship Id="rId112" Type="http://schemas.openxmlformats.org/officeDocument/2006/relationships/hyperlink" Target="https://docs.google.com/document/d/1ts5r_aSdr19-b-K4bUPsPx3zct7qC5mj/edit?usp=drive_link&amp;ouid=105698644568734712375&amp;rtpof=true&amp;sd=true" TargetMode="External"/><Relationship Id="rId154" Type="http://schemas.openxmlformats.org/officeDocument/2006/relationships/hyperlink" Target="https://docs.google.com/document/d/1e-x_9663OcAROLZ09eMq1eeIAEI1tqSs/edit" TargetMode="External"/><Relationship Id="rId361" Type="http://schemas.openxmlformats.org/officeDocument/2006/relationships/hyperlink" Target="https://docs.google.com/document/d/11nR5a1P39rBtGAu6lPmhnqwwmUB94ojN/edit" TargetMode="External"/><Relationship Id="rId557" Type="http://schemas.openxmlformats.org/officeDocument/2006/relationships/hyperlink" Target="https://docs.google.com/document/d/15XyPrLPwLtNhUdfWKrFBz0GGpJHTHz2A/edit" TargetMode="External"/><Relationship Id="rId599" Type="http://schemas.openxmlformats.org/officeDocument/2006/relationships/hyperlink" Target="https://docs.google.com/document/d/1DtY1Az25S6f1scZMWQw4yssD_axaVzxA/edit?usp=drive_link&amp;ouid=105698644568734712375&amp;rtpof=true&amp;sd=true" TargetMode="External"/><Relationship Id="rId196" Type="http://schemas.openxmlformats.org/officeDocument/2006/relationships/hyperlink" Target="https://docs.google.com/document/d/1yY5S-2yOJohHByj5qqao3uJUaxPSuyYU/edit?usp=drive_link&amp;ouid=105698644568734712375&amp;rtpof=true&amp;sd=true" TargetMode="External"/><Relationship Id="rId417" Type="http://schemas.openxmlformats.org/officeDocument/2006/relationships/hyperlink" Target="https://docs.google.com/document/d/1c8GKns3_BJHps56J_8u99RfbvpAesUSE/edit?usp=drive_link&amp;ouid=105698644568734712375&amp;rtpof=true&amp;sd=true" TargetMode="External"/><Relationship Id="rId459" Type="http://schemas.openxmlformats.org/officeDocument/2006/relationships/hyperlink" Target="https://docs.google.com/document/d/1CIk0K8VMEjj4RlcI0cUyoqk0BDvWby0e/edit?usp=drive_link&amp;ouid=105698644568734712375&amp;rtpof=true&amp;sd=true" TargetMode="External"/><Relationship Id="rId16" Type="http://schemas.openxmlformats.org/officeDocument/2006/relationships/hyperlink" Target="https://docs.google.com/document/d/1GYQXUhZU4vgqo0ZcSOjEs3ErR_XDMFn4/edit?usp=drive_link&amp;ouid=105698644568734712375&amp;rtpof=true&amp;sd=true" TargetMode="External"/><Relationship Id="rId221" Type="http://schemas.openxmlformats.org/officeDocument/2006/relationships/hyperlink" Target="https://drive.google.com/open?id=12D0wnJ-7K8pfo2tZ-1YVD_wBx0DPLSC2&amp;usp=drive_copy" TargetMode="External"/><Relationship Id="rId263" Type="http://schemas.openxmlformats.org/officeDocument/2006/relationships/hyperlink" Target="https://docs.google.com/document/d/1jeASlEOaT97c9iV5p5YJWzfF0J8syAsN/edit" TargetMode="External"/><Relationship Id="rId319" Type="http://schemas.openxmlformats.org/officeDocument/2006/relationships/hyperlink" Target="https://docs.google.com/document/d/1lFyqYJCF2YYRMgCnQzxOS0GOz7AKGgoQ/edit?usp=drive_link&amp;ouid=105698644568734712375&amp;rtpof=true&amp;sd=true" TargetMode="External"/><Relationship Id="rId470" Type="http://schemas.openxmlformats.org/officeDocument/2006/relationships/hyperlink" Target="https://docs.google.com/document/d/1V-K0bZBWWBZXtcpusAEMFAEYWguy1CHr/edit" TargetMode="External"/><Relationship Id="rId526" Type="http://schemas.openxmlformats.org/officeDocument/2006/relationships/hyperlink" Target="https://docs.google.com/document/d/1qfhlymPIcar1wpnPf1Vh84U8OEK_Z_4B/edit" TargetMode="External"/><Relationship Id="rId58" Type="http://schemas.openxmlformats.org/officeDocument/2006/relationships/hyperlink" Target="https://docs.google.com/document/d/1ggkQ5i7FZAZ2wxGv903vZPqAza6qxOma/edit?usp=drive_link&amp;ouid=105698644568734712375&amp;rtpof=true&amp;sd=true" TargetMode="External"/><Relationship Id="rId123" Type="http://schemas.openxmlformats.org/officeDocument/2006/relationships/hyperlink" Target="https://docs.google.com/document/d/1itSlYztFPaNaeEGDgRmzEzJo5-jfcH-U/edit?usp=drive_link&amp;ouid=105698644568734712375&amp;rtpof=true&amp;sd=true" TargetMode="External"/><Relationship Id="rId330" Type="http://schemas.openxmlformats.org/officeDocument/2006/relationships/hyperlink" Target="https://docs.google.com/document/d/1M-prWsA9n7bZhHzyDeXyKVKYWMrJKCr7/edit" TargetMode="External"/><Relationship Id="rId568" Type="http://schemas.openxmlformats.org/officeDocument/2006/relationships/hyperlink" Target="https://docs.google.com/document/d/1OvPXzx5_9LiTQLODU-AmSdpPFvVURocm/edit?usp=drive_link&amp;ouid=105698644568734712375&amp;rtpof=true&amp;sd=true" TargetMode="External"/><Relationship Id="rId165" Type="http://schemas.openxmlformats.org/officeDocument/2006/relationships/hyperlink" Target="https://docs.google.com/document/d/16t2nk5cfe0rIPnbgLhzMLnKVF904Y18N/edit" TargetMode="External"/><Relationship Id="rId372" Type="http://schemas.openxmlformats.org/officeDocument/2006/relationships/hyperlink" Target="https://docs.google.com/document/d/1HAF0F9nK2vvEnNDRg5b4D-XLMamcrlS5/edit?usp=drive_link&amp;ouid=105698644568734712375&amp;rtpof=true&amp;sd=true" TargetMode="External"/><Relationship Id="rId428" Type="http://schemas.openxmlformats.org/officeDocument/2006/relationships/hyperlink" Target="https://docs.google.com/document/d/1laa-QX1XqqKkbWs9EJ2PF46ZKkM96n-Y/edit?usp=drive_link&amp;ouid=105698644568734712375&amp;rtpof=true&amp;sd=true" TargetMode="External"/><Relationship Id="rId232" Type="http://schemas.openxmlformats.org/officeDocument/2006/relationships/hyperlink" Target="https://docs.google.com/document/d/1ivuTIwFciuy-UyKb_72Xa6N-8kd5VDRZ/edit" TargetMode="External"/><Relationship Id="rId274" Type="http://schemas.openxmlformats.org/officeDocument/2006/relationships/hyperlink" Target="https://docs.google.com/document/d/1X9i7Gn3uyfzPHXRaE3R5kMnVc5pFzS-A/edit?usp=drive_link&amp;ouid=105698644568734712375&amp;rtpof=true&amp;sd=true" TargetMode="External"/><Relationship Id="rId481" Type="http://schemas.openxmlformats.org/officeDocument/2006/relationships/hyperlink" Target="https://docs.google.com/document/d/1cdEazGvhe4zEGGrazWm4Uqf5evqUo07b/edit" TargetMode="External"/><Relationship Id="rId27" Type="http://schemas.openxmlformats.org/officeDocument/2006/relationships/hyperlink" Target="https://docs.google.com/document/d/1sVU2Gvi2WjbmnqlS-uKgIXuhvlkciADq/edit" TargetMode="External"/><Relationship Id="rId69" Type="http://schemas.openxmlformats.org/officeDocument/2006/relationships/hyperlink" Target="https://drive.google.com/open?id=1zneJCay3y8StJpW6SzkfSnxZMmux11iD&amp;usp=drive_copy" TargetMode="External"/><Relationship Id="rId134" Type="http://schemas.openxmlformats.org/officeDocument/2006/relationships/hyperlink" Target="https://docs.google.com/document/d/1XGiv5jUmyXqLVfw2TFy6VteRPzkwEzUD/edit?usp=drive_link&amp;ouid=105698644568734712375&amp;rtpof=true&amp;sd=true" TargetMode="External"/><Relationship Id="rId537" Type="http://schemas.openxmlformats.org/officeDocument/2006/relationships/hyperlink" Target="https://docs.google.com/document/d/12d7a--CwcnXqjeeD8zcWyna8kJMMPKh5/edit" TargetMode="External"/><Relationship Id="rId579" Type="http://schemas.openxmlformats.org/officeDocument/2006/relationships/hyperlink" Target="https://docs.google.com/document/d/1nwQTqeZNdQhVB5FZIaXLcK-rUB8QQLdH/edit?usp=drive_link&amp;ouid=105698644568734712375&amp;rtpof=true&amp;sd=true" TargetMode="External"/><Relationship Id="rId80" Type="http://schemas.openxmlformats.org/officeDocument/2006/relationships/hyperlink" Target="https://docs.google.com/document/d/1LVj7OjT3Zi9_foNDcSfZxRcwKNOF_jXz/edit?usp=drive_link&amp;ouid=105698644568734712375&amp;rtpof=true&amp;sd=true" TargetMode="External"/><Relationship Id="rId176" Type="http://schemas.openxmlformats.org/officeDocument/2006/relationships/hyperlink" Target="https://docs.google.com/document/d/1bqJhgIeF3lM5S2oWWml1859unMwXKV5f/edit" TargetMode="External"/><Relationship Id="rId341" Type="http://schemas.openxmlformats.org/officeDocument/2006/relationships/hyperlink" Target="https://docs.google.com/document/d/11vWbvJuy_XdPUU77u4StcdKFBP7Xk5OA/edit?usp=drive_link&amp;ouid=105698644568734712375&amp;rtpof=true&amp;sd=true" TargetMode="External"/><Relationship Id="rId383" Type="http://schemas.openxmlformats.org/officeDocument/2006/relationships/hyperlink" Target="https://docs.google.com/document/d/1D-ke5XtNF1d5E_4GHzRddrAR6FA20c28/edit" TargetMode="External"/><Relationship Id="rId439" Type="http://schemas.openxmlformats.org/officeDocument/2006/relationships/hyperlink" Target="https://docs.google.com/document/d/1xjQslFJhpSDvOM1BczRcHf0vUJjOxeOo/edit?usp=drive_link&amp;ouid=105698644568734712375&amp;rtpof=true&amp;sd=true" TargetMode="External"/><Relationship Id="rId590" Type="http://schemas.openxmlformats.org/officeDocument/2006/relationships/hyperlink" Target="https://docs.google.com/document/d/1EWEv0Cwsp9nw8yGqmkqdRIlWIgWU6Csw/edit?usp=drive_link&amp;ouid=105698644568734712375&amp;rtpof=true&amp;sd=true" TargetMode="External"/><Relationship Id="rId604" Type="http://schemas.openxmlformats.org/officeDocument/2006/relationships/hyperlink" Target="https://docs.google.com/document/d/1si8NEpIifY0qVUB6alIYcjsYAmw7VC06/edit?usp=drive_link&amp;ouid=105698644568734712375&amp;rtpof=true&amp;sd=true" TargetMode="External"/><Relationship Id="rId201" Type="http://schemas.openxmlformats.org/officeDocument/2006/relationships/hyperlink" Target="https://docs.google.com/document/d/1UzWyc0gLwHnnfommx5eVG_IM3iA0hBPJ/edit" TargetMode="External"/><Relationship Id="rId243" Type="http://schemas.openxmlformats.org/officeDocument/2006/relationships/hyperlink" Target="https://docs.google.com/document/d/1Bjipz-R6vcomGv-g0MLs7fVnUV355FA1/edit?usp=drive_link&amp;ouid=105698644568734712375&amp;rtpof=true&amp;sd=true" TargetMode="External"/><Relationship Id="rId285" Type="http://schemas.openxmlformats.org/officeDocument/2006/relationships/hyperlink" Target="https://docs.google.com/document/d/1vEA9kdIgXz5MveBHC3RQpOWyKVlqmFK6/edit?usp=drive_link&amp;ouid=105698644568734712375&amp;rtpof=true&amp;sd=true" TargetMode="External"/><Relationship Id="rId450" Type="http://schemas.openxmlformats.org/officeDocument/2006/relationships/hyperlink" Target="https://docs.google.com/document/d/1V0I9_sNcUGZFkfsniAuif3TEt2uSq0oy/edit" TargetMode="External"/><Relationship Id="rId506" Type="http://schemas.openxmlformats.org/officeDocument/2006/relationships/hyperlink" Target="https://docs.google.com/document/d/1V6KG1sLvmgTKVJ8ryee7vVqpw4HeVXYw/edit" TargetMode="External"/><Relationship Id="rId38" Type="http://schemas.openxmlformats.org/officeDocument/2006/relationships/hyperlink" Target="https://docs.google.com/document/d/1QbQcKomSFUbQKwZB1DbZSWP--B0JpcJ7/edit?usp=drive_link&amp;ouid=105698644568734712375&amp;rtpof=true&amp;sd=true" TargetMode="External"/><Relationship Id="rId103" Type="http://schemas.openxmlformats.org/officeDocument/2006/relationships/hyperlink" Target="https://docs.google.com/document/d/1yajGMFtIo_ugDSNKtX6XmA80XrXRya6Z/edit?usp=drive_link&amp;ouid=105698644568734712375&amp;rtpof=true&amp;sd=true" TargetMode="External"/><Relationship Id="rId310" Type="http://schemas.openxmlformats.org/officeDocument/2006/relationships/hyperlink" Target="https://docs.google.com/document/d/1G8qEFtIXE2CBcEqWBjx3YTQCV-md-j2c/edit?usp=drive_link&amp;ouid=105698644568734712375&amp;rtpof=true&amp;sd=true" TargetMode="External"/><Relationship Id="rId492" Type="http://schemas.openxmlformats.org/officeDocument/2006/relationships/hyperlink" Target="https://docs.google.com/document/d/1vRkWQRFd7pCwDZAMtABBSYM_KinvIUl-/edit" TargetMode="External"/><Relationship Id="rId548" Type="http://schemas.openxmlformats.org/officeDocument/2006/relationships/hyperlink" Target="https://docs.google.com/document/d/1lsdZDwSPMHfgqmipjUa1Xpl_ntJ5moH3/edit" TargetMode="External"/><Relationship Id="rId91" Type="http://schemas.openxmlformats.org/officeDocument/2006/relationships/hyperlink" Target="https://docs.google.com/document/d/1OhEEUAbVwTrrq20vt8JVD4axeeJ6v7sN/edit?usp=drive_link&amp;ouid=105698644568734712375&amp;rtpof=true&amp;sd=true" TargetMode="External"/><Relationship Id="rId145" Type="http://schemas.openxmlformats.org/officeDocument/2006/relationships/hyperlink" Target="https://docs.google.com/document/d/1Dbb9pwDppBjGjR6VFbyQvFXz82mFsRXi/edit?usp=drive_link&amp;ouid=105698644568734712375&amp;rtpof=true&amp;sd=true" TargetMode="External"/><Relationship Id="rId187" Type="http://schemas.openxmlformats.org/officeDocument/2006/relationships/hyperlink" Target="https://docs.google.com/document/d/1oLXhjbrv2iUXdmW0T232af-TyzrI3uJd/edit" TargetMode="External"/><Relationship Id="rId352" Type="http://schemas.openxmlformats.org/officeDocument/2006/relationships/hyperlink" Target="https://docs.google.com/document/d/12IReQBomaeN3LYdQw9NRcSvIguEcFkPP/edit" TargetMode="External"/><Relationship Id="rId394" Type="http://schemas.openxmlformats.org/officeDocument/2006/relationships/hyperlink" Target="https://docs.google.com/document/d/1x2RCcB6ZMlA2bNTaDqpb74xeNT5py3lc/edit?usp=drive_link&amp;ouid=105698644568734712375&amp;rtpof=true&amp;sd=true" TargetMode="External"/><Relationship Id="rId408" Type="http://schemas.openxmlformats.org/officeDocument/2006/relationships/hyperlink" Target="https://docs.google.com/document/d/1s-KKJ-mBIcVLnjlghJn9kiCqozHQAB3O/edit?usp=drive_link&amp;ouid=105698644568734712375&amp;rtpof=true&amp;sd=true" TargetMode="External"/><Relationship Id="rId615" Type="http://schemas.openxmlformats.org/officeDocument/2006/relationships/hyperlink" Target="https://docs.google.com/document/d/19tEVwIJDsbLoLVwvhhcJ234v9MDNj9mq/edit?usp=drive_link&amp;ouid=105698644568734712375&amp;rtpof=true&amp;sd=true" TargetMode="External"/><Relationship Id="rId212" Type="http://schemas.openxmlformats.org/officeDocument/2006/relationships/hyperlink" Target="https://docs.google.com/document/d/1iwWvbXH1sQ26uYA7RGe2U5_AGskzspEz/edit" TargetMode="External"/><Relationship Id="rId254" Type="http://schemas.openxmlformats.org/officeDocument/2006/relationships/hyperlink" Target="https://docs.google.com/document/d/1F1RPvUmnt6XzpaLV6X_5qU5ejphWHDEF/edit?usp=drive_link&amp;ouid=105698644568734712375&amp;rtpof=true&amp;sd=true" TargetMode="External"/><Relationship Id="rId49" Type="http://schemas.openxmlformats.org/officeDocument/2006/relationships/hyperlink" Target="https://drive.google.com/open?id=1zDBDo2-S9Od7BGKqGKHHk3CJuEBeNh7Q&amp;usp=drive_copy" TargetMode="External"/><Relationship Id="rId114" Type="http://schemas.openxmlformats.org/officeDocument/2006/relationships/hyperlink" Target="https://docs.google.com/document/d/12ofBh5PRNWHZs4Q_C-VxE4oGQNXcB8xb/edit?usp=drive_link&amp;ouid=105698644568734712375&amp;rtpof=true&amp;sd=true" TargetMode="External"/><Relationship Id="rId296" Type="http://schemas.openxmlformats.org/officeDocument/2006/relationships/hyperlink" Target="https://docs.google.com/document/d/1jwLO7qf0woTnhlEFtBFfWiQ4Ip5iVMkZ/edit?usp=drive_link&amp;ouid=105698644568734712375&amp;rtpof=true&amp;sd=true" TargetMode="External"/><Relationship Id="rId461" Type="http://schemas.openxmlformats.org/officeDocument/2006/relationships/hyperlink" Target="https://docs.google.com/document/d/1QGtoRq5P6WMThayIqiwGYGWzjc0h67tM/edit?usp=drive_link&amp;ouid=105698644568734712375&amp;rtpof=true&amp;sd=true" TargetMode="External"/><Relationship Id="rId517" Type="http://schemas.openxmlformats.org/officeDocument/2006/relationships/hyperlink" Target="https://docs.google.com/document/d/1uZDfRYYfYPQCEl8DGIS59krHOlgmRoph/edit?usp=drive_link&amp;ouid=105698644568734712375&amp;rtpof=true&amp;sd=true" TargetMode="External"/><Relationship Id="rId559" Type="http://schemas.openxmlformats.org/officeDocument/2006/relationships/hyperlink" Target="https://docs.google.com/document/d/12jv5T3PU4U7ENAQrqHol_FANhNoNOeTa/edit" TargetMode="External"/><Relationship Id="rId60" Type="http://schemas.openxmlformats.org/officeDocument/2006/relationships/hyperlink" Target="https://docs.google.com/document/d/1-nYnuNbdZmQdAO845YHgzaEgLjp8GyhH/edit?usp=drive_link&amp;ouid=105698644568734712375&amp;rtpof=true&amp;sd=true" TargetMode="External"/><Relationship Id="rId156" Type="http://schemas.openxmlformats.org/officeDocument/2006/relationships/hyperlink" Target="https://docs.google.com/document/d/1exTzSidwNZQsn7pcuQnDBSy-E-E7uOBN/edit" TargetMode="External"/><Relationship Id="rId198" Type="http://schemas.openxmlformats.org/officeDocument/2006/relationships/hyperlink" Target="https://docs.google.com/document/d/1fgCIvbEq0oY5c1EO2qE7lDIxEujKFopv/edit?usp=drive_link&amp;ouid=105698644568734712375&amp;rtpof=true&amp;sd=true" TargetMode="External"/><Relationship Id="rId321" Type="http://schemas.openxmlformats.org/officeDocument/2006/relationships/hyperlink" Target="https://docs.google.com/document/d/1DCn8TVU7bn55sG-9_HyXTt6a1Icns5fk/edit?usp=drive_link&amp;ouid=105698644568734712375&amp;rtpof=true&amp;sd=true" TargetMode="External"/><Relationship Id="rId363" Type="http://schemas.openxmlformats.org/officeDocument/2006/relationships/hyperlink" Target="https://docs.google.com/document/d/1LachS-91hG1UiCv2kCxIqZVH8Ohvu97C/edit" TargetMode="External"/><Relationship Id="rId419" Type="http://schemas.openxmlformats.org/officeDocument/2006/relationships/hyperlink" Target="https://docs.google.com/document/d/1CxHXJoZfY3APy8-xN4curKagBSU3rCYu/edit?usp=drive_link&amp;ouid=105698644568734712375&amp;rtpof=true&amp;sd=true" TargetMode="External"/><Relationship Id="rId570" Type="http://schemas.openxmlformats.org/officeDocument/2006/relationships/hyperlink" Target="https://docs.google.com/document/d/1LcXtHLC3mITYd7D61WMpBcAgmiuSDCu3/edit?usp=drive_link&amp;ouid=105698644568734712375&amp;rtpof=true&amp;sd=true" TargetMode="External"/><Relationship Id="rId223" Type="http://schemas.openxmlformats.org/officeDocument/2006/relationships/hyperlink" Target="https://docs.google.com/document/d/1TVJkQTQmPF0Ngyzzk4u1DkiFcYXjmscC/edit?usp=drive_link&amp;ouid=105698644568734712375&amp;rtpof=true&amp;sd=true" TargetMode="External"/><Relationship Id="rId430" Type="http://schemas.openxmlformats.org/officeDocument/2006/relationships/hyperlink" Target="https://docs.google.com/document/d/1kwo54U0NjM-zRMaZam0p-aMUpmo1ZFfV/edit?usp=drive_link&amp;ouid=105698644568734712375&amp;rtpof=true&amp;sd=true" TargetMode="External"/><Relationship Id="rId18" Type="http://schemas.openxmlformats.org/officeDocument/2006/relationships/hyperlink" Target="https://docs.google.com/document/d/1Y9y3jY7DK3HQH9mMtl4XeYncvClN9I0D/edit?usp=drive_link&amp;ouid=105698644568734712375&amp;rtpof=true&amp;sd=true" TargetMode="External"/><Relationship Id="rId265" Type="http://schemas.openxmlformats.org/officeDocument/2006/relationships/hyperlink" Target="https://docs.google.com/document/d/1qgTOOySpMuYzz66WLlAnUrCX6DZt6Bjs/edit" TargetMode="External"/><Relationship Id="rId472" Type="http://schemas.openxmlformats.org/officeDocument/2006/relationships/hyperlink" Target="https://docs.google.com/document/d/1YqN9bdYbGkpqoYk0bOURTrZwr-TkB2yM/edit" TargetMode="External"/><Relationship Id="rId528" Type="http://schemas.openxmlformats.org/officeDocument/2006/relationships/hyperlink" Target="https://docs.google.com/document/d/1omFMSgaiG6suggksN6w0nbw8Q4JPVfnj/edit" TargetMode="External"/><Relationship Id="rId125" Type="http://schemas.openxmlformats.org/officeDocument/2006/relationships/hyperlink" Target="https://docs.google.com/document/d/18xU0Qpl1PAETqnzZBGvT7H_QmCQPMER0/edit?usp=drive_link&amp;ouid=105698644568734712375&amp;rtpof=true&amp;sd=true" TargetMode="External"/><Relationship Id="rId167" Type="http://schemas.openxmlformats.org/officeDocument/2006/relationships/hyperlink" Target="https://docs.google.com/document/d/1M_dznLOowHNpujJFpOZsEQWx0-ZDzpjx/edit" TargetMode="External"/><Relationship Id="rId332" Type="http://schemas.openxmlformats.org/officeDocument/2006/relationships/hyperlink" Target="https://docs.google.com/document/d/1srDbUFedDR0ccE1H7S9p3gF2G9Creccd/edit" TargetMode="External"/><Relationship Id="rId374" Type="http://schemas.openxmlformats.org/officeDocument/2006/relationships/hyperlink" Target="https://docs.google.com/document/d/1n-xxfmwu4uYNdRbNFVES1vlyYZjhXLFU/edit?usp=drive_link&amp;ouid=105698644568734712375&amp;rtpof=true&amp;sd=true" TargetMode="External"/><Relationship Id="rId581" Type="http://schemas.openxmlformats.org/officeDocument/2006/relationships/hyperlink" Target="https://docs.google.com/document/d/15-6hxWnsauJPqv7lc2Dkvq0D9Cj5LgQD/edit?usp=drive_link&amp;ouid=105698644568734712375&amp;rtpof=true&amp;sd=true" TargetMode="External"/><Relationship Id="rId71" Type="http://schemas.openxmlformats.org/officeDocument/2006/relationships/hyperlink" Target="https://docs.google.com/document/d/1yQmBNYtdo4J21EvHw95j4w5_zHj63jzi/edit?usp=drive_link&amp;ouid=105698644568734712375&amp;rtpof=true&amp;sd=true" TargetMode="External"/><Relationship Id="rId234" Type="http://schemas.openxmlformats.org/officeDocument/2006/relationships/hyperlink" Target="https://docs.google.com/document/d/1WzK4nhPlTXRsA5-J0saIkCiBVMVg5yQW/edit?usp=drive_link&amp;ouid=105698644568734712375&amp;rtpof=true&amp;sd=true" TargetMode="External"/><Relationship Id="rId2" Type="http://schemas.openxmlformats.org/officeDocument/2006/relationships/hyperlink" Target="https://docs.google.com/document/d/1e0yBeeBhRoRyB5fcISzXZ9AwgXvT0QXl/edit?usp=drive_link&amp;ouid=105698644568734712375&amp;rtpof=true&amp;sd=true" TargetMode="External"/><Relationship Id="rId29" Type="http://schemas.openxmlformats.org/officeDocument/2006/relationships/hyperlink" Target="https://docs.google.com/document/d/1F3Xznrkb9EsJdbTBU96F9NkBeCVFLDVc/edit" TargetMode="External"/><Relationship Id="rId276" Type="http://schemas.openxmlformats.org/officeDocument/2006/relationships/hyperlink" Target="https://drive.google.com/open?id=1VF6bAQRr5BKH7eq-sb0l6SHdJVtN69Qn&amp;usp=drive_copy" TargetMode="External"/><Relationship Id="rId441" Type="http://schemas.openxmlformats.org/officeDocument/2006/relationships/hyperlink" Target="https://docs.google.com/document/d/1x-XunNQK1yXq4kpPoKVD9OwQ5ITyK-m0/edit?usp=drive_link&amp;ouid=105698644568734712375&amp;rtpof=true&amp;sd=true" TargetMode="External"/><Relationship Id="rId483" Type="http://schemas.openxmlformats.org/officeDocument/2006/relationships/hyperlink" Target="https://docs.google.com/document/d/1t5Yc6Co4AcC44Nd-haNNj5MPoEnfRHEK/edit" TargetMode="External"/><Relationship Id="rId539" Type="http://schemas.openxmlformats.org/officeDocument/2006/relationships/hyperlink" Target="https://docs.google.com/document/d/1IHQPGAhllUB7v-zPYDY7rPO3XhOni-c0/edit" TargetMode="External"/><Relationship Id="rId40" Type="http://schemas.openxmlformats.org/officeDocument/2006/relationships/hyperlink" Target="https://docs.google.com/document/d/1e_ZsVbarT44bIaNSSFrdJTNlznGZoxaX/edit?usp=drive_link&amp;ouid=105698644568734712375&amp;rtpof=true&amp;sd=true" TargetMode="External"/><Relationship Id="rId136" Type="http://schemas.openxmlformats.org/officeDocument/2006/relationships/hyperlink" Target="https://docs.google.com/document/d/1DwokTV647xELDqurwFniAu0vurpA5oIg/edit?usp=drive_link&amp;ouid=105698644568734712375&amp;rtpof=true&amp;sd=true" TargetMode="External"/><Relationship Id="rId178" Type="http://schemas.openxmlformats.org/officeDocument/2006/relationships/hyperlink" Target="https://docs.google.com/document/d/1VOsXTfPvoEvIY8J538jjAyA1sMUZdg3m/edit" TargetMode="External"/><Relationship Id="rId301" Type="http://schemas.openxmlformats.org/officeDocument/2006/relationships/hyperlink" Target="https://docs.google.com/document/d/1pG0q8Qw7TE7Mbr03jQGafLcDjT5B2Dfw/edit?usp=drive_link&amp;ouid=105698644568734712375&amp;rtpof=true&amp;sd=true" TargetMode="External"/><Relationship Id="rId343" Type="http://schemas.openxmlformats.org/officeDocument/2006/relationships/hyperlink" Target="https://docs.google.com/document/d/1TN1onIYEKHkOkhGA7p-H7ZGlZCfAj4RO/edit?usp=drive_link&amp;ouid=105698644568734712375&amp;rtpof=true&amp;sd=true" TargetMode="External"/><Relationship Id="rId550" Type="http://schemas.openxmlformats.org/officeDocument/2006/relationships/hyperlink" Target="https://docs.google.com/document/d/1PLsshK0MMi8eL5EXGQ8s9B4qIgZlBJaH/edit?usp=drive_link&amp;ouid=105698644568734712375&amp;rtpof=true&amp;sd=true" TargetMode="External"/><Relationship Id="rId82" Type="http://schemas.openxmlformats.org/officeDocument/2006/relationships/hyperlink" Target="http://dane.mapa.argis.com/" TargetMode="External"/><Relationship Id="rId203" Type="http://schemas.openxmlformats.org/officeDocument/2006/relationships/hyperlink" Target="https://docs.google.com/document/d/1_rgg87AVwk_Z9sFVnxHlXJlKIe5YWglq/edit" TargetMode="External"/><Relationship Id="rId385" Type="http://schemas.openxmlformats.org/officeDocument/2006/relationships/hyperlink" Target="https://docs.google.com/document/d/1TyJFXfm8MwEAo-w8ojLfmSpSd2phVfo4/edit" TargetMode="External"/><Relationship Id="rId592" Type="http://schemas.openxmlformats.org/officeDocument/2006/relationships/hyperlink" Target="https://docs.google.com/document/d/1q0ljkTiBH1yR5ajNocQs5CmAfIiAAg6A/edit?usp=drive_link&amp;ouid=105698644568734712375&amp;rtpof=true&amp;sd=true" TargetMode="External"/><Relationship Id="rId606" Type="http://schemas.openxmlformats.org/officeDocument/2006/relationships/hyperlink" Target="https://docs.google.com/document/d/1fZzu00z1NIJriR6DHfrn1Yw5PHWofXFO/edit?usp=drive_link&amp;ouid=105698644568734712375&amp;rtpof=true&amp;sd=true" TargetMode="External"/><Relationship Id="rId245" Type="http://schemas.openxmlformats.org/officeDocument/2006/relationships/hyperlink" Target="https://docs.google.com/document/d/14cnmytgc_GwYkOetzPLuR-q6lsg2v3PR/edit?usp=drive_link&amp;ouid=105698644568734712375&amp;rtpof=true&amp;sd=true" TargetMode="External"/><Relationship Id="rId287" Type="http://schemas.openxmlformats.org/officeDocument/2006/relationships/hyperlink" Target="https://docs.google.com/document/d/1H-HymDaOnja76qEUd22oP9Y1iOI39XMI/edit?usp=drive_link&amp;ouid=105698644568734712375&amp;rtpof=true&amp;sd=true" TargetMode="External"/><Relationship Id="rId410" Type="http://schemas.openxmlformats.org/officeDocument/2006/relationships/hyperlink" Target="https://docs.google.com/document/d/1Q8Jvdl3QbKyo1t6ZxVWSBYff4bV81B_W/edit?usp=drive_link&amp;ouid=105698644568734712375&amp;rtpof=true&amp;sd=true" TargetMode="External"/><Relationship Id="rId452" Type="http://schemas.openxmlformats.org/officeDocument/2006/relationships/hyperlink" Target="https://docs.google.com/document/d/1os3LPS5M0lKsfvZRXpuf87exXiDMi00K/edit" TargetMode="External"/><Relationship Id="rId494" Type="http://schemas.openxmlformats.org/officeDocument/2006/relationships/hyperlink" Target="https://docs.google.com/document/d/1fBiZs8QwBMu7lHiKir6RXKV1lUSuXr1W/edit" TargetMode="External"/><Relationship Id="rId508" Type="http://schemas.openxmlformats.org/officeDocument/2006/relationships/hyperlink" Target="https://docs.google.com/document/d/1-R_XWTC6lcW8H4NDgaGgg7zvZDXyKzkY/edit" TargetMode="External"/><Relationship Id="rId105" Type="http://schemas.openxmlformats.org/officeDocument/2006/relationships/hyperlink" Target="https://docs.google.com/document/d/1uewh6PSYq9F4pxPsPeuMGa1sLxFeeQ99/edit?usp=drive_link&amp;ouid=105698644568734712375&amp;rtpof=true&amp;sd=true" TargetMode="External"/><Relationship Id="rId147" Type="http://schemas.openxmlformats.org/officeDocument/2006/relationships/hyperlink" Target="https://docs.google.com/document/d/1qavH-jvWUcWi5pX_KnmRdviCXLsosvb_/edit?usp=drive_link&amp;ouid=105698644568734712375&amp;rtpof=true&amp;sd=true" TargetMode="External"/><Relationship Id="rId312" Type="http://schemas.openxmlformats.org/officeDocument/2006/relationships/hyperlink" Target="https://docs.google.com/document/d/1ypzbzvb5YzBSA4oigWPrchutR76cixdq/edit" TargetMode="External"/><Relationship Id="rId354" Type="http://schemas.openxmlformats.org/officeDocument/2006/relationships/hyperlink" Target="https://docs.google.com/document/d/1F5m03RknSjP-8-XuqyFT15uFnFz-W-_i/edit" TargetMode="External"/><Relationship Id="rId51" Type="http://schemas.openxmlformats.org/officeDocument/2006/relationships/hyperlink" Target="https://drive.google.com/open?id=12hU9dgD8_4SBDry2_tplGpXlmFaDwD7C&amp;usp=drive_copy" TargetMode="External"/><Relationship Id="rId93" Type="http://schemas.openxmlformats.org/officeDocument/2006/relationships/hyperlink" Target="https://docs.google.com/document/d/1nkuiE8ud9VMTqZnZRCAArmf3r12OxGhw/edit?usp=drive_link&amp;ouid=105698644568734712375&amp;rtpof=true&amp;sd=true" TargetMode="External"/><Relationship Id="rId189" Type="http://schemas.openxmlformats.org/officeDocument/2006/relationships/hyperlink" Target="https://docs.google.com/document/d/1Ip6PCNyZqc_Q3AZcfoUJuRWH2AGUCxTe/edit" TargetMode="External"/><Relationship Id="rId396" Type="http://schemas.openxmlformats.org/officeDocument/2006/relationships/hyperlink" Target="https://docs.google.com/document/d/1yVuqqpODPGQ7YY0pu8suLICYrYRLKutU/edit?usp=drive_link&amp;ouid=105698644568734712375&amp;rtpof=true&amp;sd=true" TargetMode="External"/><Relationship Id="rId561" Type="http://schemas.openxmlformats.org/officeDocument/2006/relationships/hyperlink" Target="https://docs.google.com/document/d/1rauKT4nw701aq4djbeJYAA2DB23vgqD7/edit" TargetMode="External"/><Relationship Id="rId617" Type="http://schemas.openxmlformats.org/officeDocument/2006/relationships/hyperlink" Target="https://docs.google.com/document/d/1BYGJP4A35GYykX00VkDuIvCJbj3b7n0-/edit?usp=drive_link&amp;ouid=105698644568734712375&amp;rtpof=true&amp;sd=true" TargetMode="External"/><Relationship Id="rId214" Type="http://schemas.openxmlformats.org/officeDocument/2006/relationships/hyperlink" Target="https://docs.google.com/document/d/197sc9AZVEBNkIuQu8TJGL56vtzZiWT7R/edit" TargetMode="External"/><Relationship Id="rId256" Type="http://schemas.openxmlformats.org/officeDocument/2006/relationships/hyperlink" Target="https://docs.google.com/document/d/1dZorPtZtmOyWuRXOvGE-B3W-H3akCCNP/edit?usp=drive_link&amp;ouid=105698644568734712375&amp;rtpof=true&amp;sd=true" TargetMode="External"/><Relationship Id="rId298" Type="http://schemas.openxmlformats.org/officeDocument/2006/relationships/hyperlink" Target="https://docs.google.com/document/d/1hcpacJKrw3XvOu1HwOlm91toUqqX3olj/edit" TargetMode="External"/><Relationship Id="rId421" Type="http://schemas.openxmlformats.org/officeDocument/2006/relationships/hyperlink" Target="https://docs.google.com/document/d/13uAL9MO5t6XBxbfMeSOIs3nrsYF8m9bw/edit" TargetMode="External"/><Relationship Id="rId463" Type="http://schemas.openxmlformats.org/officeDocument/2006/relationships/hyperlink" Target="https://docs.google.com/document/d/1RBlpKZFDt5L6oFyk8_dA-1MBThikPSJw/edit?usp=drive_link&amp;ouid=105698644568734712375&amp;rtpof=true&amp;sd=true" TargetMode="External"/><Relationship Id="rId519" Type="http://schemas.openxmlformats.org/officeDocument/2006/relationships/hyperlink" Target="https://docs.google.com/document/d/1QhRBEQVy-KbxdKIdTYihm-r9vuSC_Y0A/edit?usp=drive_link&amp;ouid=105698644568734712375&amp;rtpof=true&amp;sd=true" TargetMode="External"/><Relationship Id="rId116" Type="http://schemas.openxmlformats.org/officeDocument/2006/relationships/hyperlink" Target="https://docs.google.com/document/d/14px326IWSmwsqXGd9NYdHY74MsbUKMpa/edit?usp=drive_link&amp;ouid=105698644568734712375&amp;rtpof=true&amp;sd=true" TargetMode="External"/><Relationship Id="rId158" Type="http://schemas.openxmlformats.org/officeDocument/2006/relationships/hyperlink" Target="https://docs.google.com/document/d/1t3sEQVl_pwEceaejXwI79wZ_s_i3AoDw/edit" TargetMode="External"/><Relationship Id="rId323" Type="http://schemas.openxmlformats.org/officeDocument/2006/relationships/hyperlink" Target="https://docs.google.com/document/d/1pTHRQF1Xv1nON-643M0XpeyDTfMIgQAq/edit?usp=drive_link&amp;ouid=105698644568734712375&amp;rtpof=true&amp;sd=true" TargetMode="External"/><Relationship Id="rId530" Type="http://schemas.openxmlformats.org/officeDocument/2006/relationships/hyperlink" Target="https://docs.google.com/document/d/1mce92JmSWaSKg0EZYlaqvU_jn_4MQ7Xk/edit" TargetMode="External"/><Relationship Id="rId20" Type="http://schemas.openxmlformats.org/officeDocument/2006/relationships/hyperlink" Target="https://drive.google.com/open?id=1btMq7BWLhi1zGxW-BVXAx-TnSl0gaVVK&amp;usp=drive_copy" TargetMode="External"/><Relationship Id="rId62" Type="http://schemas.openxmlformats.org/officeDocument/2006/relationships/hyperlink" Target="https://docs.google.com/document/d/1uCW2fJeJAqqezdF-8HV2LkoWWDfLzGcp/edit?usp=drive_link&amp;ouid=105698644568734712375&amp;rtpof=true&amp;sd=true" TargetMode="External"/><Relationship Id="rId365" Type="http://schemas.openxmlformats.org/officeDocument/2006/relationships/hyperlink" Target="https://docs.google.com/document/d/1GpTA-jhDVaZmii96N1onnimv9Hpsvi1R/edit" TargetMode="External"/><Relationship Id="rId572" Type="http://schemas.openxmlformats.org/officeDocument/2006/relationships/hyperlink" Target="https://docs.google.com/document/d/16KkH8DWLUuFSRrcHQW02vqWjPJNiccil/edit?usp=drive_link&amp;ouid=105698644568734712375&amp;rtpof=true&amp;sd=true" TargetMode="External"/><Relationship Id="rId225" Type="http://schemas.openxmlformats.org/officeDocument/2006/relationships/hyperlink" Target="https://docs.google.com/document/d/1bKMCrdHP_Resq9KoiXubAR4tZTdEFRQv/edit?usp=drive_link&amp;ouid=105698644568734712375&amp;rtpof=true&amp;sd=true" TargetMode="External"/><Relationship Id="rId267" Type="http://schemas.openxmlformats.org/officeDocument/2006/relationships/hyperlink" Target="https://docs.google.com/document/d/1k06fYpOBSAkVh5JmyBhwPPQu20NDsvtV/edit" TargetMode="External"/><Relationship Id="rId432" Type="http://schemas.openxmlformats.org/officeDocument/2006/relationships/hyperlink" Target="https://docs.google.com/document/d/10JnDM_zWbPpvRaFBK6UxdSoJDaCf4Arn/edit?usp=drive_link&amp;ouid=105698644568734712375&amp;rtpof=true&amp;sd=true" TargetMode="External"/><Relationship Id="rId474" Type="http://schemas.openxmlformats.org/officeDocument/2006/relationships/hyperlink" Target="https://docs.google.com/document/d/1J8DY8D5veJM89xMTXdApDPoXhPzaVHHt/edit" TargetMode="External"/><Relationship Id="rId127" Type="http://schemas.openxmlformats.org/officeDocument/2006/relationships/hyperlink" Target="https://docs.google.com/document/d/1fq7A3N3WhbjeR01JK-VBIY-lRZGdIMku/edit" TargetMode="External"/><Relationship Id="rId31" Type="http://schemas.openxmlformats.org/officeDocument/2006/relationships/hyperlink" Target="https://docs.google.com/document/d/1iVbq8UNUbttlt9HYQ-S65HVYLKOK7Y2C/edit" TargetMode="External"/><Relationship Id="rId73" Type="http://schemas.openxmlformats.org/officeDocument/2006/relationships/hyperlink" Target="https://drive.google.com/open?id=1qpjPGYN0OIJTl-qLA8E9MJe2KsowR7Io&amp;usp=drive_copy" TargetMode="External"/><Relationship Id="rId169" Type="http://schemas.openxmlformats.org/officeDocument/2006/relationships/hyperlink" Target="https://docs.google.com/document/d/10jwEhhQzVUQrYjUC8eJB1BeNUpjMWzkj/edit" TargetMode="External"/><Relationship Id="rId334" Type="http://schemas.openxmlformats.org/officeDocument/2006/relationships/hyperlink" Target="https://docs.google.com/document/d/10B4iR-oP0i9prp6odgoWcZTkoiTJBn7Q/edit?usp=drive_link&amp;ouid=105698644568734712375&amp;rtpof=true&amp;sd=true" TargetMode="External"/><Relationship Id="rId376" Type="http://schemas.openxmlformats.org/officeDocument/2006/relationships/hyperlink" Target="https://docs.google.com/document/d/1ew3nI9ZJkshs7r6vAoU1Hxp-4YMChIzs/edit?usp=drive_link&amp;ouid=105698644568734712375&amp;rtpof=true&amp;sd=true" TargetMode="External"/><Relationship Id="rId541" Type="http://schemas.openxmlformats.org/officeDocument/2006/relationships/hyperlink" Target="https://docs.google.com/document/d/1qLtBSBs-1xzSEwoPlRDVSQ-N3Oeiy-8_/edit?usp=drive_link&amp;ouid=105698644568734712375&amp;rtpof=true&amp;sd=true" TargetMode="External"/><Relationship Id="rId583" Type="http://schemas.openxmlformats.org/officeDocument/2006/relationships/hyperlink" Target="https://docs.google.com/document/d/1WyuTwESon6q6ddRHL24c44yNCWpsM-1x/edit?usp=drive_link&amp;ouid=105698644568734712375&amp;rtpof=true&amp;sd=true" TargetMode="External"/><Relationship Id="rId4" Type="http://schemas.openxmlformats.org/officeDocument/2006/relationships/hyperlink" Target="https://docs.google.com/document/d/1c-PcjAxvqYjbvL_s0TY8Ah0eN7D9fTup/edit?usp=drive_link&amp;ouid=105698644568734712375&amp;rtpof=true&amp;sd=true" TargetMode="External"/><Relationship Id="rId180" Type="http://schemas.openxmlformats.org/officeDocument/2006/relationships/hyperlink" Target="https://docs.google.com/document/d/1XIm4FP1FNYnqq7HdaPdI4n-rWqOZbZzR/edit?usp=drive_link&amp;ouid=105698644568734712375&amp;rtpof=true&amp;sd=true" TargetMode="External"/><Relationship Id="rId236" Type="http://schemas.openxmlformats.org/officeDocument/2006/relationships/hyperlink" Target="https://docs.google.com/document/d/1cFBVTbKVX4dQc5nOKWrI34b794WhTqmk/edit" TargetMode="External"/><Relationship Id="rId278" Type="http://schemas.openxmlformats.org/officeDocument/2006/relationships/hyperlink" Target="https://drive.google.com/open?id=1tdqTaMTm9BcxlMAnsnDZL06pLJ4nVaBF&amp;usp=drive_copy" TargetMode="External"/><Relationship Id="rId401" Type="http://schemas.openxmlformats.org/officeDocument/2006/relationships/hyperlink" Target="https://docs.google.com/document/d/1WO5nIf8dEMac5Ip9UnZLszte_ArksR3C/edit" TargetMode="External"/><Relationship Id="rId443" Type="http://schemas.openxmlformats.org/officeDocument/2006/relationships/hyperlink" Target="https://docs.google.com/document/d/1t-ieVgK6hLkVAFb_0mBNi8uzsqjCFDvt/edit?usp=drive_link&amp;ouid=105698644568734712375&amp;rtpof=true&amp;sd=true" TargetMode="External"/><Relationship Id="rId303" Type="http://schemas.openxmlformats.org/officeDocument/2006/relationships/hyperlink" Target="https://docs.google.com/document/d/1e1k-wuod_YYNCRfEAeSOHyQ-Tww8aW76/edit?usp=drive_link&amp;ouid=105698644568734712375&amp;rtpof=true&amp;sd=true" TargetMode="External"/><Relationship Id="rId485" Type="http://schemas.openxmlformats.org/officeDocument/2006/relationships/hyperlink" Target="https://docs.google.com/document/d/1wjkwebtJun70SyyGcwv6BoqQvI7oFOMg/edit" TargetMode="External"/><Relationship Id="rId42" Type="http://schemas.openxmlformats.org/officeDocument/2006/relationships/hyperlink" Target="https://docs.google.com/document/d/1wZ7Sr4NU3NOs2blbSaFAXXD-Rp6W__DW/edit?usp=drive_link&amp;ouid=105698644568734712375&amp;rtpof=true&amp;sd=true" TargetMode="External"/><Relationship Id="rId84" Type="http://schemas.openxmlformats.org/officeDocument/2006/relationships/hyperlink" Target="https://docs.google.com/document/d/1MCmA4LDC-oX2FLksY-_ejnoVOnNdbUQj/edit?usp=drive_link&amp;ouid=105698644568734712375&amp;rtpof=true&amp;sd=true" TargetMode="External"/><Relationship Id="rId138" Type="http://schemas.openxmlformats.org/officeDocument/2006/relationships/hyperlink" Target="https://docs.google.com/document/d/1YbiJ4_DixCeGCPygMmbfciLkAycNwt-9/edit?usp=drive_link&amp;ouid=105698644568734712375&amp;rtpof=true&amp;sd=true" TargetMode="External"/><Relationship Id="rId345" Type="http://schemas.openxmlformats.org/officeDocument/2006/relationships/hyperlink" Target="https://docs.google.com/document/d/1ugcO_Cf8HmvI1TDaz6BB43e78EmjW27V/edit?usp=drive_link&amp;ouid=105698644568734712375&amp;rtpof=true&amp;sd=true" TargetMode="External"/><Relationship Id="rId387" Type="http://schemas.openxmlformats.org/officeDocument/2006/relationships/hyperlink" Target="https://docs.google.com/document/d/1xx8dmyRTfQMFsbcd5w1bM3MJEYfpA55f/edit" TargetMode="External"/><Relationship Id="rId510" Type="http://schemas.openxmlformats.org/officeDocument/2006/relationships/hyperlink" Target="https://docs.google.com/document/d/1KowkhMleUyCaDRFcqIVjS5Wmt70bXKaH/edit" TargetMode="External"/><Relationship Id="rId552" Type="http://schemas.openxmlformats.org/officeDocument/2006/relationships/hyperlink" Target="https://docs.google.com/document/d/1yjDw9BVcPTdqWwO_MOcj8_ObqAQHpqFQ/edit?usp=drive_link&amp;ouid=105698644568734712375&amp;rtpof=true&amp;sd=true" TargetMode="External"/><Relationship Id="rId594" Type="http://schemas.openxmlformats.org/officeDocument/2006/relationships/hyperlink" Target="https://docs.google.com/document/d/1pH3q5GDq-3R2O48wAfbUIRxoi4LDSMi9/edit?usp=drive_link&amp;ouid=105698644568734712375&amp;rtpof=true&amp;sd=true" TargetMode="External"/><Relationship Id="rId608" Type="http://schemas.openxmlformats.org/officeDocument/2006/relationships/hyperlink" Target="https://docs.google.com/document/d/15xt7mKHI7AJN7xXgnW2xVdeOLLgfefX-/edit?usp=drive_link&amp;ouid=105698644568734712375&amp;rtpof=true&amp;sd=true" TargetMode="External"/><Relationship Id="rId191" Type="http://schemas.openxmlformats.org/officeDocument/2006/relationships/hyperlink" Target="https://docs.google.com/document/d/1ox7KpsSG9OS3kZ9fqzmqq7PmbKK03ag8/edit" TargetMode="External"/><Relationship Id="rId205" Type="http://schemas.openxmlformats.org/officeDocument/2006/relationships/hyperlink" Target="https://docs.google.com/document/d/13cd91CngsoluDGPGxhLYMzesv5Wo8sUc/edit?usp=drive_link&amp;ouid=105698644568734712375&amp;rtpof=true&amp;sd=true" TargetMode="External"/><Relationship Id="rId247" Type="http://schemas.openxmlformats.org/officeDocument/2006/relationships/hyperlink" Target="https://docs.google.com/document/d/14hZ1YJhrAgmwJPnTNuhcq3HBLy5DMb2T/edit?usp=drive_link&amp;ouid=105698644568734712375&amp;rtpof=true&amp;sd=true" TargetMode="External"/><Relationship Id="rId412" Type="http://schemas.openxmlformats.org/officeDocument/2006/relationships/hyperlink" Target="https://docs.google.com/document/d/10FkiunW74SKr4Ac6ttMWFdrClpNKOHXG/edit?usp=drive_link&amp;ouid=105698644568734712375&amp;rtpof=true&amp;sd=true" TargetMode="External"/><Relationship Id="rId107" Type="http://schemas.openxmlformats.org/officeDocument/2006/relationships/hyperlink" Target="https://docs.google.com/document/d/1rCK1TtyMTQovF7x8O3aN-jy0cKAlIvw4/edit?usp=drive_link&amp;ouid=105698644568734712375&amp;rtpof=true&amp;sd=true" TargetMode="External"/><Relationship Id="rId289" Type="http://schemas.openxmlformats.org/officeDocument/2006/relationships/hyperlink" Target="https://docs.google.com/document/d/1Cq43THxsBrdRTYcpYR_X9m9tsNoZF_Sr/edit?usp=drive_link&amp;ouid=105698644568734712375&amp;rtpof=true&amp;sd=true" TargetMode="External"/><Relationship Id="rId454" Type="http://schemas.openxmlformats.org/officeDocument/2006/relationships/hyperlink" Target="https://docs.google.com/document/d/1cJqBM7JmDV-gDe9ZuKHjd5-aUNHv0zi9/edit" TargetMode="External"/><Relationship Id="rId496" Type="http://schemas.openxmlformats.org/officeDocument/2006/relationships/hyperlink" Target="https://docs.google.com/document/d/1BO_Z5L-8XrbeVVxSeloTmbcob7m-f9ta/edit" TargetMode="External"/><Relationship Id="rId11" Type="http://schemas.openxmlformats.org/officeDocument/2006/relationships/hyperlink" Target="https://docs.google.com/document/d/1XyZKf-TBILh35ZRW6UObs6qc4_rVMMmv/edit" TargetMode="External"/><Relationship Id="rId53" Type="http://schemas.openxmlformats.org/officeDocument/2006/relationships/hyperlink" Target="https://docs.google.com/document/d/1oBsqAGZqaU1FHMC6riESwsgCKr-AN2gp/edit?usp=drive_link&amp;ouid=105698644568734712375&amp;rtpof=true&amp;sd=true" TargetMode="External"/><Relationship Id="rId149" Type="http://schemas.openxmlformats.org/officeDocument/2006/relationships/hyperlink" Target="https://docs.google.com/document/d/18KCqGK97pnR7WgujWmKiFtrYPgM68Kqk/edit?usp=drive_link&amp;ouid=105698644568734712375&amp;rtpof=true&amp;sd=true" TargetMode="External"/><Relationship Id="rId314" Type="http://schemas.openxmlformats.org/officeDocument/2006/relationships/hyperlink" Target="https://docs.google.com/document/d/1jHje31kwNIpxOGUbjnhOud4JohJUeyBx/edit" TargetMode="External"/><Relationship Id="rId356" Type="http://schemas.openxmlformats.org/officeDocument/2006/relationships/hyperlink" Target="https://docs.google.com/document/d/1fbYuatdi-ntvnvFkUDP_RaRCnZNlWOvd/edit" TargetMode="External"/><Relationship Id="rId398" Type="http://schemas.openxmlformats.org/officeDocument/2006/relationships/hyperlink" Target="https://docs.google.com/document/d/1p1TrMBFf8nIEODoH5Y-V0aSy5MQhXCiV/edit?usp=drive_link&amp;ouid=105698644568734712375&amp;rtpof=true&amp;sd=true" TargetMode="External"/><Relationship Id="rId521" Type="http://schemas.openxmlformats.org/officeDocument/2006/relationships/hyperlink" Target="https://docs.google.com/document/d/1254HkAmNIaiSQkHIOy0_7iBUGeazqwYx/edit?usp=drive_link&amp;ouid=105698644568734712375&amp;rtpof=true&amp;sd=true" TargetMode="External"/><Relationship Id="rId563" Type="http://schemas.openxmlformats.org/officeDocument/2006/relationships/hyperlink" Target="https://docs.google.com/document/d/1zGb_nVnv9mFOTsZH5lpfeWWN4XTd-CUg/edit" TargetMode="External"/><Relationship Id="rId619" Type="http://schemas.openxmlformats.org/officeDocument/2006/relationships/vmlDrawing" Target="../drawings/vmlDrawing1.vml"/><Relationship Id="rId95" Type="http://schemas.openxmlformats.org/officeDocument/2006/relationships/hyperlink" Target="https://docs.google.com/document/d/1XDCFtPgGqtacZW9JDBFDPmCNeTZdNZDq/edit?usp=drive_link&amp;ouid=105698644568734712375&amp;rtpof=true&amp;sd=true" TargetMode="External"/><Relationship Id="rId160" Type="http://schemas.openxmlformats.org/officeDocument/2006/relationships/hyperlink" Target="https://docs.google.com/document/d/1XaD3oRWms_PiW5gtbKYQas4WwYPFElPJ/edit?usp=drive_link&amp;ouid=105698644568734712375&amp;rtpof=true&amp;sd=true" TargetMode="External"/><Relationship Id="rId216" Type="http://schemas.openxmlformats.org/officeDocument/2006/relationships/hyperlink" Target="https://docs.google.com/document/d/1VQ3RWgRsXM_yCDE0rikLC85TueFztU5-/edit?usp=drive_link&amp;ouid=105698644568734712375&amp;rtpof=true&amp;sd=true" TargetMode="External"/><Relationship Id="rId423" Type="http://schemas.openxmlformats.org/officeDocument/2006/relationships/hyperlink" Target="https://docs.google.com/document/d/1xuVXZVTfjJbtJA6j72fc1thbMC0JmlrM/edit" TargetMode="External"/><Relationship Id="rId258" Type="http://schemas.openxmlformats.org/officeDocument/2006/relationships/hyperlink" Target="https://docs.google.com/document/d/1LJX_v3bpHVgK5_aaVTPZWm7JB9IvX0qi/edit?usp=drive_link&amp;ouid=105698644568734712375&amp;rtpof=true&amp;sd=true" TargetMode="External"/><Relationship Id="rId465" Type="http://schemas.openxmlformats.org/officeDocument/2006/relationships/hyperlink" Target="https://docs.google.com/document/d/1aVv5OjrW66pGgDxBnK9J9HEHfzyuf7H2/edit?usp=drive_link&amp;ouid=105698644568734712375&amp;rtpof=true&amp;sd=true" TargetMode="External"/><Relationship Id="rId22" Type="http://schemas.openxmlformats.org/officeDocument/2006/relationships/hyperlink" Target="https://docs.google.com/document/d/193_xlXa0n-9RIX59Aayk_wu6C9O6PK80/edit?usp=drive_link&amp;ouid=105698644568734712375&amp;rtpof=true&amp;sd=true" TargetMode="External"/><Relationship Id="rId64" Type="http://schemas.openxmlformats.org/officeDocument/2006/relationships/hyperlink" Target="https://docs.google.com/document/d/1siaggJrTFdynyj6h9AGSu38iivP12iXU/edit?usp=drive_link&amp;ouid=105698644568734712375&amp;rtpof=true&amp;sd=true" TargetMode="External"/><Relationship Id="rId118" Type="http://schemas.openxmlformats.org/officeDocument/2006/relationships/hyperlink" Target="https://docs.google.com/document/d/1omzfNtlM35qWlJnsBvei_chjsURBvC9d/edit?usp=drive_link&amp;ouid=105698644568734712375&amp;rtpof=true&amp;sd=true" TargetMode="External"/><Relationship Id="rId325" Type="http://schemas.openxmlformats.org/officeDocument/2006/relationships/hyperlink" Target="https://docs.google.com/document/d/1PfENAgziEHSi52bqBBX3DZRsrM7YXheN/edit?usp=drive_link&amp;ouid=105698644568734712375&amp;rtpof=true&amp;sd=true" TargetMode="External"/><Relationship Id="rId367" Type="http://schemas.openxmlformats.org/officeDocument/2006/relationships/hyperlink" Target="https://docs.google.com/document/d/1QlddbTviTONR_Ebbb5dWowSVbJHoRNRI/edit" TargetMode="External"/><Relationship Id="rId532" Type="http://schemas.openxmlformats.org/officeDocument/2006/relationships/hyperlink" Target="https://docs.google.com/document/d/13Z5sOwti-F_6vpX1APRmyHpAG7lg-50E/edit" TargetMode="External"/><Relationship Id="rId574" Type="http://schemas.openxmlformats.org/officeDocument/2006/relationships/hyperlink" Target="https://docs.google.com/document/d/1o46nawVjEckXkE-B0maU5eIQkHlVUlhq/edit?usp=drive_link&amp;ouid=105698644568734712375&amp;rtpof=true&amp;sd=true" TargetMode="External"/><Relationship Id="rId171" Type="http://schemas.openxmlformats.org/officeDocument/2006/relationships/hyperlink" Target="https://drive.google.com/open?id=19fMcPoxcq1lIxoVsfZB_SJMpPR6kfUF3&amp;usp=drive_copy" TargetMode="External"/><Relationship Id="rId227" Type="http://schemas.openxmlformats.org/officeDocument/2006/relationships/hyperlink" Target="https://docs.google.com/document/d/1LGKTG153sujkfECzKjEWd7PVxGpwWvFE/edit?usp=drive_link&amp;ouid=105698644568734712375&amp;rtpof=true&amp;sd=true" TargetMode="External"/><Relationship Id="rId269" Type="http://schemas.openxmlformats.org/officeDocument/2006/relationships/hyperlink" Target="https://docs.google.com/document/d/1FZpHfTkyds1qZX73EaM0xdB7KtGSNvEu/edit" TargetMode="External"/><Relationship Id="rId434" Type="http://schemas.openxmlformats.org/officeDocument/2006/relationships/hyperlink" Target="https://docs.google.com/document/d/1ghXa-fAEmkjxBHI-sv1EwKFLaqahgHHt/edit?usp=drive_link&amp;ouid=105698644568734712375&amp;rtpof=true&amp;sd=true" TargetMode="External"/><Relationship Id="rId476" Type="http://schemas.openxmlformats.org/officeDocument/2006/relationships/hyperlink" Target="https://docs.google.com/document/d/1esHBN33JsMbUkXAkPtFjUBsUAuHVf_fa/edit?usp=drive_link&amp;ouid=105698644568734712375&amp;rtpof=true&amp;sd=true" TargetMode="External"/><Relationship Id="rId33" Type="http://schemas.openxmlformats.org/officeDocument/2006/relationships/hyperlink" Target="https://docs.google.com/document/d/14J6lNc54cO3jUL1iL0kVfKn5pvx9V96X/edit" TargetMode="External"/><Relationship Id="rId129" Type="http://schemas.openxmlformats.org/officeDocument/2006/relationships/hyperlink" Target="https://docs.google.com/document/d/1L2kjmjGczkMg-kQzm-9DOiDHW-b58nB4/edit" TargetMode="External"/><Relationship Id="rId280" Type="http://schemas.openxmlformats.org/officeDocument/2006/relationships/hyperlink" Target="https://docs.google.com/document/d/1D-c3ApBqssBmSua5W-l9Ydrd2Hii2rAl/edit?usp=drive_link&amp;ouid=105698644568734712375&amp;rtpof=true&amp;sd=true" TargetMode="External"/><Relationship Id="rId336" Type="http://schemas.openxmlformats.org/officeDocument/2006/relationships/hyperlink" Target="https://docs.google.com/document/d/1BOpqhomb2O9Y05sd4qdEVsz9Qe_KzZha/edit?usp=drive_link&amp;ouid=105698644568734712375&amp;rtpof=true&amp;sd=true" TargetMode="External"/><Relationship Id="rId501" Type="http://schemas.openxmlformats.org/officeDocument/2006/relationships/hyperlink" Target="https://docs.google.com/document/d/19OQbnxjdQ9AfjU1Ok4bTU6qZjoKCqAy7/edit?usp=drive_link&amp;ouid=105698644568734712375&amp;rtpof=true&amp;sd=true" TargetMode="External"/><Relationship Id="rId543" Type="http://schemas.openxmlformats.org/officeDocument/2006/relationships/hyperlink" Target="https://docs.google.com/document/d/1UIZ4tPLbv2BmL03OC1fZft2QhNln5Ctl/edit?usp=drive_link&amp;ouid=105698644568734712375&amp;rtpof=true&amp;sd=true" TargetMode="External"/><Relationship Id="rId75" Type="http://schemas.openxmlformats.org/officeDocument/2006/relationships/hyperlink" Target="https://docs.google.com/document/d/1QDILSArxu10cJEKPMe2NTvbARGCC5Aa2/edit?usp=drive_link&amp;ouid=105698644568734712375&amp;rtpof=true&amp;sd=true" TargetMode="External"/><Relationship Id="rId140" Type="http://schemas.openxmlformats.org/officeDocument/2006/relationships/hyperlink" Target="https://docs.google.com/document/d/1NvYXd2C3fqwi6nSlCUtuVCm3iBW5-532/edit?usp=drive_link&amp;ouid=105698644568734712375&amp;rtpof=true&amp;sd=true" TargetMode="External"/><Relationship Id="rId182" Type="http://schemas.openxmlformats.org/officeDocument/2006/relationships/hyperlink" Target="https://docs.google.com/document/d/1OiGwW5TwC1rzWEoSsag7eM_D2D-OqIgC/edit?usp=drive_link&amp;ouid=105698644568734712375&amp;rtpof=true&amp;sd=true" TargetMode="External"/><Relationship Id="rId378" Type="http://schemas.openxmlformats.org/officeDocument/2006/relationships/hyperlink" Target="https://docs.google.com/document/d/1K0QiW0jbBhOj-C2T4wHPZWApMWmZsXTG/edit?usp=drive_link&amp;ouid=105698644568734712375&amp;rtpof=true&amp;sd=true" TargetMode="External"/><Relationship Id="rId403" Type="http://schemas.openxmlformats.org/officeDocument/2006/relationships/hyperlink" Target="https://docs.google.com/document/d/1hVyQedCPo2KHBv4VO4ixmECOHbd1yuvm/edit" TargetMode="External"/><Relationship Id="rId585" Type="http://schemas.openxmlformats.org/officeDocument/2006/relationships/hyperlink" Target="https://docs.google.com/document/d/1aCg6X5Gd6tb4rFUNgz-a2yEWR5PNMVwj/edit?usp=drive_link&amp;ouid=105698644568734712375&amp;rtpof=true&amp;sd=true" TargetMode="External"/><Relationship Id="rId6" Type="http://schemas.openxmlformats.org/officeDocument/2006/relationships/hyperlink" Target="https://docs.google.com/document/d/18SZp6KA3EAY1vaCweFKYtoPrH65WrfV9/edit?usp=drive_link&amp;ouid=105698644568734712375&amp;rtpof=true&amp;sd=true" TargetMode="External"/><Relationship Id="rId238" Type="http://schemas.openxmlformats.org/officeDocument/2006/relationships/hyperlink" Target="https://docs.google.com/document/d/1cAaltDJx1R1NEZsi_a1ALv47M4M0gyqV/edit" TargetMode="External"/><Relationship Id="rId445" Type="http://schemas.openxmlformats.org/officeDocument/2006/relationships/hyperlink" Target="https://docs.google.com/document/d/1SiKcwo7tAYMijMOxzGtPQiZhY-uDoU31/edit?usp=drive_link&amp;ouid=105698644568734712375&amp;rtpof=true&amp;sd=true" TargetMode="External"/><Relationship Id="rId487" Type="http://schemas.openxmlformats.org/officeDocument/2006/relationships/hyperlink" Target="https://docs.google.com/document/d/1eBadlwKADtSXQz31faaRBfWYCVof0yb2/edit" TargetMode="External"/><Relationship Id="rId610" Type="http://schemas.openxmlformats.org/officeDocument/2006/relationships/hyperlink" Target="https://docs.google.com/document/d/1gyDfmowvGVBx9zrTahJnBX7TDO34ksWk/edit?usp=drive_link&amp;ouid=105698644568734712375&amp;rtpof=true&amp;sd=true" TargetMode="External"/><Relationship Id="rId291" Type="http://schemas.openxmlformats.org/officeDocument/2006/relationships/hyperlink" Target="https://drive.google.com/open?id=1MB8ZP_OUnysPTc-xYsMa000r6fYOuiMi&amp;usp=drive_copy" TargetMode="External"/><Relationship Id="rId305" Type="http://schemas.openxmlformats.org/officeDocument/2006/relationships/hyperlink" Target="https://docs.google.com/document/d/1C8kmh11vZYw3EOAmt2YMkmeCegf7z50s/edit?usp=drive_link&amp;ouid=105698644568734712375&amp;rtpof=true&amp;sd=true" TargetMode="External"/><Relationship Id="rId347" Type="http://schemas.openxmlformats.org/officeDocument/2006/relationships/hyperlink" Target="https://docs.google.com/document/d/13UoBITTODpdIlvoV2JbUAlsQEtn2giA9/edit?usp=drive_link&amp;ouid=105698644568734712375&amp;rtpof=true&amp;sd=true" TargetMode="External"/><Relationship Id="rId512" Type="http://schemas.openxmlformats.org/officeDocument/2006/relationships/hyperlink" Target="https://docs.google.com/document/d/1-8Kg0FxcHAK0oELAG8jRNnoV8lRjJFMj/edit" TargetMode="External"/><Relationship Id="rId44" Type="http://schemas.openxmlformats.org/officeDocument/2006/relationships/hyperlink" Target="https://docs.google.com/document/d/1JpC6I55haMHrNIqXj7vbk5NfOCXLJ0Kc/edit?usp=drive_link&amp;ouid=105698644568734712375&amp;rtpof=true&amp;sd=true" TargetMode="External"/><Relationship Id="rId86" Type="http://schemas.openxmlformats.org/officeDocument/2006/relationships/hyperlink" Target="https://docs.google.com/document/d/1DkB6h2DJRRpjKashpEkVL0yNahANgLlg/edit?usp=drive_link&amp;ouid=105698644568734712375&amp;rtpof=true&amp;sd=true" TargetMode="External"/><Relationship Id="rId151" Type="http://schemas.openxmlformats.org/officeDocument/2006/relationships/hyperlink" Target="https://docs.google.com/document/d/1-gRwbWqqeLZA3_J4_MTttA5Y3KQd0yBL/edit?usp=drive_link&amp;ouid=105698644568734712375&amp;rtpof=true&amp;sd=true" TargetMode="External"/><Relationship Id="rId389" Type="http://schemas.openxmlformats.org/officeDocument/2006/relationships/hyperlink" Target="https://docs.google.com/document/d/1j4GAPMa72d1FqXZoF8SAwDzSVo-qB2hc/edit" TargetMode="External"/><Relationship Id="rId554" Type="http://schemas.openxmlformats.org/officeDocument/2006/relationships/hyperlink" Target="https://docs.google.com/document/d/1l1J7oDayUiSC71HEBXv8UfjTCjcbUCGu/edit?usp=drive_link&amp;ouid=105698644568734712375&amp;rtpof=true&amp;sd=true" TargetMode="External"/><Relationship Id="rId596" Type="http://schemas.openxmlformats.org/officeDocument/2006/relationships/hyperlink" Target="https://docs.google.com/document/d/1rODZlLLIISvnJo_5OnBEiXZgGUfMR3Wd/edit?usp=drive_link&amp;ouid=105698644568734712375&amp;rtpof=true&amp;sd=true" TargetMode="External"/><Relationship Id="rId193" Type="http://schemas.openxmlformats.org/officeDocument/2006/relationships/hyperlink" Target="https://docs.google.com/document/d/1SX1vf7GY4UuF1hfudgJi8q3-TofgzbUs/edit" TargetMode="External"/><Relationship Id="rId207" Type="http://schemas.openxmlformats.org/officeDocument/2006/relationships/hyperlink" Target="https://docs.google.com/document/d/1nhdh1r90Txs6O-5nUxtCRzNzl-mgqssD/edit?usp=drive_link&amp;ouid=105698644568734712375&amp;rtpof=true&amp;sd=true" TargetMode="External"/><Relationship Id="rId249" Type="http://schemas.openxmlformats.org/officeDocument/2006/relationships/hyperlink" Target="https://docs.google.com/document/d/15Ge3P2eyvlc8TugQHZ4VkEu7FNNo8v3n/edit" TargetMode="External"/><Relationship Id="rId414" Type="http://schemas.openxmlformats.org/officeDocument/2006/relationships/hyperlink" Target="https://docs.google.com/document/d/12FfYnfS5yvtAZRnhYk4iIyaI9fT48y8r/edit?usp=drive_link&amp;ouid=105698644568734712375&amp;rtpof=true&amp;sd=true" TargetMode="External"/><Relationship Id="rId456" Type="http://schemas.openxmlformats.org/officeDocument/2006/relationships/hyperlink" Target="https://docs.google.com/document/d/1M4rqP0DJnXfQr6ipRBAOMHaO6GnbMF8B/edit" TargetMode="External"/><Relationship Id="rId498" Type="http://schemas.openxmlformats.org/officeDocument/2006/relationships/hyperlink" Target="https://docs.google.com/document/d/1NeK1J10vFKUxfCjryEGkfOu8vCBWfVBq/edit" TargetMode="External"/><Relationship Id="rId13" Type="http://schemas.openxmlformats.org/officeDocument/2006/relationships/hyperlink" Target="https://docs.google.com/document/d/1d63hfLu_MMIfhbAvgNtKWAI6EKGc3ZZ9/edit" TargetMode="External"/><Relationship Id="rId109" Type="http://schemas.openxmlformats.org/officeDocument/2006/relationships/hyperlink" Target="https://docs.google.com/document/d/1QRU-J4XVXNgfX28jKYs6oiAiUxi2sBDa/edit?usp=drive_link&amp;ouid=105698644568734712375&amp;rtpof=true&amp;sd=true" TargetMode="External"/><Relationship Id="rId260" Type="http://schemas.openxmlformats.org/officeDocument/2006/relationships/hyperlink" Target="https://docs.google.com/document/d/1WYW4_3wSaQsA-Kv8dra9K14KEjxrKDJY/edit?usp=drive_link&amp;ouid=105698644568734712375&amp;rtpof=true&amp;sd=true" TargetMode="External"/><Relationship Id="rId316" Type="http://schemas.openxmlformats.org/officeDocument/2006/relationships/hyperlink" Target="https://docs.google.com/document/d/1o-53jf8cDCneLH5OMFsMXXWwoZeZmhB-/edit?usp=drive_link&amp;ouid=105698644568734712375&amp;rtpof=true&amp;sd=true" TargetMode="External"/><Relationship Id="rId523" Type="http://schemas.openxmlformats.org/officeDocument/2006/relationships/hyperlink" Target="https://docs.google.com/document/d/1B5tchB8729pbOf3IzMonBiFiwvD7S1UM/edit?usp=drive_link&amp;ouid=105698644568734712375&amp;rtpof=true&amp;sd=true" TargetMode="External"/><Relationship Id="rId55" Type="http://schemas.openxmlformats.org/officeDocument/2006/relationships/hyperlink" Target="https://docs.google.com/document/d/1ji0kpr6jOyuuke1lTx8e6NK7ZlZiQHaf/edit?usp=drive_link&amp;ouid=105698644568734712375&amp;rtpof=true&amp;sd=true" TargetMode="External"/><Relationship Id="rId97" Type="http://schemas.openxmlformats.org/officeDocument/2006/relationships/hyperlink" Target="https://docs.google.com/document/d/1g15hnt4Pf_yfKGMPpuyf0BuhbOVLl3c7/edit?usp=drive_link&amp;ouid=105698644568734712375&amp;rtpof=true&amp;sd=true" TargetMode="External"/><Relationship Id="rId120" Type="http://schemas.openxmlformats.org/officeDocument/2006/relationships/hyperlink" Target="https://docs.google.com/document/d/1FbtPb9NRmmVox-NG6NGSmQYhjpaobl_E/edit?usp=drive_link&amp;ouid=105698644568734712375&amp;rtpof=true&amp;sd=true" TargetMode="External"/><Relationship Id="rId358" Type="http://schemas.openxmlformats.org/officeDocument/2006/relationships/hyperlink" Target="https://docs.google.com/document/d/1wezuHoOU5xHUEjeKQerljtv7U2e-n48t/edit" TargetMode="External"/><Relationship Id="rId565" Type="http://schemas.openxmlformats.org/officeDocument/2006/relationships/hyperlink" Target="https://docs.google.com/document/d/1E-Xv4Q1ZlqS2thw_m3_cU8qUTOG9Pwqk/edit" TargetMode="External"/><Relationship Id="rId162" Type="http://schemas.openxmlformats.org/officeDocument/2006/relationships/hyperlink" Target="https://docs.google.com/document/d/1GrGyXYFjcDr3MQkD-7a5gU8HkTf_rnu2/edit?usp=drive_link&amp;ouid=105698644568734712375&amp;rtpof=true&amp;sd=true" TargetMode="External"/><Relationship Id="rId218" Type="http://schemas.openxmlformats.org/officeDocument/2006/relationships/hyperlink" Target="https://docs.google.com/document/d/15hI_UySXqmicFSbH_8TKpqjPwCgJW7Zx/edit" TargetMode="External"/><Relationship Id="rId425" Type="http://schemas.openxmlformats.org/officeDocument/2006/relationships/hyperlink" Target="https://docs.google.com/document/d/16_btLBHhX9XzILZqnKxdstd7JNie_ZZJ/edit" TargetMode="External"/><Relationship Id="rId467" Type="http://schemas.openxmlformats.org/officeDocument/2006/relationships/hyperlink" Target="https://docs.google.com/document/d/1Ri1sTyikJx9EcpVwp3SfiVShYwZjkc0y/edit?usp=drive_link&amp;ouid=105698644568734712375&amp;rtpof=true&amp;sd=true" TargetMode="External"/><Relationship Id="rId271" Type="http://schemas.openxmlformats.org/officeDocument/2006/relationships/hyperlink" Target="https://docs.google.com/document/d/1a7cJJzJ4SxpNH9d-WvCp3y3fuMyfQulC/edit?usp=drive_link&amp;ouid=105698644568734712375&amp;rtpof=true&amp;sd=true" TargetMode="External"/><Relationship Id="rId24" Type="http://schemas.openxmlformats.org/officeDocument/2006/relationships/hyperlink" Target="https://docs.google.com/document/d/1H_6MqxvoQljrBzmIgW1qwejHhkb3siv7/edit?usp=drive_link&amp;ouid=105698644568734712375&amp;rtpof=true&amp;sd=true" TargetMode="External"/><Relationship Id="rId66" Type="http://schemas.openxmlformats.org/officeDocument/2006/relationships/hyperlink" Target="https://docs.google.com/document/d/14LFHsMBai1OjwreStI_NsovC9W86aeVk/edit" TargetMode="External"/><Relationship Id="rId131" Type="http://schemas.openxmlformats.org/officeDocument/2006/relationships/hyperlink" Target="https://docs.google.com/document/d/1bQz0RC8TPIzO2mnz2WxPnUxwTG__p0i7/edit" TargetMode="External"/><Relationship Id="rId327" Type="http://schemas.openxmlformats.org/officeDocument/2006/relationships/hyperlink" Target="https://docs.google.com/document/d/1OJjU9zWyrIDJiQVOJab9TuaxUDajfDaA/edit?usp=drive_link&amp;ouid=105698644568734712375&amp;rtpof=true&amp;sd=true" TargetMode="External"/><Relationship Id="rId369" Type="http://schemas.openxmlformats.org/officeDocument/2006/relationships/hyperlink" Target="https://docs.google.com/document/d/1Qs5DcLyz8RrmWGnRtfMGgzjRdjPSBF8x/edit" TargetMode="External"/><Relationship Id="rId534" Type="http://schemas.openxmlformats.org/officeDocument/2006/relationships/hyperlink" Target="https://docs.google.com/document/d/1WBGq2GqADyXubKU1npBJUVfaadIOal8F/edit" TargetMode="External"/><Relationship Id="rId576" Type="http://schemas.openxmlformats.org/officeDocument/2006/relationships/hyperlink" Target="https://drive.google.com/open?id=1wnC0Nj8wkMwDNR3z8MOqYFh4en1e3Si4&amp;usp=drive_copy" TargetMode="External"/><Relationship Id="rId173" Type="http://schemas.openxmlformats.org/officeDocument/2006/relationships/hyperlink" Target="https://docs.google.com/document/d/1Z-Cm4qS5rOz1UDPNnt0aybg9XrPQbY3X/edit?usp=drive_link&amp;ouid=105698644568734712375&amp;rtpof=true&amp;sd=true" TargetMode="External"/><Relationship Id="rId229" Type="http://schemas.openxmlformats.org/officeDocument/2006/relationships/hyperlink" Target="https://docs.google.com/document/d/1A_HqQacet-aRn3nFHDgynFptW55iA-Ym/edit?usp=drive_link&amp;ouid=105698644568734712375&amp;rtpof=true&amp;sd=true" TargetMode="External"/><Relationship Id="rId380" Type="http://schemas.openxmlformats.org/officeDocument/2006/relationships/hyperlink" Target="https://docs.google.com/document/d/1wRYfhdOHGyLz9vn8u5SpW1A85KWHwtJH/edit?usp=drive_link&amp;ouid=105698644568734712375&amp;rtpof=true&amp;sd=true" TargetMode="External"/><Relationship Id="rId436" Type="http://schemas.openxmlformats.org/officeDocument/2006/relationships/hyperlink" Target="https://docs.google.com/document/d/1dmY_ph0SS-ucRSu1xfTjQmc9gGErIWXV/edit?usp=drive_link&amp;ouid=105698644568734712375&amp;rtpof=true&amp;sd=true" TargetMode="External"/><Relationship Id="rId601" Type="http://schemas.openxmlformats.org/officeDocument/2006/relationships/hyperlink" Target="https://docs.google.com/document/d/1ovLJJd78eu_yJapQaw7bYaO-mT5cJGzc/edit?usp=drive_link&amp;ouid=105698644568734712375&amp;rtpof=true&amp;sd=true" TargetMode="External"/><Relationship Id="rId240" Type="http://schemas.openxmlformats.org/officeDocument/2006/relationships/hyperlink" Target="https://docs.google.com/document/d/1djRbyecCf9eDxNNg2cqZWA9o-ZbszILd/edit" TargetMode="External"/><Relationship Id="rId478" Type="http://schemas.openxmlformats.org/officeDocument/2006/relationships/hyperlink" Target="https://docs.google.com/document/d/1JbSGC3a88anOhwuUOw4xLNSf4F9qQzFs/edit?usp=drive_link&amp;ouid=105698644568734712375&amp;rtpof=true&amp;sd=true" TargetMode="External"/><Relationship Id="rId35" Type="http://schemas.openxmlformats.org/officeDocument/2006/relationships/hyperlink" Target="https://docs.google.com/document/d/1eeHxpSNjSO5sLaps3hpqgG9RfXd8sjL6/edit" TargetMode="External"/><Relationship Id="rId77" Type="http://schemas.openxmlformats.org/officeDocument/2006/relationships/hyperlink" Target="https://docs.google.com/document/d/1gJiHV_Cmw_VXWU7UiBlAEUkb6-Y6bbUE/edit" TargetMode="External"/><Relationship Id="rId100" Type="http://schemas.openxmlformats.org/officeDocument/2006/relationships/hyperlink" Target="https://drive.google.com/open?id=1qoz_2coTbotn728KqFfHkRsNzIpCNEhl&amp;usp=drive_copy" TargetMode="External"/><Relationship Id="rId282" Type="http://schemas.openxmlformats.org/officeDocument/2006/relationships/hyperlink" Target="https://docs.google.com/document/d/1jGbn_HhMMjMEEVLg64VRSJ3yp_TPMkTI/edit?usp=drive_link&amp;ouid=105698644568734712375&amp;rtpof=true&amp;sd=true" TargetMode="External"/><Relationship Id="rId338" Type="http://schemas.openxmlformats.org/officeDocument/2006/relationships/hyperlink" Target="https://docs.google.com/document/d/1XLS2Csayu3e42wSK-ShtGI8Abu4UIpu7/edit" TargetMode="External"/><Relationship Id="rId503" Type="http://schemas.openxmlformats.org/officeDocument/2006/relationships/hyperlink" Target="https://docs.google.com/document/d/1QqQFs-K_NEGuOoXLmDR7FCuCwwvUgwh-/edit?usp=drive_link&amp;ouid=105698644568734712375&amp;rtpof=true&amp;sd=true" TargetMode="External"/><Relationship Id="rId545" Type="http://schemas.openxmlformats.org/officeDocument/2006/relationships/hyperlink" Target="https://docs.google.com/document/d/1VeA36FLbJF4HKTHPX-xoPmnh-3m6qbOf/edit?usp=drive_link&amp;ouid=105698644568734712375&amp;rtpof=true&amp;sd=true" TargetMode="External"/><Relationship Id="rId587" Type="http://schemas.openxmlformats.org/officeDocument/2006/relationships/hyperlink" Target="https://docs.google.com/document/d/1d_Mj3r3GpZT7o3GA3nnlkzPSOsE05cqY/edit?usp=drive_link&amp;ouid=105698644568734712375&amp;rtpof=true&amp;sd=true" TargetMode="External"/><Relationship Id="rId8" Type="http://schemas.openxmlformats.org/officeDocument/2006/relationships/hyperlink" Target="https://docs.google.com/document/d/1uZTwnROzRbJeCXuOFWlVcfIpnjIU0RLa/edit?usp=drive_link&amp;ouid=105698644568734712375&amp;rtpof=true&amp;sd=true" TargetMode="External"/><Relationship Id="rId142" Type="http://schemas.openxmlformats.org/officeDocument/2006/relationships/hyperlink" Target="https://docs.google.com/document/d/1KodonzR6-hoYW1TJ7G0SWA7uOrm5my2-/edit" TargetMode="External"/><Relationship Id="rId184" Type="http://schemas.openxmlformats.org/officeDocument/2006/relationships/hyperlink" Target="https://docs.google.com/document/d/1InqxW9b5yNygTa2YQQL7VZxtWj-n9rkp/edit?usp=drive_link&amp;ouid=105698644568734712375&amp;rtpof=true&amp;sd=true" TargetMode="External"/><Relationship Id="rId391" Type="http://schemas.openxmlformats.org/officeDocument/2006/relationships/hyperlink" Target="https://docs.google.com/document/d/1zAO6BIoQl4n3gTHjs6P0Kj_5_wkANmaL/edit" TargetMode="External"/><Relationship Id="rId405" Type="http://schemas.openxmlformats.org/officeDocument/2006/relationships/hyperlink" Target="https://docs.google.com/document/d/1xxOIbwBZH-2r3SrSVUB5gJbTUDikSFgL/edit" TargetMode="External"/><Relationship Id="rId447" Type="http://schemas.openxmlformats.org/officeDocument/2006/relationships/hyperlink" Target="https://docs.google.com/document/d/1RMg5G-eXv7HDIl5h3zZQknNO6Ye8z6fJ/edit?usp=drive_link&amp;ouid=105698644568734712375&amp;rtpof=true&amp;sd=true" TargetMode="External"/><Relationship Id="rId612" Type="http://schemas.openxmlformats.org/officeDocument/2006/relationships/hyperlink" Target="https://docs.google.com/document/d/1ji3sHUHYCnMnAUeMHmwcfPq6lI06faaV/edit?usp=drive_link&amp;ouid=105698644568734712375&amp;rtpof=true&amp;sd=true" TargetMode="External"/><Relationship Id="rId251" Type="http://schemas.openxmlformats.org/officeDocument/2006/relationships/hyperlink" Target="https://docs.google.com/document/d/1ftlP8i5cXMv7wtrk8KyZYB2cf0Z07qmI/edit" TargetMode="External"/><Relationship Id="rId489" Type="http://schemas.openxmlformats.org/officeDocument/2006/relationships/hyperlink" Target="https://docs.google.com/document/d/1OgNV4fKhFc-HfMCi3M1KWM63DTysNQej/edit?usp=drive_link&amp;ouid=105698644568734712375&amp;rtpof=true&amp;sd=true" TargetMode="External"/><Relationship Id="rId46" Type="http://schemas.openxmlformats.org/officeDocument/2006/relationships/hyperlink" Target="https://docs.google.com/document/d/1-AAt8iBcGjXgLzwDgJU4IoJ0IikTNiIk/edit?usp=drive_link&amp;ouid=105698644568734712375&amp;rtpof=true&amp;sd=true" TargetMode="External"/><Relationship Id="rId293" Type="http://schemas.openxmlformats.org/officeDocument/2006/relationships/hyperlink" Target="https://docs.google.com/document/d/1B5iPVBpjdgodtPFrB7mJ5byAs1sogvq7/edit?usp=drive_link&amp;ouid=105698644568734712375&amp;rtpof=true&amp;sd=true" TargetMode="External"/><Relationship Id="rId307" Type="http://schemas.openxmlformats.org/officeDocument/2006/relationships/hyperlink" Target="https://docs.google.com/document/d/1IghKes9UZ38efIApXdKxeNoF8N7-_eD0/edit?usp=drive_link&amp;ouid=105698644568734712375&amp;rtpof=true&amp;sd=true" TargetMode="External"/><Relationship Id="rId349" Type="http://schemas.openxmlformats.org/officeDocument/2006/relationships/hyperlink" Target="https://docs.google.com/document/d/1gvyjOLJWWKqilt8FeCP2Zi6pQAeBMDx5/edit?usp=drive_link&amp;ouid=105698644568734712375&amp;rtpof=true&amp;sd=true" TargetMode="External"/><Relationship Id="rId514" Type="http://schemas.openxmlformats.org/officeDocument/2006/relationships/hyperlink" Target="https://docs.google.com/document/d/1qkT6JKFhMbQG-TRgkIpFXEv5MXvjw1WJ/edit" TargetMode="External"/><Relationship Id="rId556" Type="http://schemas.openxmlformats.org/officeDocument/2006/relationships/hyperlink" Target="https://docs.google.com/document/d/1ty135c305KA2ES226s94cUlE44Rsc0p2/edit?usp=drive_link&amp;ouid=105698644568734712375&amp;rtpof=true&amp;sd=true" TargetMode="External"/><Relationship Id="rId88" Type="http://schemas.openxmlformats.org/officeDocument/2006/relationships/hyperlink" Target="https://docs.google.com/document/d/11u7MIx3mrC6dlWpYHeP_oWP8wjz_xaiT/edit" TargetMode="External"/><Relationship Id="rId111" Type="http://schemas.openxmlformats.org/officeDocument/2006/relationships/hyperlink" Target="https://docs.google.com/document/d/1bq-UfkO9Vmjn9hvgbpB7lA9VdVPW9Mfa/edit?usp=drive_link&amp;ouid=105698644568734712375&amp;rtpof=true&amp;sd=true" TargetMode="External"/><Relationship Id="rId153" Type="http://schemas.openxmlformats.org/officeDocument/2006/relationships/hyperlink" Target="https://docs.google.com/document/d/1kATJzyfZ1KokgFstpxkuhnX9thR5AOh3/edit?usp=drive_link&amp;ouid=105698644568734712375&amp;rtpof=true&amp;sd=true" TargetMode="External"/><Relationship Id="rId195" Type="http://schemas.openxmlformats.org/officeDocument/2006/relationships/hyperlink" Target="https://docs.google.com/document/d/1Wil9khyhetHMrc7hOELwRwnDUfSS6Aca/edit" TargetMode="External"/><Relationship Id="rId209" Type="http://schemas.openxmlformats.org/officeDocument/2006/relationships/hyperlink" Target="https://docs.google.com/document/d/1bzVX497yFlHqDgrvz9hE5vR1aHk1COld/edit?usp=drive_link&amp;ouid=105698644568734712375&amp;rtpof=true&amp;sd=true" TargetMode="External"/><Relationship Id="rId360" Type="http://schemas.openxmlformats.org/officeDocument/2006/relationships/hyperlink" Target="https://docs.google.com/document/d/1vzL3SqH-8EtEgeldZti4YcluiEapF26O/edit?usp=drive_link&amp;ouid=105698644568734712375&amp;rtpof=true&amp;sd=true" TargetMode="External"/><Relationship Id="rId416" Type="http://schemas.openxmlformats.org/officeDocument/2006/relationships/hyperlink" Target="https://docs.google.com/document/d/1bSqvBuBu4uWeKIHk6Gv7y8EiUvAfXk1h/edit?usp=drive_link&amp;ouid=105698644568734712375&amp;rtpof=true&amp;sd=true" TargetMode="External"/><Relationship Id="rId598" Type="http://schemas.openxmlformats.org/officeDocument/2006/relationships/hyperlink" Target="https://docs.google.com/document/d/1szpRsxgDYnmtBDPCtn7dRml3-c9VH_xd/edit?usp=drive_link&amp;ouid=105698644568734712375&amp;rtpof=true&amp;sd=true" TargetMode="External"/><Relationship Id="rId220" Type="http://schemas.openxmlformats.org/officeDocument/2006/relationships/hyperlink" Target="https://docs.google.com/document/d/1xHJrqTRQsU03zqfATmMwbIzgRqRwscoP/edit" TargetMode="External"/><Relationship Id="rId458" Type="http://schemas.openxmlformats.org/officeDocument/2006/relationships/hyperlink" Target="https://docs.google.com/document/d/1on2G6YaxNAmz7S9TclKQrUTyqdxdEZNg/edit" TargetMode="External"/><Relationship Id="rId15" Type="http://schemas.openxmlformats.org/officeDocument/2006/relationships/hyperlink" Target="https://docs.google.com/document/d/1qJVs9OjnlrstkGGnIF3SFvpInRmLgf59/edit" TargetMode="External"/><Relationship Id="rId57" Type="http://schemas.openxmlformats.org/officeDocument/2006/relationships/hyperlink" Target="https://docs.google.com/document/d/19sOdLLTTlh8wTJ68GYWlbsst3woBpWHW/edit?usp=drive_link&amp;ouid=105698644568734712375&amp;rtpof=true&amp;sd=true" TargetMode="External"/><Relationship Id="rId262" Type="http://schemas.openxmlformats.org/officeDocument/2006/relationships/hyperlink" Target="https://docs.google.com/document/d/1wj5Y3ojh086OF0o7bEUiIUHd4EzCHtWy/edit?usp=drive_link&amp;ouid=105698644568734712375&amp;rtpof=true&amp;sd=true" TargetMode="External"/><Relationship Id="rId318" Type="http://schemas.openxmlformats.org/officeDocument/2006/relationships/hyperlink" Target="https://docs.google.com/document/d/1dZtNwz9A8wu0On9e6CaGf_NZ9G4QJQdx/edit?usp=drive_link&amp;ouid=105698644568734712375&amp;rtpof=true&amp;sd=true" TargetMode="External"/><Relationship Id="rId525" Type="http://schemas.openxmlformats.org/officeDocument/2006/relationships/hyperlink" Target="https://docs.google.com/document/d/1rCGEnLJHqxBFhyYNgkPRDcqZYspGIxdp/edit?usp=drive_link&amp;ouid=105698644568734712375&amp;rtpof=true&amp;sd=true" TargetMode="External"/><Relationship Id="rId567" Type="http://schemas.openxmlformats.org/officeDocument/2006/relationships/hyperlink" Target="https://docs.google.com/document/u/4/d/1uIr1mIDgtgLiNFNq3AqqqDYY9fc5oWxO/edit?usp=drive_web&amp;ouid=108823196508644285409&amp;rtpof=true" TargetMode="External"/><Relationship Id="rId99" Type="http://schemas.openxmlformats.org/officeDocument/2006/relationships/hyperlink" Target="https://docs.google.com/document/d/1H8XnnGPZFxaqvMKU4HYMZno6R4FFMAph/edit?usp=drive_link&amp;ouid=105698644568734712375&amp;rtpof=true&amp;sd=true" TargetMode="External"/><Relationship Id="rId122" Type="http://schemas.openxmlformats.org/officeDocument/2006/relationships/hyperlink" Target="https://docs.google.com/document/d/1KTTTDCExi8QKeRqbpInEVdhe7d4s1XWm/edit?usp=drive_link&amp;ouid=105698644568734712375&amp;rtpof=true&amp;sd=true" TargetMode="External"/><Relationship Id="rId164" Type="http://schemas.openxmlformats.org/officeDocument/2006/relationships/hyperlink" Target="https://docs.google.com/document/d/15_xE-y2dFbTHkcvCZs6DlMNCv4Y9923W/edit?usp=drive_link&amp;ouid=105698644568734712375&amp;rtpof=true&amp;sd=true" TargetMode="External"/><Relationship Id="rId371" Type="http://schemas.openxmlformats.org/officeDocument/2006/relationships/hyperlink" Target="https://docs.google.com/document/d/1K8_Wa9IrvUs4kaodqYm5L2DCeNaTBb6L/edit" TargetMode="External"/><Relationship Id="rId427" Type="http://schemas.openxmlformats.org/officeDocument/2006/relationships/hyperlink" Target="https://docs.google.com/document/d/1YsPOPGyQBfodxM6_jk8G-LS8wEAgRFk2/edit?usp=drive_link&amp;ouid=105698644568734712375&amp;rtpof=true&amp;sd=true" TargetMode="External"/><Relationship Id="rId469" Type="http://schemas.openxmlformats.org/officeDocument/2006/relationships/hyperlink" Target="https://docs.google.com/document/d/1DIC6hT3OnswInPIftieabO9lhLaEsVtg/edit?usp=drive_link&amp;ouid=105698644568734712375&amp;rtpof=true&amp;sd=true" TargetMode="External"/><Relationship Id="rId26" Type="http://schemas.openxmlformats.org/officeDocument/2006/relationships/hyperlink" Target="https://docs.google.com/document/d/1uBUv5WsrvHMNp0oD4tmkmVMWwNDy0ej3/edit?usp=drive_link&amp;ouid=105698644568734712375&amp;rtpof=true&amp;sd=true" TargetMode="External"/><Relationship Id="rId231" Type="http://schemas.openxmlformats.org/officeDocument/2006/relationships/hyperlink" Target="https://docs.google.com/document/d/14RQPQLcH1vnZGHZRvrZB-O7QVMLZQ9Cq/edit?usp=drive_link&amp;ouid=105698644568734712375&amp;rtpof=true&amp;sd=true" TargetMode="External"/><Relationship Id="rId273" Type="http://schemas.openxmlformats.org/officeDocument/2006/relationships/hyperlink" Target="https://docs.google.com/document/d/1CS95OqHAaIhchUgdKfOaD9C9eO0hbhNQ/edit" TargetMode="External"/><Relationship Id="rId329" Type="http://schemas.openxmlformats.org/officeDocument/2006/relationships/hyperlink" Target="https://docs.google.com/document/d/175ZJWBzGZlOxEEZ_Jx-ixoLVOvrmae_b/edit?usp=drive_link&amp;ouid=105698644568734712375&amp;rtpof=true&amp;sd=true" TargetMode="External"/><Relationship Id="rId480" Type="http://schemas.openxmlformats.org/officeDocument/2006/relationships/hyperlink" Target="https://docs.google.com/document/d/1j1qoby4HJ6GBSL3pp33Gc1BJJRNP22do/edit?usp=drive_link&amp;ouid=105698644568734712375&amp;rtpof=true&amp;sd=true" TargetMode="External"/><Relationship Id="rId536" Type="http://schemas.openxmlformats.org/officeDocument/2006/relationships/hyperlink" Target="https://docs.google.com/document/d/17puynb0VPJkfP7QCDfI9aLLryrto4lwV/edit?usp=drive_link&amp;ouid=105698644568734712375&amp;rtpof=true&amp;sd=true" TargetMode="External"/><Relationship Id="rId68" Type="http://schemas.openxmlformats.org/officeDocument/2006/relationships/hyperlink" Target="https://docs.google.com/document/d/1jhSR3tj_1h7fjkMOQ7BPbwUdaWkB-GgE/edit?usp=drive_link&amp;ouid=105698644568734712375&amp;rtpof=true&amp;sd=true" TargetMode="External"/><Relationship Id="rId133" Type="http://schemas.openxmlformats.org/officeDocument/2006/relationships/hyperlink" Target="https://docs.google.com/document/d/1M2XRBlhib_C7riSXQPzYmgZ9hEI_FTTE/edit" TargetMode="External"/><Relationship Id="rId175" Type="http://schemas.openxmlformats.org/officeDocument/2006/relationships/hyperlink" Target="https://docs.google.com/document/d/1zdI9ofIsUVIkPZ459zFdtg7d4Wh-oZDf/edit?usp=drive_link&amp;ouid=105698644568734712375&amp;rtpof=true&amp;sd=true" TargetMode="External"/><Relationship Id="rId340" Type="http://schemas.openxmlformats.org/officeDocument/2006/relationships/hyperlink" Target="https://docs.google.com/document/d/1voL-pvBbIQ3hyxAW3LWr2hez3Zvo2JYn/edit?usp=drive_link&amp;ouid=105698644568734712375&amp;rtpof=true&amp;sd=true" TargetMode="External"/><Relationship Id="rId578" Type="http://schemas.openxmlformats.org/officeDocument/2006/relationships/hyperlink" Target="https://docs.google.com/document/d/1TQ0wlHlomcCHJwVqOPohQRtVs5Yhs3dQ/edit?usp=drive_link&amp;ouid=105698644568734712375&amp;rtpof=true&amp;sd=true" TargetMode="External"/><Relationship Id="rId200" Type="http://schemas.openxmlformats.org/officeDocument/2006/relationships/hyperlink" Target="https://docs.google.com/document/d/1uMOgXML_9gkVeofNB4lYbciAOpvjHWm1/edit?usp=drive_link&amp;ouid=105698644568734712375&amp;rtpof=true&amp;sd=true" TargetMode="External"/><Relationship Id="rId382" Type="http://schemas.openxmlformats.org/officeDocument/2006/relationships/hyperlink" Target="https://docs.google.com/document/d/1l7AWz6nfdhzrloZ3ITSRhyE9herE7Tk_/edit?usp=drive_link&amp;ouid=105698644568734712375&amp;rtpof=true&amp;sd=true" TargetMode="External"/><Relationship Id="rId438" Type="http://schemas.openxmlformats.org/officeDocument/2006/relationships/hyperlink" Target="https://docs.google.com/document/d/1_1MvlkKFpygOkckhAHtIouYtQW5bNs1E/edit?usp=drive_link&amp;ouid=105698644568734712375&amp;rtpof=true&amp;sd=true" TargetMode="External"/><Relationship Id="rId603" Type="http://schemas.openxmlformats.org/officeDocument/2006/relationships/hyperlink" Target="https://docs.google.com/document/d/1Igm3dYCCfq2mE9wMDpLScEri93NCbwzb/edit?usp=drive_link&amp;ouid=105698644568734712375&amp;rtpof=true&amp;sd=true" TargetMode="External"/><Relationship Id="rId242" Type="http://schemas.openxmlformats.org/officeDocument/2006/relationships/hyperlink" Target="https://docs.google.com/document/d/1qWA6ohSvoMBTloJv4iyAe-Poh_bo2U_x/edit" TargetMode="External"/><Relationship Id="rId284" Type="http://schemas.openxmlformats.org/officeDocument/2006/relationships/hyperlink" Target="https://docs.google.com/document/d/1hfXVFUaNOjOo5lR38bYPI-5dsqeixAJp/edit?usp=drive_link&amp;ouid=105698644568734712375&amp;rtpof=true&amp;sd=true" TargetMode="External"/><Relationship Id="rId491" Type="http://schemas.openxmlformats.org/officeDocument/2006/relationships/hyperlink" Target="https://docs.google.com/document/d/1q9fYV9cQaX7tbcK6G3P_s1W9nM28joll/edit?rtpof=true&amp;tab=t.0" TargetMode="External"/><Relationship Id="rId505" Type="http://schemas.openxmlformats.org/officeDocument/2006/relationships/hyperlink" Target="https://docs.google.com/document/d/1MioY-SBxT8LdA36YqkIjtXcDf-59icjx/edit?usp=drive_link&amp;ouid=105698644568734712375&amp;rtpof=true&amp;sd=true" TargetMode="External"/><Relationship Id="rId37" Type="http://schemas.openxmlformats.org/officeDocument/2006/relationships/hyperlink" Target="https://docs.google.com/document/d/1kvj4Qhu5PqFTn5WPLfSGdpI1012NJWbE/edit" TargetMode="External"/><Relationship Id="rId79" Type="http://schemas.openxmlformats.org/officeDocument/2006/relationships/hyperlink" Target="http://dane.mapa.argis.com/" TargetMode="External"/><Relationship Id="rId102" Type="http://schemas.openxmlformats.org/officeDocument/2006/relationships/hyperlink" Target="https://docs.google.com/document/d/1D5-HnEUOiSJnuaeEfvseWGQEP-LNwdiP/edit?usp=drive_link&amp;ouid=105698644568734712375&amp;rtpof=true&amp;sd=true" TargetMode="External"/><Relationship Id="rId144" Type="http://schemas.openxmlformats.org/officeDocument/2006/relationships/hyperlink" Target="https://docs.google.com/document/d/1Af1_NazIfhnrgnQOnBic9rJ8JBS2E2-o/edit" TargetMode="External"/><Relationship Id="rId547" Type="http://schemas.openxmlformats.org/officeDocument/2006/relationships/hyperlink" Target="https://docs.google.com/document/d/1kvlYNVHC0Yo1FgQ4oIO8sUDO4KVGFcPo/edit?usp=drive_link&amp;ouid=105698644568734712375&amp;rtpof=true&amp;sd=true" TargetMode="External"/><Relationship Id="rId589" Type="http://schemas.openxmlformats.org/officeDocument/2006/relationships/hyperlink" Target="https://docs.google.com/document/d/1MpqSejyzimuUejZjU_gfRJrxEKhuwOcr/edit?usp=drive_link&amp;ouid=105698644568734712375&amp;rtpof=true&amp;sd=true" TargetMode="External"/><Relationship Id="rId90" Type="http://schemas.openxmlformats.org/officeDocument/2006/relationships/hyperlink" Target="https://docs.google.com/document/d/1DBPMo6jr2bkOZWwvMC4Y2Vvim5YiP-ag/edit?usp=drive_link&amp;ouid=105698644568734712375&amp;rtpof=true&amp;sd=true" TargetMode="External"/><Relationship Id="rId186" Type="http://schemas.openxmlformats.org/officeDocument/2006/relationships/hyperlink" Target="https://docs.google.com/document/d/1vPjRUFw7wYfAReErYTVuvn32-azbUxO4/edit?usp=drive_link&amp;ouid=105698644568734712375&amp;rtpof=true&amp;sd=true" TargetMode="External"/><Relationship Id="rId351" Type="http://schemas.openxmlformats.org/officeDocument/2006/relationships/hyperlink" Target="https://docs.google.com/document/d/1hoVeOisg9KpDFthUrrFNwRhfzvZTu4Ol/edit?usp=drive_link&amp;ouid=105698644568734712375&amp;rtpof=true&amp;sd=true" TargetMode="External"/><Relationship Id="rId393" Type="http://schemas.openxmlformats.org/officeDocument/2006/relationships/hyperlink" Target="https://docs.google.com/document/d/1HJj_Ppb_MZzX1n7cfhuWRZ3g9jElgez7/edit" TargetMode="External"/><Relationship Id="rId407" Type="http://schemas.openxmlformats.org/officeDocument/2006/relationships/hyperlink" Target="https://docs.google.com/document/d/1ImmuJx_L7qekiASu4M5kasmTuRhaMD4H/edit" TargetMode="External"/><Relationship Id="rId449" Type="http://schemas.openxmlformats.org/officeDocument/2006/relationships/hyperlink" Target="https://docs.google.com/document/d/1hppikMGFNw36R4HV5L4lUZkoI_PADGe2/edit?usp=drive_link&amp;ouid=105698644568734712375&amp;rtpof=true&amp;sd=true" TargetMode="External"/><Relationship Id="rId614" Type="http://schemas.openxmlformats.org/officeDocument/2006/relationships/hyperlink" Target="https://docs.google.com/document/d/1knz3b7lE4ZaaBmC4G608G3n_9EvjfdAG/edit?usp=drive_link&amp;rtpof=true&amp;sd=true" TargetMode="External"/><Relationship Id="rId211" Type="http://schemas.openxmlformats.org/officeDocument/2006/relationships/hyperlink" Target="https://docs.google.com/document/d/1yeapcS6N3uL2TUxRvw7Wo6zIYM-ecV0p/edit?usp=drive_link&amp;ouid=105698644568734712375&amp;rtpof=true&amp;sd=true" TargetMode="External"/><Relationship Id="rId253" Type="http://schemas.openxmlformats.org/officeDocument/2006/relationships/hyperlink" Target="https://docs.google.com/document/d/1FHjQj7UoiqGxADyemAdjSF_Nu7JjFbWa/edit" TargetMode="External"/><Relationship Id="rId295" Type="http://schemas.openxmlformats.org/officeDocument/2006/relationships/hyperlink" Target="https://docs.google.com/document/d/1ZV4frg7nV72f-5uQ2krFxR7fZNxop1Ux/edit?usp=drive_link&amp;ouid=105698644568734712375&amp;rtpof=true&amp;sd=true" TargetMode="External"/><Relationship Id="rId309" Type="http://schemas.openxmlformats.org/officeDocument/2006/relationships/hyperlink" Target="https://docs.google.com/document/d/1qUewYv6CrsYz4n-xbotxWWU4Hf4Kvz_j/edit?usp=drive_link&amp;ouid=105698644568734712375&amp;rtpof=true&amp;sd=true" TargetMode="External"/><Relationship Id="rId460" Type="http://schemas.openxmlformats.org/officeDocument/2006/relationships/hyperlink" Target="https://docs.google.com/document/d/1MBvYJgQ_Jl1DRS-M50LQXXnD6iLusWHQ/edit" TargetMode="External"/><Relationship Id="rId516" Type="http://schemas.openxmlformats.org/officeDocument/2006/relationships/hyperlink" Target="https://docs.google.com/document/d/1cfs2-liFTxZS9WcJBINBrGoZigF2PQlk/edit" TargetMode="External"/><Relationship Id="rId48" Type="http://schemas.openxmlformats.org/officeDocument/2006/relationships/hyperlink" Target="https://docs.google.com/document/d/1oiDy9p-N99eJnOsajop9jwCcGqU_dT6N/edit?usp=drive_link&amp;ouid=105698644568734712375&amp;rtpof=true&amp;sd=true" TargetMode="External"/><Relationship Id="rId113" Type="http://schemas.openxmlformats.org/officeDocument/2006/relationships/hyperlink" Target="https://docs.google.com/document/d/1nyo66s8rcnYwR-Hc-L9piDpI9nfTWobr/edit?usp=drive_link&amp;ouid=105698644568734712375&amp;rtpof=true&amp;sd=true" TargetMode="External"/><Relationship Id="rId320" Type="http://schemas.openxmlformats.org/officeDocument/2006/relationships/hyperlink" Target="https://docs.google.com/document/d/1tJ_G29zWvcaxjbWq6co-Pv7yJTL7HA--/edit?usp=drive_link&amp;ouid=105698644568734712375&amp;rtpof=true&amp;sd=true" TargetMode="External"/><Relationship Id="rId558" Type="http://schemas.openxmlformats.org/officeDocument/2006/relationships/hyperlink" Target="https://docs.google.com/document/d/1_UbygjVzSDPsX13mE1R4uD80pVLWqnNU/edit?usp=drive_link&amp;ouid=105698644568734712375&amp;rtpof=true&amp;sd=true" TargetMode="External"/><Relationship Id="rId155" Type="http://schemas.openxmlformats.org/officeDocument/2006/relationships/hyperlink" Target="https://docs.google.com/document/d/1X-U9BK3k-jCNSBBDS_JxiAaoMSNCJuL-/edit?usp=drive_link&amp;ouid=105698644568734712375&amp;rtpof=true&amp;sd=true" TargetMode="External"/><Relationship Id="rId197" Type="http://schemas.openxmlformats.org/officeDocument/2006/relationships/hyperlink" Target="https://docs.google.com/document/d/1pS05jScx54_l9ZBQ4jhcx4QqgoQ_Fz_l/edit" TargetMode="External"/><Relationship Id="rId362" Type="http://schemas.openxmlformats.org/officeDocument/2006/relationships/hyperlink" Target="https://docs.google.com/document/d/15Ib9wmSdcS5cPUPQpo6kwglwCiEdCnN7/edit?usp=drive_link&amp;ouid=105698644568734712375&amp;rtpof=true&amp;sd=true" TargetMode="External"/><Relationship Id="rId418" Type="http://schemas.openxmlformats.org/officeDocument/2006/relationships/hyperlink" Target="https://docs.google.com/document/d/1PEOWHT7lK5ngEO1G9B6Q9q6d93RjuH3x/edit?usp=drive_link&amp;ouid=105698644568734712375&amp;rtpof=true&amp;sd=true" TargetMode="External"/><Relationship Id="rId222" Type="http://schemas.openxmlformats.org/officeDocument/2006/relationships/hyperlink" Target="https://docs.google.com/document/d/1-8j4s76FPgVnoX5tvwZ3xGns5creF4C1/edit" TargetMode="External"/><Relationship Id="rId264" Type="http://schemas.openxmlformats.org/officeDocument/2006/relationships/hyperlink" Target="https://docs.google.com/document/d/1uJEkYM5VFhRiZ1UXbKw8wffXzIsx2b3b/edit?usp=drive_link&amp;ouid=105698644568734712375&amp;rtpof=true&amp;sd=true" TargetMode="External"/><Relationship Id="rId471" Type="http://schemas.openxmlformats.org/officeDocument/2006/relationships/hyperlink" Target="https://docs.google.com/document/d/15voede5zHCABeTfkWWJibMvIHLA1Ee1J/edit?usp=drive_link&amp;ouid=105698644568734712375&amp;rtpof=true&amp;sd=true" TargetMode="External"/><Relationship Id="rId17" Type="http://schemas.openxmlformats.org/officeDocument/2006/relationships/hyperlink" Target="https://docs.google.com/document/d/1-4z2qdPGzfXaVYAnNTdb0jG04YjjSsAU/edit" TargetMode="External"/><Relationship Id="rId59" Type="http://schemas.openxmlformats.org/officeDocument/2006/relationships/hyperlink" Target="https://drive.google.com/open?id=153mhakLySRZeasopXXID8qyxlyCesIdL&amp;usp=drive_copy" TargetMode="External"/><Relationship Id="rId124" Type="http://schemas.openxmlformats.org/officeDocument/2006/relationships/hyperlink" Target="https://docs.google.com/document/d/1l934O-HRDQMT1Rum23VU40NP6aJ-6DD2/edit?usp=drive_link&amp;ouid=105698644568734712375&amp;rtpof=true&amp;sd=true" TargetMode="External"/><Relationship Id="rId527" Type="http://schemas.openxmlformats.org/officeDocument/2006/relationships/hyperlink" Target="https://docs.google.com/document/d/16_0rn-0ZcO365xXliSweBkWvl3jO-WsR/edit?usp=drive_link&amp;ouid=105698644568734712375&amp;rtpof=true&amp;sd=true" TargetMode="External"/><Relationship Id="rId569" Type="http://schemas.openxmlformats.org/officeDocument/2006/relationships/hyperlink" Target="https://docs.google.com/document/d/1ugESyUy2SerxumQcG1FSxx1vLvCyJCr0/edit?usp=drive_link&amp;ouid=105698644568734712375&amp;rtpof=true&amp;sd=true" TargetMode="External"/><Relationship Id="rId70" Type="http://schemas.openxmlformats.org/officeDocument/2006/relationships/hyperlink" Target="https://docs.google.com/document/d/17mMeiH-6kpTM7n23R0kcn7o1fZOZKlrr/edit?usp=drive_link&amp;ouid=105698644568734712375&amp;rtpof=true&amp;sd=true" TargetMode="External"/><Relationship Id="rId166" Type="http://schemas.openxmlformats.org/officeDocument/2006/relationships/hyperlink" Target="https://docs.google.com/document/d/11BiCjge0qofl1f3PIv3wD3REVvcyOjU-/edit?usp=drive_link&amp;ouid=105698644568734712375&amp;rtpof=true&amp;sd=true" TargetMode="External"/><Relationship Id="rId331" Type="http://schemas.openxmlformats.org/officeDocument/2006/relationships/hyperlink" Target="https://docs.google.com/document/d/1B2MJ3GjoKE0VQoNZPgle00vI4w6w63rn/edit?usp=drive_link&amp;ouid=105698644568734712375&amp;rtpof=true&amp;sd=true" TargetMode="External"/><Relationship Id="rId373" Type="http://schemas.openxmlformats.org/officeDocument/2006/relationships/hyperlink" Target="https://docs.google.com/document/d/1hLsBxFVJACJaEUpIRor2vEinyA9wvu9k/edit" TargetMode="External"/><Relationship Id="rId429" Type="http://schemas.openxmlformats.org/officeDocument/2006/relationships/hyperlink" Target="https://docs.google.com/document/d/19HcJi9GRTvpeSXJpw5r7LUArKfzWfepR/edit" TargetMode="External"/><Relationship Id="rId580" Type="http://schemas.openxmlformats.org/officeDocument/2006/relationships/hyperlink" Target="https://docs.google.com/document/d/10l5T-sCcYAKTij4lGETlIILE9goquevT/edit?usp=drive_link&amp;ouid=105698644568734712375&amp;rtpof=true&amp;sd=true" TargetMode="External"/><Relationship Id="rId1" Type="http://schemas.openxmlformats.org/officeDocument/2006/relationships/hyperlink" Target="https://docs.google.com/document/d/184sN7rblVeoLbGJLDiNO_79ILXbHBP1e/edit" TargetMode="External"/><Relationship Id="rId233" Type="http://schemas.openxmlformats.org/officeDocument/2006/relationships/hyperlink" Target="https://docs.google.com/document/d/1RvXIypdEK73xTJrPhdgGuWG48ifP5Jpr/edit?usp=drive_link&amp;ouid=105698644568734712375&amp;rtpof=true&amp;sd=true" TargetMode="External"/><Relationship Id="rId440" Type="http://schemas.openxmlformats.org/officeDocument/2006/relationships/hyperlink" Target="https://docs.google.com/document/d/1lJ6iyRpKlc_d7xi8pUKkOLAKsVZ-BIsN/edit" TargetMode="External"/><Relationship Id="rId28" Type="http://schemas.openxmlformats.org/officeDocument/2006/relationships/hyperlink" Target="https://docs.google.com/document/d/1tJPIHCScXXM6sJ9cPnaaiWN68738kEdp/edit?usp=drive_link&amp;ouid=105698644568734712375&amp;rtpof=true&amp;sd=true" TargetMode="External"/><Relationship Id="rId275" Type="http://schemas.openxmlformats.org/officeDocument/2006/relationships/hyperlink" Target="https://docs.google.com/document/d/14OaA7EQEGpU0TBXRLuf_HKWeLvV5KTSb/edit" TargetMode="External"/><Relationship Id="rId300" Type="http://schemas.openxmlformats.org/officeDocument/2006/relationships/hyperlink" Target="https://docs.google.com/document/d/19tbMRgILAKHsLbBX792VUh5qRNkbtDta/edit?usp=drive_link&amp;ouid=105698644568734712375&amp;rtpof=true&amp;sd=true" TargetMode="External"/><Relationship Id="rId482" Type="http://schemas.openxmlformats.org/officeDocument/2006/relationships/hyperlink" Target="https://docs.google.com/document/d/1Z-RPDYUWghqxSrVyYbhi-spqHPsfc15R/edit?usp=drive_link&amp;ouid=105698644568734712375&amp;rtpof=true&amp;sd=true" TargetMode="External"/><Relationship Id="rId538" Type="http://schemas.openxmlformats.org/officeDocument/2006/relationships/hyperlink" Target="https://docs.google.com/document/d/1nFRFso3g7iyego79F2y0NsY6mdDJObwq/edit?usp=drive_link&amp;ouid=105698644568734712375&amp;rtpof=true&amp;sd=true" TargetMode="External"/><Relationship Id="rId81" Type="http://schemas.openxmlformats.org/officeDocument/2006/relationships/hyperlink" Target="https://docs.google.com/document/d/1H33MAhjfZor6SkeRKfTzqaEpHZyejKQA/edit?usp=drive_link&amp;ouid=105698644568734712375&amp;rtpof=true&amp;sd=true" TargetMode="External"/><Relationship Id="rId135" Type="http://schemas.openxmlformats.org/officeDocument/2006/relationships/hyperlink" Target="https://drive.google.com/open?id=1cO8YN2ga6ePC0glQFNq2gTqVNeMlVtyD&amp;usp=drive_copy" TargetMode="External"/><Relationship Id="rId177" Type="http://schemas.openxmlformats.org/officeDocument/2006/relationships/hyperlink" Target="https://docs.google.com/document/d/1vBm5lrv4OKD3jLzt34qJpsmVTXbc5ghI/edit?usp=drive_link&amp;ouid=105698644568734712375&amp;rtpof=true&amp;sd=true" TargetMode="External"/><Relationship Id="rId342" Type="http://schemas.openxmlformats.org/officeDocument/2006/relationships/hyperlink" Target="https://docs.google.com/document/d/1ha6AjPP-R_4s4644CMiis_tYq2wEkqOB/edit" TargetMode="External"/><Relationship Id="rId384" Type="http://schemas.openxmlformats.org/officeDocument/2006/relationships/hyperlink" Target="https://docs.google.com/document/d/1yMIFZ1873NVeIOnq0ZoGn4USFq80Bus1/edit?usp=drive_link&amp;ouid=105698644568734712375&amp;rtpof=true&amp;sd=true" TargetMode="External"/><Relationship Id="rId591" Type="http://schemas.openxmlformats.org/officeDocument/2006/relationships/hyperlink" Target="https://docs.google.com/document/d/1CdkZs0u6zBdAsoTNfqu1rxsfI-jM7MPG/edit?usp=drive_link&amp;ouid=105698644568734712375&amp;rtpof=true&amp;sd=true" TargetMode="External"/><Relationship Id="rId605" Type="http://schemas.openxmlformats.org/officeDocument/2006/relationships/hyperlink" Target="https://docs.google.com/document/d/1BENoh-Je85tqgpY5q0-tkxetI6E9vExK/edit?usp=drive_link&amp;ouid=105698644568734712375&amp;rtpof=true&amp;sd=true" TargetMode="External"/><Relationship Id="rId202" Type="http://schemas.openxmlformats.org/officeDocument/2006/relationships/hyperlink" Target="https://docs.google.com/document/d/1Fif6tQSsljAILkNyL-3cRKKcVkoAZtk7/edit?usp=drive_link&amp;ouid=105698644568734712375&amp;rtpof=true&amp;sd=true" TargetMode="External"/><Relationship Id="rId244" Type="http://schemas.openxmlformats.org/officeDocument/2006/relationships/hyperlink" Target="https://docs.google.com/document/d/1Wi4416DzIXAm6P_sawhVP2M4jMA-m0Sa/edit" TargetMode="External"/><Relationship Id="rId39" Type="http://schemas.openxmlformats.org/officeDocument/2006/relationships/hyperlink" Target="https://docs.google.com/document/d/1BQa5Ha7bqRVSOB6pmZKTLVsBYSGFRi-N/edit" TargetMode="External"/><Relationship Id="rId286" Type="http://schemas.openxmlformats.org/officeDocument/2006/relationships/hyperlink" Target="https://docs.google.com/document/d/1YqNeajHWN2yp-2D0XZl_DXQBTpDVNEwl/edit?usp=drive_link&amp;ouid=105698644568734712375&amp;rtpof=true&amp;sd=true" TargetMode="External"/><Relationship Id="rId451" Type="http://schemas.openxmlformats.org/officeDocument/2006/relationships/hyperlink" Target="https://docs.google.com/document/d/1FRObADnljbZ_KV5Hco-DVirNLGw--RQK/edit?usp=drive_link&amp;ouid=105698644568734712375&amp;rtpof=true&amp;sd=true" TargetMode="External"/><Relationship Id="rId493" Type="http://schemas.openxmlformats.org/officeDocument/2006/relationships/hyperlink" Target="https://docs.google.com/document/d/1PAeSus45_KcVQ_YaEO_gHVBO1xMbLCy1/edit?usp=drive_link&amp;ouid=105698644568734712375&amp;rtpof=true&amp;sd=true" TargetMode="External"/><Relationship Id="rId507" Type="http://schemas.openxmlformats.org/officeDocument/2006/relationships/hyperlink" Target="https://docs.google.com/document/d/1qRWSIZkVfDhSejvOzVVO_3voqPSODt4_/edit?usp=drive_link&amp;ouid=105698644568734712375&amp;rtpof=true&amp;sd=true" TargetMode="External"/><Relationship Id="rId549" Type="http://schemas.openxmlformats.org/officeDocument/2006/relationships/hyperlink" Target="https://docs.google.com/document/d/1gQ87eGsoVfz2QJz8jwuu6zVUFkBS1O-K/edit?usp=drive_link&amp;ouid=105698644568734712375&amp;rtpof=true&amp;sd=true" TargetMode="External"/><Relationship Id="rId50" Type="http://schemas.openxmlformats.org/officeDocument/2006/relationships/hyperlink" Target="https://docs.google.com/document/d/1skkO13phlcZ0cNjM-Dhh-wdlA58btbnX/edit?usp=drive_link&amp;ouid=105698644568734712375&amp;rtpof=true&amp;sd=true" TargetMode="External"/><Relationship Id="rId104" Type="http://schemas.openxmlformats.org/officeDocument/2006/relationships/hyperlink" Target="https://docs.google.com/document/d/1VtM7R7TvxLKC5znJPcC0B47UkYPsloKS/edit?usp=drive_link&amp;ouid=105698644568734712375&amp;rtpof=true&amp;sd=true" TargetMode="External"/><Relationship Id="rId146" Type="http://schemas.openxmlformats.org/officeDocument/2006/relationships/hyperlink" Target="https://docs.google.com/document/d/147WKpDT8KrmuROp_Iz5MNn7O5y1jqLdA/edit" TargetMode="External"/><Relationship Id="rId188" Type="http://schemas.openxmlformats.org/officeDocument/2006/relationships/hyperlink" Target="https://docs.google.com/document/d/1atCcgtnfMXtZquv3-kYfTl7GMPzPSG0e/edit?usp=drive_link&amp;ouid=105698644568734712375&amp;rtpof=true&amp;sd=true" TargetMode="External"/><Relationship Id="rId311" Type="http://schemas.openxmlformats.org/officeDocument/2006/relationships/hyperlink" Target="https://docs.google.com/document/d/1tfxENngZryWNVxZB1pKJJb_s-mN7o2XD/edit?usp=drive_link&amp;ouid=105698644568734712375&amp;rtpof=true&amp;sd=true" TargetMode="External"/><Relationship Id="rId353" Type="http://schemas.openxmlformats.org/officeDocument/2006/relationships/hyperlink" Target="https://docs.google.com/document/d/1kWWjbtM_96pknJJfxvFrGeUQjFKV7RSl/edit?usp=drive_link&amp;ouid=105698644568734712375&amp;rtpof=true&amp;sd=true" TargetMode="External"/><Relationship Id="rId395" Type="http://schemas.openxmlformats.org/officeDocument/2006/relationships/hyperlink" Target="https://docs.google.com/document/d/1Oo03yJqmsY1YYP8O8uq-fhY3ctSysqSV/edit" TargetMode="External"/><Relationship Id="rId409" Type="http://schemas.openxmlformats.org/officeDocument/2006/relationships/hyperlink" Target="https://docs.google.com/document/d/12HiWLxTUp2y9UrQu5EfmEn5OyonJyM6Y/edit" TargetMode="External"/><Relationship Id="rId560" Type="http://schemas.openxmlformats.org/officeDocument/2006/relationships/hyperlink" Target="https://docs.google.com/document/d/1rW7k31bzthhNEY0mvc7hVuqMmGgREOjI/edit?usp=drive_link&amp;ouid=105698644568734712375&amp;rtpof=true&amp;sd=true" TargetMode="External"/><Relationship Id="rId92" Type="http://schemas.openxmlformats.org/officeDocument/2006/relationships/hyperlink" Target="https://docs.google.com/document/d/1Ya1wEv1JYX7UKKylOykMmGO0brcA59x8/edit?usp=drive_link&amp;ouid=105698644568734712375&amp;rtpof=true&amp;sd=true" TargetMode="External"/><Relationship Id="rId213" Type="http://schemas.openxmlformats.org/officeDocument/2006/relationships/hyperlink" Target="https://docs.google.com/document/d/1qnWQ5jhrhCxgM5Uri3n-h-PwsNm-d_I5/edit?usp=drive_link&amp;ouid=105698644568734712375&amp;rtpof=true&amp;sd=true" TargetMode="External"/><Relationship Id="rId420" Type="http://schemas.openxmlformats.org/officeDocument/2006/relationships/hyperlink" Target="https://docs.google.com/document/d/1qqW9ySQQg2jKif_14fumeLvmdyAZaXjG/edit?usp=drive_link&amp;ouid=105698644568734712375&amp;rtpof=true&amp;sd=true" TargetMode="External"/><Relationship Id="rId616" Type="http://schemas.openxmlformats.org/officeDocument/2006/relationships/hyperlink" Target="https://docs.google.com/document/d/1JVlNk4mVSnzVOnk-UwAvB4jH9_WEH6Ae/edit?usp=drive_link&amp;ouid=105698644568734712375&amp;rtpof=true&amp;sd=true" TargetMode="External"/><Relationship Id="rId255" Type="http://schemas.openxmlformats.org/officeDocument/2006/relationships/hyperlink" Target="https://docs.google.com/document/d/1F4VJMQGnJtCIgTTqhp7p5-GNrfzeaoPG/edit" TargetMode="External"/><Relationship Id="rId297" Type="http://schemas.openxmlformats.org/officeDocument/2006/relationships/hyperlink" Target="https://docs.google.com/document/d/1pt_DzcQ127QLZHgaZ2d4_qKAGWeitPk8/edit?usp=drive_link&amp;ouid=105698644568734712375&amp;rtpof=true&amp;sd=true" TargetMode="External"/><Relationship Id="rId462" Type="http://schemas.openxmlformats.org/officeDocument/2006/relationships/hyperlink" Target="https://docs.google.com/document/d/1e6ddG0BJDOfbQohumhNA0J3S7225f_mF/edit" TargetMode="External"/><Relationship Id="rId518" Type="http://schemas.openxmlformats.org/officeDocument/2006/relationships/hyperlink" Target="https://docs.google.com/document/d/1Xastzp8vzuOIVmjr26UENIUjQF8o2lt_/edit" TargetMode="External"/><Relationship Id="rId115" Type="http://schemas.openxmlformats.org/officeDocument/2006/relationships/hyperlink" Target="https://docs.google.com/document/d/1mTTdABuAWUJe6kEyRwX_KPoa7xTeiIp_/edit?usp=drive_link&amp;ouid=105698644568734712375&amp;rtpof=true&amp;sd=true" TargetMode="External"/><Relationship Id="rId157" Type="http://schemas.openxmlformats.org/officeDocument/2006/relationships/hyperlink" Target="https://docs.google.com/document/d/1U6UGMp_lGEiSdTHlYkLfUEsEJgzvJkG0/edit?usp=drive_link&amp;ouid=105698644568734712375&amp;rtpof=true&amp;sd=true" TargetMode="External"/><Relationship Id="rId322" Type="http://schemas.openxmlformats.org/officeDocument/2006/relationships/hyperlink" Target="https://docs.google.com/document/d/1hsWuKOUmDiz9uV66olgw11spmaF_EC-m/edit" TargetMode="External"/><Relationship Id="rId364" Type="http://schemas.openxmlformats.org/officeDocument/2006/relationships/hyperlink" Target="https://docs.google.com/document/d/1VzDwDr24I3FKNBTijr1BC71JsDK7pP85/edit?usp=drive_link&amp;ouid=105698644568734712375&amp;rtpof=true&amp;sd=true" TargetMode="External"/><Relationship Id="rId61" Type="http://schemas.openxmlformats.org/officeDocument/2006/relationships/hyperlink" Target="https://drive.google.com/open?id=1kCk9Zmony_vSEFN6djodjW9dsGQr9HIU&amp;usp=drive_copy" TargetMode="External"/><Relationship Id="rId199" Type="http://schemas.openxmlformats.org/officeDocument/2006/relationships/hyperlink" Target="https://docs.google.com/document/d/1N_8JkT-GCKT46Vqs9eSgeQJ6fXCsSs3n/edit" TargetMode="External"/><Relationship Id="rId571" Type="http://schemas.openxmlformats.org/officeDocument/2006/relationships/hyperlink" Target="https://docs.google.com/document/d/1VttHdujETqVzHgG0-zSEg1z9sxOz5VOO/edit?usp=drive_link&amp;ouid=105698644568734712375&amp;rtpof=true&amp;sd=true" TargetMode="External"/><Relationship Id="rId19" Type="http://schemas.openxmlformats.org/officeDocument/2006/relationships/hyperlink" Target="https://docs.google.com/document/d/1cnU5qzN_yYiVk76zQNQyGIF5uFrsl6wr/edit?usp=drive_link&amp;ouid=105698644568734712375&amp;rtpof=true&amp;sd=true" TargetMode="External"/><Relationship Id="rId224" Type="http://schemas.openxmlformats.org/officeDocument/2006/relationships/hyperlink" Target="https://docs.google.com/document/d/1geUzfvfdxJGsgU22p5zuuTg_w-6IaXrK/edit" TargetMode="External"/><Relationship Id="rId266" Type="http://schemas.openxmlformats.org/officeDocument/2006/relationships/hyperlink" Target="https://drive.google.com/open?id=1oXgezLjF-6vwZnX0afXyhlNqvfOsUA1Q&amp;usp=drive_copy" TargetMode="External"/><Relationship Id="rId431" Type="http://schemas.openxmlformats.org/officeDocument/2006/relationships/hyperlink" Target="https://docs.google.com/document/d/19mefmbtU1I5-QapkuK17Ir4QKXbfMgac/edit" TargetMode="External"/><Relationship Id="rId473" Type="http://schemas.openxmlformats.org/officeDocument/2006/relationships/hyperlink" Target="https://docs.google.com/document/d/10VQiIiZkdA83p0Hqyx8i1BnlGkM7u0QN/edit?usp=drive_link&amp;ouid=105698644568734712375&amp;rtpof=true&amp;sd=true" TargetMode="External"/><Relationship Id="rId529" Type="http://schemas.openxmlformats.org/officeDocument/2006/relationships/hyperlink" Target="https://docs.google.com/document/d/1RSPE0Vw9BA5uXLWRu2qSSG65BZpm95Sl/edit?usp=drive_link&amp;ouid=105698644568734712375&amp;rtpof=true&amp;sd=true" TargetMode="External"/><Relationship Id="rId30" Type="http://schemas.openxmlformats.org/officeDocument/2006/relationships/hyperlink" Target="https://docs.google.com/document/d/1DQBhOm21SYbqpVOmBEfJaJrr-qs2cLbZ/edit?usp=drive_link&amp;ouid=105698644568734712375&amp;rtpof=true&amp;sd=true" TargetMode="External"/><Relationship Id="rId126" Type="http://schemas.openxmlformats.org/officeDocument/2006/relationships/hyperlink" Target="https://docs.google.com/document/d/1ritr2ZDx36mGMqINh6n6scO8spxHxzuV/edit?usp=drive_link&amp;ouid=105698644568734712375&amp;rtpof=true&amp;sd=true" TargetMode="External"/><Relationship Id="rId168" Type="http://schemas.openxmlformats.org/officeDocument/2006/relationships/hyperlink" Target="https://docs.google.com/document/d/12-doxVxVhDzpmbLSdY-1Pt6ULXA5mEHd/edit?usp=drive_link&amp;ouid=105698644568734712375&amp;rtpof=true&amp;sd=true" TargetMode="External"/><Relationship Id="rId333" Type="http://schemas.openxmlformats.org/officeDocument/2006/relationships/hyperlink" Target="https://docs.google.com/document/d/1o4Qic_JUE8d1HFm8C7Rwt-Y3g_80fosp/edit?usp=drive_link&amp;ouid=105698644568734712375&amp;rtpof=true&amp;sd=true" TargetMode="External"/><Relationship Id="rId540" Type="http://schemas.openxmlformats.org/officeDocument/2006/relationships/hyperlink" Target="https://docs.google.com/document/d/1Xir2M3dKpwMKPOx625erQIw0cHh7RFgP/edit?usp=drive_link&amp;ouid=105698644568734712375&amp;rtpof=true&amp;sd=true" TargetMode="External"/><Relationship Id="rId72" Type="http://schemas.openxmlformats.org/officeDocument/2006/relationships/hyperlink" Target="https://docs.google.com/document/d/1jteIzssSwjHvlqfEDkcjbzLEXMDtBMzI/edit" TargetMode="External"/><Relationship Id="rId375" Type="http://schemas.openxmlformats.org/officeDocument/2006/relationships/hyperlink" Target="https://docs.google.com/document/d/1Flk4WBJoYpQKQoh7tg9OBN55-AmSZyr9/edit" TargetMode="External"/><Relationship Id="rId582" Type="http://schemas.openxmlformats.org/officeDocument/2006/relationships/hyperlink" Target="https://docs.google.com/document/d/12c0aY1vipMbcMUsLULydoa4gsAIlOK2X/edit?usp=drive_link&amp;ouid=105698644568734712375&amp;rtpof=true&amp;sd=true" TargetMode="External"/><Relationship Id="rId3" Type="http://schemas.openxmlformats.org/officeDocument/2006/relationships/hyperlink" Target="https://docs.google.com/document/d/14ip20ux5QKIRU4glulCLBhue9kmUlCDZ/edit" TargetMode="External"/><Relationship Id="rId235" Type="http://schemas.openxmlformats.org/officeDocument/2006/relationships/hyperlink" Target="https://docs.google.com/document/d/1KfgDIuUoueXd6ROMOL07xCe-lMfswNh4/edit?usp=drive_link&amp;ouid=105698644568734712375&amp;rtpof=true&amp;sd=true" TargetMode="External"/><Relationship Id="rId277" Type="http://schemas.openxmlformats.org/officeDocument/2006/relationships/hyperlink" Target="https://docs.google.com/document/d/1eSOWEVhMv-FZKxgqbirad_FI9m-Viy30/edit" TargetMode="External"/><Relationship Id="rId400" Type="http://schemas.openxmlformats.org/officeDocument/2006/relationships/hyperlink" Target="https://docs.google.com/document/d/1nExia84T2jSYu0XJkauXJefZmUTqOavB/edit?usp=drive_link&amp;ouid=105698644568734712375&amp;rtpof=true&amp;sd=true" TargetMode="External"/><Relationship Id="rId442" Type="http://schemas.openxmlformats.org/officeDocument/2006/relationships/hyperlink" Target="https://docs.google.com/document/u/4/d/1KC6QbXeDhYuQrF0EwfojYwJiBylk50n0/edit?usp=drive_web&amp;ouid=108823196508644285409&amp;rtpof=true" TargetMode="External"/><Relationship Id="rId484" Type="http://schemas.openxmlformats.org/officeDocument/2006/relationships/hyperlink" Target="https://docs.google.com/document/d/1j9SEEyLjuq-ZzMRa5N5JdsTcpxo0WjV7/edit?usp=drive_link&amp;ouid=105698644568734712375&amp;rtpof=true&amp;sd=true" TargetMode="External"/><Relationship Id="rId137" Type="http://schemas.openxmlformats.org/officeDocument/2006/relationships/hyperlink" Target="https://docs.google.com/document/d/1O8fNX5nQE3XVGU3d0wjilTVJdz4l3Im1/edit?usp=drive_link&amp;ouid=105698644568734712375&amp;rtpof=true&amp;sd=true" TargetMode="External"/><Relationship Id="rId302" Type="http://schemas.openxmlformats.org/officeDocument/2006/relationships/hyperlink" Target="https://docs.google.com/document/d/1xMffpqimrCEUIawFgwXV5lrfUOeOWRD-/edit?usp=drive_link&amp;ouid=105698644568734712375&amp;rtpof=true&amp;sd=true" TargetMode="External"/><Relationship Id="rId344" Type="http://schemas.openxmlformats.org/officeDocument/2006/relationships/hyperlink" Target="https://docs.google.com/document/d/1-AJP3lOAnx4KWenqt4qeOW7DcYoHrPPL/edit" TargetMode="External"/><Relationship Id="rId41" Type="http://schemas.openxmlformats.org/officeDocument/2006/relationships/hyperlink" Target="https://docs.google.com/document/d/1aUXeNz5L5_oVHc47erV_oqnxIOeL4Sko/edit" TargetMode="External"/><Relationship Id="rId83" Type="http://schemas.openxmlformats.org/officeDocument/2006/relationships/hyperlink" Target="https://docs.google.com/document/d/1M8ZbsQ4rUWIq5rE7o_ngJhvWEigqClAk/edit?usp=drive_link&amp;ouid=105698644568734712375&amp;rtpof=true&amp;sd=true" TargetMode="External"/><Relationship Id="rId179" Type="http://schemas.openxmlformats.org/officeDocument/2006/relationships/hyperlink" Target="https://docs.google.com/document/d/1i3XqctyzIK5tWthkb70TnTT4E2dOHIDj/edit?usp=drive_link&amp;ouid=105698644568734712375&amp;rtpof=true&amp;sd=true" TargetMode="External"/><Relationship Id="rId386" Type="http://schemas.openxmlformats.org/officeDocument/2006/relationships/hyperlink" Target="https://docs.google.com/document/d/154xDqEe9VxGFhSfbiuJUvbZn0G-y1o-L/edit?usp=drive_link&amp;ouid=105698644568734712375&amp;rtpof=true&amp;sd=true" TargetMode="External"/><Relationship Id="rId551" Type="http://schemas.openxmlformats.org/officeDocument/2006/relationships/hyperlink" Target="https://docs.google.com/document/d/1KgdqBN4nkEgqFsD0aMt-HeWW5XiW13Np/edit" TargetMode="External"/><Relationship Id="rId593" Type="http://schemas.openxmlformats.org/officeDocument/2006/relationships/hyperlink" Target="https://docs.google.com/document/d/1ONNuOZxrpezJ0nMF_NNWfkqVjsF-9Fof/edit?usp=drive_link&amp;ouid=105698644568734712375&amp;rtpof=true&amp;sd=true" TargetMode="External"/><Relationship Id="rId607" Type="http://schemas.openxmlformats.org/officeDocument/2006/relationships/hyperlink" Target="https://docs.google.com/document/d/1lXZbDlmZ6vRDc8mm5bzdpD1HZdl2oeDA/edit?usp=drive_link&amp;rtpof=true&amp;sd=true" TargetMode="External"/><Relationship Id="rId190" Type="http://schemas.openxmlformats.org/officeDocument/2006/relationships/hyperlink" Target="https://docs.google.com/document/d/1soeH4q4rXUx7Bp_ECg9XOFmZeu54CqZ_/edit?usp=drive_link&amp;ouid=105698644568734712375&amp;rtpof=true&amp;sd=true" TargetMode="External"/><Relationship Id="rId204" Type="http://schemas.openxmlformats.org/officeDocument/2006/relationships/hyperlink" Target="https://docs.google.com/document/d/1pRjLCQRyMBNBsnhZIBH1C8pOGaLuutiX/edit?usp=drive_link&amp;ouid=105698644568734712375&amp;rtpof=true&amp;sd=true" TargetMode="External"/><Relationship Id="rId246" Type="http://schemas.openxmlformats.org/officeDocument/2006/relationships/hyperlink" Target="https://docs.google.com/document/d/1npjVZAzjveAi3yARuZ7KdqW83yERWx9E/edit?usp=drive_link&amp;ouid=105698644568734712375&amp;rtpof=true&amp;sd=true" TargetMode="External"/><Relationship Id="rId288" Type="http://schemas.openxmlformats.org/officeDocument/2006/relationships/hyperlink" Target="https://docs.google.com/document/d/154hflmH4BZLWpZNcAC1x1f5cKRjK-56T/edit?usp=drive_link&amp;ouid=105698644568734712375&amp;rtpof=true&amp;sd=true" TargetMode="External"/><Relationship Id="rId411" Type="http://schemas.openxmlformats.org/officeDocument/2006/relationships/hyperlink" Target="https://docs.google.com/document/d/1aPsxpRigv4SZoyrvNu2l7HZh6_nIC75g/edit" TargetMode="External"/><Relationship Id="rId453" Type="http://schemas.openxmlformats.org/officeDocument/2006/relationships/hyperlink" Target="https://docs.google.com/document/d/1Xih-dP9Rn8V8iJmnXEfpVRtSAOTbeBj6/edit?usp=drive_link&amp;ouid=105698644568734712375&amp;rtpof=true&amp;sd=true" TargetMode="External"/><Relationship Id="rId509" Type="http://schemas.openxmlformats.org/officeDocument/2006/relationships/hyperlink" Target="https://docs.google.com/document/d/1CgM9eW7Fw-tsxtr0WMtU2dUdHMz4oMN2/edit?usp=drive_link&amp;ouid=105698644568734712375&amp;rtpof=true&amp;sd=true" TargetMode="External"/><Relationship Id="rId106" Type="http://schemas.openxmlformats.org/officeDocument/2006/relationships/hyperlink" Target="https://docs.google.com/document/d/1iU9oIjCxH6O1ZyM2mPypPctcqZubddJR/edit?usp=drive_link&amp;ouid=105698644568734712375&amp;rtpof=true&amp;sd=true" TargetMode="External"/><Relationship Id="rId313" Type="http://schemas.openxmlformats.org/officeDocument/2006/relationships/hyperlink" Target="https://docs.google.com/document/d/1t0Q2PFnaOKBI-WSN6BfBi0seHygmUZkS/edit?usp=drive_link&amp;ouid=105698644568734712375&amp;rtpof=true&amp;sd=true" TargetMode="External"/><Relationship Id="rId495" Type="http://schemas.openxmlformats.org/officeDocument/2006/relationships/hyperlink" Target="https://docs.google.com/document/d/1QvlKVe1XftSpkkeRykKTK2yEWVEAP-fk/edit?usp=drive_link&amp;ouid=105698644568734712375&amp;rtpof=true&amp;sd=true" TargetMode="External"/><Relationship Id="rId10" Type="http://schemas.openxmlformats.org/officeDocument/2006/relationships/hyperlink" Target="https://docs.google.com/document/d/1H5AtTvkgkpB71-m8AMu65gD7Or_P6KuX/edit?usp=drive_link&amp;ouid=105698644568734712375&amp;rtpof=true&amp;sd=true" TargetMode="External"/><Relationship Id="rId52" Type="http://schemas.openxmlformats.org/officeDocument/2006/relationships/hyperlink" Target="https://docs.google.com/document/d/1eNdWOGtpYeH74Sa_5lzP1pcFoy16RYYm/edit?usp=drive_link&amp;ouid=105698644568734712375&amp;rtpof=true&amp;sd=true" TargetMode="External"/><Relationship Id="rId94" Type="http://schemas.openxmlformats.org/officeDocument/2006/relationships/hyperlink" Target="https://docs.google.com/document/d/1lwCfcfNKAxcCws1o9af5vr5-ucXWjk50/edit?usp=drive_link&amp;ouid=105698644568734712375&amp;rtpof=true&amp;sd=true" TargetMode="External"/><Relationship Id="rId148" Type="http://schemas.openxmlformats.org/officeDocument/2006/relationships/hyperlink" Target="https://docs.google.com/document/d/182CeST8Rj7CAGikl8ixU_qmhKD1gs2BU/edit" TargetMode="External"/><Relationship Id="rId355" Type="http://schemas.openxmlformats.org/officeDocument/2006/relationships/hyperlink" Target="https://docs.google.com/document/d/10xDx9QzInYdR8Q-Zu4w_dLUSYVpa5OoD/edit?usp=drive_link&amp;ouid=105698644568734712375&amp;rtpof=true&amp;sd=true" TargetMode="External"/><Relationship Id="rId397" Type="http://schemas.openxmlformats.org/officeDocument/2006/relationships/hyperlink" Target="https://docs.google.com/document/d/1RbIarrn4Gw78uf8Qk6pNjjsXAy2A-Rzg/edit" TargetMode="External"/><Relationship Id="rId520" Type="http://schemas.openxmlformats.org/officeDocument/2006/relationships/hyperlink" Target="https://docs.google.com/document/d/17vPU0ScnZrzk4gEORIVbIyaaofyjDkBj/edit" TargetMode="External"/><Relationship Id="rId562" Type="http://schemas.openxmlformats.org/officeDocument/2006/relationships/hyperlink" Target="https://docs.google.com/document/d/1I1vEcjcFe64B-D6qt5aIXAbPm8xC-yRV/edit?usp=drive_link&amp;ouid=105698644568734712375&amp;rtpof=true&amp;sd=true" TargetMode="External"/><Relationship Id="rId618" Type="http://schemas.openxmlformats.org/officeDocument/2006/relationships/hyperlink" Target="https://docs.google.com/document/d/1hnS_6E3T-mkzEVg6MmZ0nKhWQw5b-zyj/edit?usp=drive_link&amp;ouid=105698644568734712375&amp;rtpof=true&amp;sd=true" TargetMode="External"/><Relationship Id="rId215" Type="http://schemas.openxmlformats.org/officeDocument/2006/relationships/hyperlink" Target="https://docs.google.com/document/d/1D_qDshxDFuncTavK6CS723MiM8WAFEZ1/edit?usp=drive_link&amp;ouid=105698644568734712375&amp;rtpof=true&amp;sd=true" TargetMode="External"/><Relationship Id="rId257" Type="http://schemas.openxmlformats.org/officeDocument/2006/relationships/hyperlink" Target="https://docs.google.com/document/d/1a0oPMadgbsVMbI0FbVCmI6tscABgjS97/edit" TargetMode="External"/><Relationship Id="rId422" Type="http://schemas.openxmlformats.org/officeDocument/2006/relationships/hyperlink" Target="https://docs.google.com/document/d/1ArfQ70pe0rOk6lBQA4L03QNvre5sN6Kg/edit?usp=drive_link&amp;ouid=105698644568734712375&amp;rtpof=true&amp;sd=true" TargetMode="External"/><Relationship Id="rId464" Type="http://schemas.openxmlformats.org/officeDocument/2006/relationships/hyperlink" Target="https://docs.google.com/document/d/1cUR4F4WxZ4_lgdlnJuVW6jO4byqIz8Hx/edit" TargetMode="External"/><Relationship Id="rId299" Type="http://schemas.openxmlformats.org/officeDocument/2006/relationships/hyperlink" Target="https://docs.google.com/document/d/12kR48o1WP17y7HP9_2uOgsbgtuZEvlN6/edit?usp=drive_link&amp;ouid=105698644568734712375&amp;rtpof=true&amp;sd=true" TargetMode="External"/><Relationship Id="rId63" Type="http://schemas.openxmlformats.org/officeDocument/2006/relationships/hyperlink" Target="https://drive.google.com/open?id=1CuwEgoKgIHz3CHkVtRQf_SakQTN4C2O0&amp;usp=drive_copy" TargetMode="External"/><Relationship Id="rId159" Type="http://schemas.openxmlformats.org/officeDocument/2006/relationships/hyperlink" Target="https://docs.google.com/document/d/1u5z_ku1RyT3cA9Q1MKCLG9_zhH1jCqh1/edit?usp=drive_link&amp;ouid=105698644568734712375&amp;rtpof=true&amp;sd=true" TargetMode="External"/><Relationship Id="rId366" Type="http://schemas.openxmlformats.org/officeDocument/2006/relationships/hyperlink" Target="https://docs.google.com/document/d/1bGaJ02pNHEp1mKZC_3fMZa2Ubi70zmFS/edit?usp=drive_link&amp;ouid=105698644568734712375&amp;rtpof=true&amp;sd=true" TargetMode="External"/><Relationship Id="rId573" Type="http://schemas.openxmlformats.org/officeDocument/2006/relationships/hyperlink" Target="https://docs.google.com/document/d/1B6wum-LiEvu4r1It8mODCTBlIuCkATaW/edit?usp=drive_link&amp;ouid=105698644568734712375&amp;rtpof=true&amp;sd=true" TargetMode="External"/><Relationship Id="rId226" Type="http://schemas.openxmlformats.org/officeDocument/2006/relationships/hyperlink" Target="https://docs.google.com/document/d/1YmLeG2PpRd4yVbODaWQTqHq-e1TqvgM5/edit?usp=drive_link&amp;ouid=105698644568734712375&amp;rtpof=true&amp;sd=true" TargetMode="External"/><Relationship Id="rId433" Type="http://schemas.openxmlformats.org/officeDocument/2006/relationships/hyperlink" Target="https://docs.google.com/document/d/1WYMeG1AUPWnmbfELQ2ZTTjHa1-aLRusy/edit?usp=drive_link&amp;ouid=105698644568734712375&amp;rtpof=true&amp;sd=true" TargetMode="External"/><Relationship Id="rId74" Type="http://schemas.openxmlformats.org/officeDocument/2006/relationships/hyperlink" Target="https://docs.google.com/document/d/1y7jCPVNQ4QEWOv2BpscQDH_cYOjk70UK/edit?usp=drive_link&amp;ouid=105698644568734712375&amp;rtpof=true&amp;sd=true" TargetMode="External"/><Relationship Id="rId377" Type="http://schemas.openxmlformats.org/officeDocument/2006/relationships/hyperlink" Target="https://docs.google.com/document/d/1NZs776uy2y9QUmsre-GZYIUUrd855_M9/edit" TargetMode="External"/><Relationship Id="rId500" Type="http://schemas.openxmlformats.org/officeDocument/2006/relationships/hyperlink" Target="https://docs.google.com/document/d/1AyG19vt7WOsnA7dxKbdDAL5MzWSsJJ-p/edit" TargetMode="External"/><Relationship Id="rId584" Type="http://schemas.openxmlformats.org/officeDocument/2006/relationships/hyperlink" Target="https://docs.google.com/document/d/1FDKO-wmCvSeIMt0SsNOlWwtw32n0y8gH/edit?usp=drive_link&amp;ouid=105698644568734712375&amp;rtpof=true&amp;sd=true" TargetMode="External"/><Relationship Id="rId5" Type="http://schemas.openxmlformats.org/officeDocument/2006/relationships/hyperlink" Target="https://docs.google.com/document/d/1vJcdLjoZgoc7yFQqlZfgSCz4p4Fsled5/edit" TargetMode="External"/><Relationship Id="rId237" Type="http://schemas.openxmlformats.org/officeDocument/2006/relationships/hyperlink" Target="https://docs.google.com/document/d/1MId2Iqqb6M7tTFVWl8o6NKF3B2H_Js6a/edit?usp=drive_link&amp;ouid=105698644568734712375&amp;rtpof=true&amp;sd=true" TargetMode="External"/><Relationship Id="rId444" Type="http://schemas.openxmlformats.org/officeDocument/2006/relationships/hyperlink" Target="https://docs.google.com/document/d/1CzTbRUcPBtQIXUWOge76_9pUVlG9ZJ8o/edit" TargetMode="External"/><Relationship Id="rId290" Type="http://schemas.openxmlformats.org/officeDocument/2006/relationships/hyperlink" Target="https://docs.google.com/document/d/1c5bbvdZLk_yYp_E-Fh-qmti5awn5JT-h/edit?usp=drive_link&amp;ouid=105698644568734712375&amp;rtpof=true&amp;sd=true" TargetMode="External"/><Relationship Id="rId304" Type="http://schemas.openxmlformats.org/officeDocument/2006/relationships/hyperlink" Target="https://docs.google.com/document/d/1eeGOI9e3MSwWYJyjzCBWqtlblYDOpHxs/edit?usp=drive_link&amp;ouid=105698644568734712375&amp;rtpof=true&amp;sd=true" TargetMode="External"/><Relationship Id="rId388" Type="http://schemas.openxmlformats.org/officeDocument/2006/relationships/hyperlink" Target="https://docs.google.com/document/d/1nNrzxO33VZZfASDBdmVsjcNtxSdMnoJI/edit?usp=drive_link&amp;ouid=105698644568734712375&amp;rtpof=true&amp;sd=true" TargetMode="External"/><Relationship Id="rId511" Type="http://schemas.openxmlformats.org/officeDocument/2006/relationships/hyperlink" Target="https://docs.google.com/document/d/1eAhcSeiBA1fhr65NahxhRk3nmptfPhh4/edit?usp=drive_link&amp;ouid=105698644568734712375&amp;rtpof=true&amp;sd=true" TargetMode="External"/><Relationship Id="rId609" Type="http://schemas.openxmlformats.org/officeDocument/2006/relationships/hyperlink" Target="https://docs.google.com/document/d/188mSR65RQGlG8lUNis4SBk71z9p5fq9k/edit?usp=drive_link&amp;ouid=105698644568734712375&amp;rtpof=true&amp;sd=true" TargetMode="External"/><Relationship Id="rId85" Type="http://schemas.openxmlformats.org/officeDocument/2006/relationships/hyperlink" Target="http://dane.mapa.argis.com/" TargetMode="External"/><Relationship Id="rId150" Type="http://schemas.openxmlformats.org/officeDocument/2006/relationships/hyperlink" Target="https://docs.google.com/document/d/1HbHMK6Ece1koWlyXzl3vBQ0oWCDosbbS/edit" TargetMode="External"/><Relationship Id="rId595" Type="http://schemas.openxmlformats.org/officeDocument/2006/relationships/hyperlink" Target="https://drive.google.com/open?id=1PqgO-7PT7DTU-lspEbTUOq-ZNbaHZ4N7&amp;usp=drive_copy" TargetMode="External"/><Relationship Id="rId248" Type="http://schemas.openxmlformats.org/officeDocument/2006/relationships/hyperlink" Target="https://docs.google.com/document/d/1Lj12WVlC5aL1IK2kRLydQTccQhGr-nXf/edit?usp=drive_link&amp;ouid=105698644568734712375&amp;rtpof=true&amp;sd=true" TargetMode="External"/><Relationship Id="rId455" Type="http://schemas.openxmlformats.org/officeDocument/2006/relationships/hyperlink" Target="https://docs.google.com/document/d/19NWDL91qOeG4yYTilsByslXuj7KrS1cP/edit?usp=drive_link&amp;ouid=105698644568734712375&amp;rtpof=true&amp;sd=true" TargetMode="External"/><Relationship Id="rId12" Type="http://schemas.openxmlformats.org/officeDocument/2006/relationships/hyperlink" Target="https://docs.google.com/document/d/1HP8E0aVeLRAygKshScfLCL1d_JTa6-0u/edit?usp=drive_link&amp;ouid=105698644568734712375&amp;rtpof=true&amp;sd=true" TargetMode="External"/><Relationship Id="rId108" Type="http://schemas.openxmlformats.org/officeDocument/2006/relationships/hyperlink" Target="https://docs.google.com/document/d/1Qi0t20gIHCjAzqG6OOxyvw1Cni0rtuqr/edit?usp=drive_link&amp;ouid=105698644568734712375&amp;rtpof=true&amp;sd=true" TargetMode="External"/><Relationship Id="rId315" Type="http://schemas.openxmlformats.org/officeDocument/2006/relationships/hyperlink" Target="https://docs.google.com/document/d/1Jc9wf82W0gSPYTOB7FHh2IZh-F1S56SU/edit?usp=drive_link&amp;ouid=105698644568734712375&amp;rtpof=true&amp;sd=true" TargetMode="External"/><Relationship Id="rId522" Type="http://schemas.openxmlformats.org/officeDocument/2006/relationships/hyperlink" Target="https://docs.google.com/document/d/1e8KC2V1LuQw7hL6_w1v628AlYFsI4QP9/edit" TargetMode="External"/><Relationship Id="rId96" Type="http://schemas.openxmlformats.org/officeDocument/2006/relationships/hyperlink" Target="https://docs.google.com/document/d/17rf6T0tNffhVO_nlHnsPoxuOhw7jOn91/edit?usp=drive_link&amp;ouid=105698644568734712375&amp;rtpof=true&amp;sd=true" TargetMode="External"/><Relationship Id="rId161" Type="http://schemas.openxmlformats.org/officeDocument/2006/relationships/hyperlink" Target="https://docs.google.com/document/d/1mANHNRnjiYDZ2Li7BbtsHmUuB9MOTgsY/edit?usp=drive_link&amp;ouid=105698644568734712375&amp;rtpof=true&amp;sd=true" TargetMode="External"/><Relationship Id="rId399" Type="http://schemas.openxmlformats.org/officeDocument/2006/relationships/hyperlink" Target="https://docs.google.com/document/d/18aAqNAHOXLyp0UEYhVZdYbeYQOP02z7i/edit" TargetMode="External"/><Relationship Id="rId259" Type="http://schemas.openxmlformats.org/officeDocument/2006/relationships/hyperlink" Target="https://docs.google.com/document/d/1P951GF-jv27PK4LouNka0wlJc3CKEAoK/edit" TargetMode="External"/><Relationship Id="rId466" Type="http://schemas.openxmlformats.org/officeDocument/2006/relationships/hyperlink" Target="https://docs.google.com/document/d/1t8IFDuF8wNAHhqF0qiJ3R719rvRhdBdk/edit" TargetMode="External"/><Relationship Id="rId23" Type="http://schemas.openxmlformats.org/officeDocument/2006/relationships/hyperlink" Target="https://docs.google.com/document/d/1H88ddpCkNzLqTfDaeVHScc81vIrdLut4/edit" TargetMode="External"/><Relationship Id="rId119" Type="http://schemas.openxmlformats.org/officeDocument/2006/relationships/hyperlink" Target="https://docs.google.com/document/d/1vRsoTBWnmJDUktIOkWy5E2uEZwAFZEUb/edit" TargetMode="External"/><Relationship Id="rId326" Type="http://schemas.openxmlformats.org/officeDocument/2006/relationships/hyperlink" Target="https://docs.google.com/document/d/17szKGyMJIzfH41vXUolzQlwAkVz5XGUB/edit?usp=drive_link&amp;ouid=105698644568734712375&amp;rtpof=true&amp;sd=true" TargetMode="External"/><Relationship Id="rId533" Type="http://schemas.openxmlformats.org/officeDocument/2006/relationships/hyperlink" Target="https://docs.google.com/document/d/19wTb7s48PJ1mdscWmtTsDu607ZNRGx-x/edit?usp=drive_link&amp;ouid=105698644568734712375&amp;rtpof=true&amp;sd=true" TargetMode="External"/><Relationship Id="rId172" Type="http://schemas.openxmlformats.org/officeDocument/2006/relationships/hyperlink" Target="https://docs.google.com/document/d/1qvPLZZ2TgXXaF-MGbaX4uQmI1K-qxsUk/edit" TargetMode="External"/><Relationship Id="rId477" Type="http://schemas.openxmlformats.org/officeDocument/2006/relationships/hyperlink" Target="https://docs.google.com/document/d/1goHpiGZJF68PcYDNmOrWrbG9s4Gbsn_u/edit?usp=drive_link&amp;ouid=105698644568734712375&amp;rtpof=true&amp;sd=true" TargetMode="External"/><Relationship Id="rId600" Type="http://schemas.openxmlformats.org/officeDocument/2006/relationships/hyperlink" Target="https://docs.google.com/document/d/1AASL-tLQP4OoLwEb_roVFd5VltIQ7l3S/edit?usp=drive_link&amp;ouid=105698644568734712375&amp;rtpof=true&amp;sd=true" TargetMode="External"/><Relationship Id="rId337" Type="http://schemas.openxmlformats.org/officeDocument/2006/relationships/hyperlink" Target="https://docs.google.com/document/d/14IQ17x0iux5oA6SylutNBTsFkDna_7BW/edit?usp=drive_link&amp;ouid=105698644568734712375&amp;rtpof=true&amp;sd=true" TargetMode="External"/><Relationship Id="rId34" Type="http://schemas.openxmlformats.org/officeDocument/2006/relationships/hyperlink" Target="https://docs.google.com/document/d/18iBjshC2r1cGxHxZwgGBuiFZkpMuCsyB/edit?usp=drive_link&amp;ouid=105698644568734712375&amp;rtpof=true&amp;sd=true" TargetMode="External"/><Relationship Id="rId544" Type="http://schemas.openxmlformats.org/officeDocument/2006/relationships/hyperlink" Target="https://docs.google.com/document/d/1wSFZNsjYkGcvRGH6vHZv5tXAu0CaYL0X/edit" TargetMode="External"/><Relationship Id="rId183" Type="http://schemas.openxmlformats.org/officeDocument/2006/relationships/hyperlink" Target="https://docs.google.com/document/d/1whYMLNqolgNbXlAk3hTO5_YWiLblQLkq/edit" TargetMode="External"/><Relationship Id="rId390" Type="http://schemas.openxmlformats.org/officeDocument/2006/relationships/hyperlink" Target="https://docs.google.com/document/d/1HUaToC07iXjlDj8Pu82n4iTFkO6r21tK/edit?usp=drive_link&amp;ouid=105698644568734712375&amp;rtpof=true&amp;sd=true" TargetMode="External"/><Relationship Id="rId404" Type="http://schemas.openxmlformats.org/officeDocument/2006/relationships/hyperlink" Target="https://docs.google.com/document/d/1ST62bGx0Z2RNykVexBgYX1XKaw-m9upG/edit?usp=drive_link&amp;ouid=105698644568734712375&amp;rtpof=true&amp;sd=true" TargetMode="External"/><Relationship Id="rId611" Type="http://schemas.openxmlformats.org/officeDocument/2006/relationships/hyperlink" Target="https://docs.google.com/document/d/10N4CRtTLXgHqz8SrZZ9Ju3iVO31evL4X/edit?usp=drive_link&amp;ouid=105698644568734712375&amp;rtpof=true&amp;sd=true" TargetMode="External"/><Relationship Id="rId250" Type="http://schemas.openxmlformats.org/officeDocument/2006/relationships/hyperlink" Target="https://docs.google.com/document/d/12WMETwzN2GAWNvOKbwcJN4m9hBz4ddI1/edit?usp=drive_link&amp;ouid=105698644568734712375&amp;rtpof=true&amp;sd=true" TargetMode="External"/><Relationship Id="rId488" Type="http://schemas.openxmlformats.org/officeDocument/2006/relationships/hyperlink" Target="https://docs.google.com/document/d/1YBEhoF5ZnPzrE7TvNoV1LEzSVdD1m7TD/edit?usp=drive_link&amp;ouid=105698644568734712375&amp;rtpof=true&amp;sd=true" TargetMode="External"/><Relationship Id="rId45" Type="http://schemas.openxmlformats.org/officeDocument/2006/relationships/hyperlink" Target="https://docs.google.com/document/d/1lSQ_aEtXenRMGTnXUUn_qDNZKWwlmyu6/edit" TargetMode="External"/><Relationship Id="rId110" Type="http://schemas.openxmlformats.org/officeDocument/2006/relationships/hyperlink" Target="https://docs.google.com/document/d/13A73UkjCKLzEcx02acG3zY2nJPyLhp5s/edit?usp=drive_link&amp;ouid=105698644568734712375&amp;rtpof=true&amp;sd=true" TargetMode="External"/><Relationship Id="rId348" Type="http://schemas.openxmlformats.org/officeDocument/2006/relationships/hyperlink" Target="https://docs.google.com/document/d/12-UuVkQoypNQQMVKFpRZLkECbC15RcfT/edit" TargetMode="External"/><Relationship Id="rId555" Type="http://schemas.openxmlformats.org/officeDocument/2006/relationships/hyperlink" Target="https://docs.google.com/document/d/186FV_GgeaBsQw_Cr8LaMaldmQ4RFbDri/edit" TargetMode="External"/><Relationship Id="rId194" Type="http://schemas.openxmlformats.org/officeDocument/2006/relationships/hyperlink" Target="https://docs.google.com/document/d/1BV6xQs99uRCQKpPSbfA6I0RbM2Bmq4jQ/edit?usp=drive_link&amp;ouid=105698644568734712375&amp;rtpof=true&amp;sd=true" TargetMode="External"/><Relationship Id="rId208" Type="http://schemas.openxmlformats.org/officeDocument/2006/relationships/hyperlink" Target="https://docs.google.com/document/d/1rB1Nlckxr1QbI1gRJo_LUb_MXW2JS_00/edit" TargetMode="External"/><Relationship Id="rId415" Type="http://schemas.openxmlformats.org/officeDocument/2006/relationships/hyperlink" Target="https://docs.google.com/document/d/14okeHMTb0Sj69bYYiDnlQQREn8HK6kHR/edit" TargetMode="External"/><Relationship Id="rId261" Type="http://schemas.openxmlformats.org/officeDocument/2006/relationships/hyperlink" Target="https://docs.google.com/document/d/1uqRsm7rhTwPej8ChrS1ZsSvsXjZKLBjZ/edit" TargetMode="External"/><Relationship Id="rId499" Type="http://schemas.openxmlformats.org/officeDocument/2006/relationships/hyperlink" Target="https://docs.google.com/document/d/12XB-qb3TcAIjYNBvseOHXl87hHCaCKJy/edit?usp=drive_link&amp;ouid=105698644568734712375&amp;rtpof=true&amp;sd=true" TargetMode="External"/><Relationship Id="rId56" Type="http://schemas.openxmlformats.org/officeDocument/2006/relationships/hyperlink" Target="https://docs.google.com/document/d/19Pp4rCyz4ltPUoUMZoa31WJUSlunNqaG/edit?usp=drive_link&amp;ouid=105698644568734712375&amp;rtpof=true&amp;sd=true" TargetMode="External"/><Relationship Id="rId359" Type="http://schemas.openxmlformats.org/officeDocument/2006/relationships/hyperlink" Target="https://docs.google.com/document/d/1f8o2C5whDJrkbyUvxuc5RZG9bUZyqcQx/edit?usp=drive_link&amp;ouid=105698644568734712375&amp;rtpof=true&amp;sd=true" TargetMode="External"/><Relationship Id="rId566" Type="http://schemas.openxmlformats.org/officeDocument/2006/relationships/hyperlink" Target="https://docs.google.com/document/d/1Yhl0J2mjgbxwv6t8QWgD5yeVRAkLHU77/edit?usp=drive_link&amp;ouid=105698644568734712375&amp;rtpof=true&amp;sd=true" TargetMode="External"/><Relationship Id="rId121" Type="http://schemas.openxmlformats.org/officeDocument/2006/relationships/hyperlink" Target="https://docs.google.com/document/d/1OI5jjBU4XBHt8pxpH3dS79bpm5AglONs/edit" TargetMode="External"/><Relationship Id="rId219" Type="http://schemas.openxmlformats.org/officeDocument/2006/relationships/hyperlink" Target="https://docs.google.com/document/d/1Z_MBn9ZEce3lNltLq9FmXq2xYtlTPCAA/edit?usp=drive_link&amp;ouid=105698644568734712375&amp;rtpof=true&amp;sd=true" TargetMode="External"/><Relationship Id="rId426" Type="http://schemas.openxmlformats.org/officeDocument/2006/relationships/hyperlink" Target="https://docs.google.com/document/d/1qtib39lD-1RTf9kx9Ifsj93sQ9Jo_RUK/edit?usp=drive_link&amp;ouid=105698644568734712375&amp;rtpof=true&amp;sd=true" TargetMode="External"/><Relationship Id="rId67" Type="http://schemas.openxmlformats.org/officeDocument/2006/relationships/hyperlink" Target="https://docs.google.com/document/d/1dKhxFsMqbXZck7_hQrhGTlgo_lASBSpj/edit?usp=drive_link&amp;ouid=105698644568734712375&amp;rtpof=true&amp;sd=true" TargetMode="External"/><Relationship Id="rId272" Type="http://schemas.openxmlformats.org/officeDocument/2006/relationships/hyperlink" Target="https://docs.google.com/document/d/13Va4I9SyU3iCt-iL6zIbBgVADlnFEDcu/edit?usp=drive_link&amp;ouid=105698644568734712375&amp;rtpof=true&amp;sd=true" TargetMode="External"/><Relationship Id="rId577" Type="http://schemas.openxmlformats.org/officeDocument/2006/relationships/hyperlink" Target="https://docs.google.com/document/d/1va9-5Po5PdLfgZFzLsTT6hW0MxSNcaAj/edit?usp=drive_link&amp;ouid=105698644568734712375&amp;rtpof=true&amp;sd=tru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SKTzqGKoPv5INSwUkzz_bLllg7C1mIG/view?usp=sharing" TargetMode="External"/><Relationship Id="rId2" Type="http://schemas.openxmlformats.org/officeDocument/2006/relationships/hyperlink" Target="https://drive.google.com/file/d/1kZqgfV6Cq-e0CpUKtrwXqQXaTgtayLT3/view?usp=sharing" TargetMode="External"/><Relationship Id="rId1" Type="http://schemas.openxmlformats.org/officeDocument/2006/relationships/hyperlink" Target="https://drive.google.com/file/d/1_IKP_LprOPNizIFGRsBCPGgP_jDZGuKz/view?usp=sharing" TargetMode="External"/><Relationship Id="rId5" Type="http://schemas.openxmlformats.org/officeDocument/2006/relationships/hyperlink" Target="https://drive.google.com/file/d/1gTLtb0c-rpuy46tmKQeg2jyC3fd7C04m/view?usp=sharing" TargetMode="External"/><Relationship Id="rId4" Type="http://schemas.openxmlformats.org/officeDocument/2006/relationships/hyperlink" Target="https://drive.google.com/file/d/1UM69viCS6ETl-4t2jNgjiryibvNDGDn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336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1.19921875" defaultRowHeight="15" customHeight="1"/>
  <cols>
    <col min="1" max="1" width="13.09765625" customWidth="1"/>
    <col min="2" max="2" width="10.8984375" customWidth="1"/>
    <col min="3" max="3" width="13" customWidth="1"/>
    <col min="4" max="4" width="8" customWidth="1"/>
    <col min="5" max="5" width="14.69921875" customWidth="1"/>
    <col min="6" max="6" width="9.3984375" customWidth="1"/>
    <col min="7" max="7" width="24.8984375" customWidth="1"/>
    <col min="8" max="8" width="19.09765625" customWidth="1"/>
    <col min="9" max="9" width="11.296875" customWidth="1"/>
    <col min="10" max="10" width="16.09765625" customWidth="1"/>
    <col min="11" max="11" width="8.19921875" customWidth="1"/>
    <col min="12" max="12" width="29.296875" customWidth="1"/>
    <col min="13" max="13" width="15.3984375" customWidth="1"/>
    <col min="14" max="14" width="9.69921875" customWidth="1"/>
    <col min="15" max="15" width="16.3984375" customWidth="1"/>
    <col min="16" max="16" width="13.3984375" customWidth="1"/>
    <col min="17" max="17" width="24.796875" customWidth="1"/>
    <col min="18" max="18" width="8.8984375" customWidth="1"/>
    <col min="19" max="19" width="25.3984375" customWidth="1"/>
    <col min="20" max="20" width="12.296875" customWidth="1"/>
    <col min="21" max="21" width="9" customWidth="1"/>
    <col min="22" max="22" width="9.09765625" customWidth="1"/>
    <col min="23" max="23" width="12.796875" customWidth="1"/>
    <col min="24" max="24" width="13.19921875" customWidth="1"/>
    <col min="25" max="25" width="15.3984375" customWidth="1"/>
    <col min="26" max="26" width="9.19921875" customWidth="1"/>
    <col min="27" max="27" width="13.8984375" customWidth="1"/>
    <col min="28" max="30" width="15.3984375" customWidth="1"/>
    <col min="31" max="31" width="12.69921875" customWidth="1"/>
    <col min="32" max="34" width="7.09765625" customWidth="1"/>
    <col min="35" max="35" width="7.3984375" customWidth="1"/>
    <col min="36" max="46" width="11.09765625" customWidth="1"/>
    <col min="47" max="47" width="13.3984375" customWidth="1"/>
    <col min="48" max="48" width="11.09765625" customWidth="1"/>
    <col min="49" max="49" width="13.296875" customWidth="1"/>
    <col min="50" max="50" width="14.296875" customWidth="1"/>
    <col min="51" max="58" width="11.09765625" customWidth="1"/>
    <col min="59" max="59" width="9.296875" customWidth="1"/>
    <col min="60" max="64" width="11.09765625" customWidth="1"/>
    <col min="65" max="65" width="13.796875" customWidth="1"/>
    <col min="66" max="72" width="11.09765625" customWidth="1"/>
    <col min="73" max="76" width="12.296875" customWidth="1"/>
    <col min="77" max="77" width="10" customWidth="1"/>
    <col min="78" max="78" width="12.296875" customWidth="1"/>
    <col min="79" max="79" width="12.09765625" customWidth="1"/>
    <col min="80" max="80" width="12" customWidth="1"/>
    <col min="81" max="81" width="11.59765625" customWidth="1"/>
    <col min="82" max="82" width="12.8984375" customWidth="1"/>
  </cols>
  <sheetData>
    <row r="1" spans="1:82" ht="50.25" customHeight="1">
      <c r="A1" s="165" t="s">
        <v>0</v>
      </c>
      <c r="B1" s="166" t="s">
        <v>1</v>
      </c>
      <c r="C1" s="166" t="s">
        <v>2</v>
      </c>
      <c r="D1" s="167" t="s">
        <v>3</v>
      </c>
      <c r="E1" s="168" t="s">
        <v>4</v>
      </c>
      <c r="F1" s="167" t="s">
        <v>5</v>
      </c>
      <c r="G1" s="167" t="s">
        <v>6</v>
      </c>
      <c r="H1" s="167" t="s">
        <v>7</v>
      </c>
      <c r="I1" s="1" t="s">
        <v>8</v>
      </c>
      <c r="J1" s="167" t="s">
        <v>9</v>
      </c>
      <c r="K1" s="166" t="s">
        <v>10</v>
      </c>
      <c r="L1" s="167" t="s">
        <v>11</v>
      </c>
      <c r="M1" s="167" t="s">
        <v>12</v>
      </c>
      <c r="N1" s="167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2" t="s">
        <v>18</v>
      </c>
      <c r="T1" s="1" t="s">
        <v>13</v>
      </c>
      <c r="U1" s="1" t="s">
        <v>19</v>
      </c>
      <c r="V1" s="1" t="s">
        <v>20</v>
      </c>
      <c r="W1" s="2" t="s">
        <v>21</v>
      </c>
      <c r="X1" s="1" t="s">
        <v>22</v>
      </c>
      <c r="Y1" s="167" t="s">
        <v>23</v>
      </c>
      <c r="Z1" s="4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5" t="s">
        <v>45</v>
      </c>
      <c r="AV1" s="5" t="s">
        <v>46</v>
      </c>
      <c r="AW1" s="5" t="s">
        <v>47</v>
      </c>
      <c r="AX1" s="1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5" t="s">
        <v>60</v>
      </c>
      <c r="BK1" s="5" t="s">
        <v>61</v>
      </c>
      <c r="BL1" s="5" t="s">
        <v>47</v>
      </c>
      <c r="BM1" s="6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8" t="s">
        <v>68</v>
      </c>
      <c r="BT1" s="9" t="s">
        <v>69</v>
      </c>
      <c r="BU1" s="10" t="s">
        <v>70</v>
      </c>
      <c r="BV1" s="10" t="s">
        <v>63</v>
      </c>
      <c r="BW1" s="10" t="s">
        <v>64</v>
      </c>
      <c r="BX1" s="10" t="s">
        <v>71</v>
      </c>
      <c r="BY1" s="10" t="s">
        <v>72</v>
      </c>
      <c r="BZ1" s="11" t="s">
        <v>73</v>
      </c>
      <c r="CA1" s="11" t="s">
        <v>74</v>
      </c>
      <c r="CB1" s="11" t="s">
        <v>75</v>
      </c>
      <c r="CC1" s="11" t="s">
        <v>76</v>
      </c>
      <c r="CD1" s="11" t="s">
        <v>77</v>
      </c>
    </row>
    <row r="2" spans="1:82" ht="43.5" customHeight="1">
      <c r="A2" s="12" t="s">
        <v>78</v>
      </c>
      <c r="B2" s="13">
        <v>0.23499999999999999</v>
      </c>
      <c r="C2" s="12"/>
      <c r="D2" s="14">
        <v>32</v>
      </c>
      <c r="E2" s="14">
        <v>3204</v>
      </c>
      <c r="F2" s="14">
        <v>1</v>
      </c>
      <c r="G2" s="14" t="s">
        <v>79</v>
      </c>
      <c r="H2" s="15" t="s">
        <v>80</v>
      </c>
      <c r="I2" s="14">
        <v>1.1000000000000001</v>
      </c>
      <c r="J2" s="14" t="s">
        <v>81</v>
      </c>
      <c r="K2" s="14" t="s">
        <v>82</v>
      </c>
      <c r="L2" s="14" t="s">
        <v>83</v>
      </c>
      <c r="M2" s="14" t="s">
        <v>84</v>
      </c>
      <c r="N2" s="14">
        <v>0</v>
      </c>
      <c r="O2" s="16">
        <v>3204001</v>
      </c>
      <c r="P2" s="17">
        <v>2024257990001</v>
      </c>
      <c r="Q2" s="14" t="s">
        <v>85</v>
      </c>
      <c r="R2" s="18">
        <v>1</v>
      </c>
      <c r="S2" s="14" t="s">
        <v>86</v>
      </c>
      <c r="T2" s="14" t="s">
        <v>87</v>
      </c>
      <c r="U2" s="14" t="s">
        <v>88</v>
      </c>
      <c r="V2" s="14" t="s">
        <v>89</v>
      </c>
      <c r="W2" s="14" t="s">
        <v>90</v>
      </c>
      <c r="X2" s="14" t="s">
        <v>91</v>
      </c>
      <c r="Y2" s="19"/>
      <c r="Z2" s="14">
        <f t="shared" ref="Z2:Z7" si="0">SUM(AF2:AI2)</f>
        <v>4</v>
      </c>
      <c r="AA2" s="20">
        <f t="shared" ref="AA2:AA256" si="1">AS2/Z2</f>
        <v>0.25</v>
      </c>
      <c r="AB2" s="20">
        <f t="shared" ref="AB2:AB256" si="2">BI2/Z2</f>
        <v>0.21249999999999999</v>
      </c>
      <c r="AC2" s="21"/>
      <c r="AD2" s="21"/>
      <c r="AE2" s="21">
        <f t="shared" ref="AE2:AE256" si="3">SUMPRODUCT(AA2:AD2, {0.15,0.35,0.35,0.15})</f>
        <v>0.111875</v>
      </c>
      <c r="AF2" s="14">
        <v>1</v>
      </c>
      <c r="AG2" s="14">
        <v>1</v>
      </c>
      <c r="AH2" s="14">
        <v>1</v>
      </c>
      <c r="AI2" s="14">
        <v>1</v>
      </c>
      <c r="AJ2" s="14"/>
      <c r="AK2" s="14"/>
      <c r="AL2" s="14"/>
      <c r="AM2" s="14"/>
      <c r="AN2" s="14">
        <v>0.7</v>
      </c>
      <c r="AO2" s="14">
        <v>0.7</v>
      </c>
      <c r="AP2" s="14">
        <v>0.3</v>
      </c>
      <c r="AQ2" s="14">
        <v>0.3</v>
      </c>
      <c r="AR2" s="22">
        <f t="shared" ref="AR2:AS2" si="4">(AJ2+AL2+AN2+AP2)</f>
        <v>1</v>
      </c>
      <c r="AS2" s="22">
        <f t="shared" si="4"/>
        <v>1</v>
      </c>
      <c r="AT2" s="22">
        <f t="shared" ref="AT2:AT24" si="5">AS2/AR2</f>
        <v>1</v>
      </c>
      <c r="AU2" s="23" t="str">
        <f t="shared" ref="AU2:AU24" si="6">MIN((AR2 /AR2) * 100, 100) &amp; "%"</f>
        <v>100%</v>
      </c>
      <c r="AV2" s="24">
        <f t="shared" ref="AV2:AV223" si="7">IF(AR2=0, 0, AS2/AR2)</f>
        <v>1</v>
      </c>
      <c r="AW2" s="14" t="s">
        <v>92</v>
      </c>
      <c r="AX2" s="25" t="s">
        <v>93</v>
      </c>
      <c r="AY2" s="14">
        <v>0.15</v>
      </c>
      <c r="AZ2" s="14">
        <v>0.15</v>
      </c>
      <c r="BA2" s="14">
        <v>0.35</v>
      </c>
      <c r="BB2" s="14">
        <v>0.35</v>
      </c>
      <c r="BC2" s="14">
        <v>0.35</v>
      </c>
      <c r="BD2" s="14">
        <v>0.35</v>
      </c>
      <c r="BE2" s="14">
        <v>0.15</v>
      </c>
      <c r="BF2" s="14"/>
      <c r="BG2" s="22">
        <f t="shared" ref="BG2:BH2" si="8">(AY2+BA2+BC2+BE2)</f>
        <v>1</v>
      </c>
      <c r="BH2" s="22">
        <f t="shared" si="8"/>
        <v>0.85</v>
      </c>
      <c r="BI2" s="22">
        <f t="shared" ref="BI2:BI20" si="9">BH2/BG2</f>
        <v>0.85</v>
      </c>
      <c r="BJ2" s="23" t="str">
        <f t="shared" ref="BJ2:BJ20" si="10">MIN((BG2 /BG2) * 100, 100) &amp; "%"</f>
        <v>100%</v>
      </c>
      <c r="BK2" s="24">
        <f t="shared" ref="BK2:BK20" si="11">IF(BG2=0, 0, BH2/BG2)</f>
        <v>0.85</v>
      </c>
      <c r="BL2" s="22" t="s">
        <v>92</v>
      </c>
      <c r="BM2" s="25" t="s">
        <v>94</v>
      </c>
      <c r="BN2" s="27">
        <v>3404125267</v>
      </c>
      <c r="BO2" s="27">
        <v>205200000</v>
      </c>
      <c r="BP2" s="27">
        <v>52700000</v>
      </c>
      <c r="BQ2" s="27">
        <v>52700000</v>
      </c>
      <c r="BR2" s="27">
        <f t="shared" ref="BR2:BS2" si="12">+BN2+BP2</f>
        <v>3456825267</v>
      </c>
      <c r="BS2" s="27">
        <f t="shared" si="12"/>
        <v>257900000</v>
      </c>
      <c r="BT2" s="20">
        <f t="shared" ref="BT2:BT256" si="13">IFERROR(BS2/BR2, "")</f>
        <v>7.4606027230244731E-2</v>
      </c>
      <c r="BU2" s="27">
        <v>924152848</v>
      </c>
      <c r="BV2" s="27">
        <v>3404125267</v>
      </c>
      <c r="BW2" s="27">
        <v>1405200000</v>
      </c>
      <c r="BX2" s="27">
        <v>148860000</v>
      </c>
      <c r="BY2" s="28">
        <f t="shared" ref="BY2:BY37" si="14">IFERROR(BW2/BV2, "")</f>
        <v>0.41279326986646991</v>
      </c>
      <c r="BZ2" s="27">
        <v>913789867</v>
      </c>
      <c r="CA2" s="20">
        <v>950341565</v>
      </c>
      <c r="CB2" s="29">
        <v>993344662</v>
      </c>
      <c r="CC2" s="29">
        <v>1035710435</v>
      </c>
      <c r="CD2" s="29">
        <v>3893186529</v>
      </c>
    </row>
    <row r="3" spans="1:82" ht="54" customHeight="1">
      <c r="A3" s="12" t="s">
        <v>95</v>
      </c>
      <c r="B3" s="13">
        <v>0.23499999999999999</v>
      </c>
      <c r="C3" s="12"/>
      <c r="D3" s="14">
        <v>32</v>
      </c>
      <c r="E3" s="14">
        <v>3204</v>
      </c>
      <c r="F3" s="14">
        <v>1</v>
      </c>
      <c r="G3" s="14" t="s">
        <v>79</v>
      </c>
      <c r="H3" s="15" t="s">
        <v>80</v>
      </c>
      <c r="I3" s="14">
        <v>1.1000000000000001</v>
      </c>
      <c r="J3" s="14" t="s">
        <v>81</v>
      </c>
      <c r="K3" s="14" t="s">
        <v>82</v>
      </c>
      <c r="L3" s="14" t="s">
        <v>83</v>
      </c>
      <c r="M3" s="14" t="s">
        <v>84</v>
      </c>
      <c r="N3" s="14">
        <v>0</v>
      </c>
      <c r="O3" s="16">
        <v>3204002</v>
      </c>
      <c r="P3" s="17">
        <v>2024257990001</v>
      </c>
      <c r="Q3" s="14" t="s">
        <v>85</v>
      </c>
      <c r="R3" s="18">
        <v>2</v>
      </c>
      <c r="S3" s="14" t="s">
        <v>96</v>
      </c>
      <c r="T3" s="14">
        <v>0</v>
      </c>
      <c r="U3" s="14" t="s">
        <v>88</v>
      </c>
      <c r="V3" s="14" t="s">
        <v>89</v>
      </c>
      <c r="W3" s="14" t="s">
        <v>97</v>
      </c>
      <c r="X3" s="14" t="s">
        <v>91</v>
      </c>
      <c r="Y3" s="19"/>
      <c r="Z3" s="18">
        <f t="shared" si="0"/>
        <v>4</v>
      </c>
      <c r="AA3" s="20">
        <f t="shared" si="1"/>
        <v>0.2475</v>
      </c>
      <c r="AB3" s="20">
        <f t="shared" si="2"/>
        <v>0.21249999999999999</v>
      </c>
      <c r="AC3" s="21"/>
      <c r="AD3" s="21"/>
      <c r="AE3" s="21">
        <f t="shared" si="3"/>
        <v>0.11149999999999999</v>
      </c>
      <c r="AF3" s="29">
        <v>1</v>
      </c>
      <c r="AG3" s="29">
        <v>1</v>
      </c>
      <c r="AH3" s="14">
        <v>1</v>
      </c>
      <c r="AI3" s="14">
        <v>1</v>
      </c>
      <c r="AJ3" s="26"/>
      <c r="AK3" s="26"/>
      <c r="AL3" s="26"/>
      <c r="AM3" s="26"/>
      <c r="AN3" s="14">
        <v>0.65</v>
      </c>
      <c r="AO3" s="14">
        <v>0.65</v>
      </c>
      <c r="AP3" s="14">
        <v>0.35</v>
      </c>
      <c r="AQ3" s="26">
        <v>0.34</v>
      </c>
      <c r="AR3" s="22">
        <f t="shared" ref="AR3:AS3" si="15">(AJ3+AL3+AN3+AP3)</f>
        <v>1</v>
      </c>
      <c r="AS3" s="22">
        <f t="shared" si="15"/>
        <v>0.99</v>
      </c>
      <c r="AT3" s="22">
        <f t="shared" si="5"/>
        <v>0.99</v>
      </c>
      <c r="AU3" s="23" t="str">
        <f t="shared" si="6"/>
        <v>100%</v>
      </c>
      <c r="AV3" s="24">
        <f t="shared" si="7"/>
        <v>0.99</v>
      </c>
      <c r="AW3" s="14" t="s">
        <v>92</v>
      </c>
      <c r="AX3" s="25" t="s">
        <v>98</v>
      </c>
      <c r="AY3" s="14">
        <v>0.15</v>
      </c>
      <c r="AZ3" s="14">
        <v>0.15</v>
      </c>
      <c r="BA3" s="14">
        <v>0.35</v>
      </c>
      <c r="BB3" s="14">
        <v>0.35</v>
      </c>
      <c r="BC3" s="14">
        <v>0.35</v>
      </c>
      <c r="BD3" s="14">
        <v>0.35</v>
      </c>
      <c r="BE3" s="14">
        <v>0.15</v>
      </c>
      <c r="BF3" s="26"/>
      <c r="BG3" s="22">
        <f t="shared" ref="BG3:BH3" si="16">(AY3+BA3+BC3+BE3)</f>
        <v>1</v>
      </c>
      <c r="BH3" s="22">
        <f t="shared" si="16"/>
        <v>0.85</v>
      </c>
      <c r="BI3" s="22">
        <f t="shared" si="9"/>
        <v>0.85</v>
      </c>
      <c r="BJ3" s="23" t="str">
        <f t="shared" si="10"/>
        <v>100%</v>
      </c>
      <c r="BK3" s="24">
        <f t="shared" si="11"/>
        <v>0.85</v>
      </c>
      <c r="BL3" s="22" t="s">
        <v>92</v>
      </c>
      <c r="BM3" s="25" t="s">
        <v>99</v>
      </c>
      <c r="BN3" s="27">
        <v>419330408</v>
      </c>
      <c r="BO3" s="27">
        <v>151546432</v>
      </c>
      <c r="BP3" s="27">
        <v>91418093</v>
      </c>
      <c r="BQ3" s="27">
        <v>91418093</v>
      </c>
      <c r="BR3" s="27">
        <f t="shared" ref="BR3:BS3" si="17">+BN3+BP3</f>
        <v>510748501</v>
      </c>
      <c r="BS3" s="27">
        <f t="shared" si="17"/>
        <v>242964525</v>
      </c>
      <c r="BT3" s="20">
        <f t="shared" si="13"/>
        <v>0.47570286456895544</v>
      </c>
      <c r="BU3" s="27">
        <v>315064557</v>
      </c>
      <c r="BV3" s="27">
        <v>419330408</v>
      </c>
      <c r="BW3" s="27">
        <v>198752519</v>
      </c>
      <c r="BX3" s="27">
        <v>147625458</v>
      </c>
      <c r="BY3" s="28">
        <f t="shared" si="14"/>
        <v>0.47397592735511801</v>
      </c>
      <c r="BZ3" s="27">
        <v>210000000</v>
      </c>
      <c r="CA3" s="20">
        <v>214200000</v>
      </c>
      <c r="CB3" s="29">
        <v>218484000</v>
      </c>
      <c r="CC3" s="29">
        <v>225038520</v>
      </c>
      <c r="CD3" s="29">
        <v>867722520</v>
      </c>
    </row>
    <row r="4" spans="1:82" ht="54" customHeight="1">
      <c r="A4" s="12" t="s">
        <v>78</v>
      </c>
      <c r="B4" s="13">
        <v>0.23499999999999999</v>
      </c>
      <c r="C4" s="12"/>
      <c r="D4" s="14">
        <v>32</v>
      </c>
      <c r="E4" s="14">
        <v>3204</v>
      </c>
      <c r="F4" s="14">
        <v>1</v>
      </c>
      <c r="G4" s="14" t="s">
        <v>79</v>
      </c>
      <c r="H4" s="15" t="s">
        <v>80</v>
      </c>
      <c r="I4" s="14">
        <v>1.1000000000000001</v>
      </c>
      <c r="J4" s="14" t="s">
        <v>81</v>
      </c>
      <c r="K4" s="14" t="s">
        <v>82</v>
      </c>
      <c r="L4" s="14" t="s">
        <v>83</v>
      </c>
      <c r="M4" s="14" t="s">
        <v>84</v>
      </c>
      <c r="N4" s="14">
        <v>0</v>
      </c>
      <c r="O4" s="16">
        <v>3204006</v>
      </c>
      <c r="P4" s="17">
        <v>2024257990001</v>
      </c>
      <c r="Q4" s="14" t="s">
        <v>85</v>
      </c>
      <c r="R4" s="18">
        <v>3</v>
      </c>
      <c r="S4" s="14" t="s">
        <v>100</v>
      </c>
      <c r="T4" s="14">
        <v>0</v>
      </c>
      <c r="U4" s="14" t="s">
        <v>88</v>
      </c>
      <c r="V4" s="14" t="s">
        <v>89</v>
      </c>
      <c r="W4" s="14" t="s">
        <v>101</v>
      </c>
      <c r="X4" s="14" t="s">
        <v>91</v>
      </c>
      <c r="Y4" s="19"/>
      <c r="Z4" s="18">
        <f t="shared" si="0"/>
        <v>4</v>
      </c>
      <c r="AA4" s="20">
        <f t="shared" si="1"/>
        <v>0.25</v>
      </c>
      <c r="AB4" s="20">
        <f t="shared" si="2"/>
        <v>0.11842105263157894</v>
      </c>
      <c r="AC4" s="21"/>
      <c r="AD4" s="21"/>
      <c r="AE4" s="21">
        <f t="shared" si="3"/>
        <v>7.8947368421052627E-2</v>
      </c>
      <c r="AF4" s="29">
        <v>1</v>
      </c>
      <c r="AG4" s="29">
        <v>1</v>
      </c>
      <c r="AH4" s="14">
        <v>1</v>
      </c>
      <c r="AI4" s="14">
        <v>1</v>
      </c>
      <c r="AJ4" s="26"/>
      <c r="AK4" s="26"/>
      <c r="AL4" s="26"/>
      <c r="AM4" s="26"/>
      <c r="AN4" s="26">
        <v>0.2</v>
      </c>
      <c r="AO4" s="26">
        <v>0.2</v>
      </c>
      <c r="AP4" s="26">
        <v>0.8</v>
      </c>
      <c r="AQ4" s="26">
        <v>0.8</v>
      </c>
      <c r="AR4" s="22">
        <f t="shared" ref="AR4:AS4" si="18">(AJ4+AL4+AN4+AP4)</f>
        <v>1</v>
      </c>
      <c r="AS4" s="22">
        <f t="shared" si="18"/>
        <v>1</v>
      </c>
      <c r="AT4" s="22">
        <f t="shared" si="5"/>
        <v>1</v>
      </c>
      <c r="AU4" s="23" t="str">
        <f t="shared" si="6"/>
        <v>100%</v>
      </c>
      <c r="AV4" s="24">
        <f t="shared" si="7"/>
        <v>1</v>
      </c>
      <c r="AW4" s="14" t="s">
        <v>92</v>
      </c>
      <c r="AX4" s="30" t="s">
        <v>102</v>
      </c>
      <c r="AY4" s="14">
        <v>0.15</v>
      </c>
      <c r="AZ4" s="14">
        <v>0</v>
      </c>
      <c r="BA4" s="14">
        <v>0.1</v>
      </c>
      <c r="BB4" s="14">
        <v>0.1</v>
      </c>
      <c r="BC4" s="14">
        <v>0.35</v>
      </c>
      <c r="BD4" s="14">
        <v>0.35</v>
      </c>
      <c r="BE4" s="14">
        <v>0.35</v>
      </c>
      <c r="BF4" s="26"/>
      <c r="BG4" s="22">
        <f t="shared" ref="BG4:BH4" si="19">(AY4+BA4+BC4+BE4)</f>
        <v>0.95</v>
      </c>
      <c r="BH4" s="22">
        <f t="shared" si="19"/>
        <v>0.44999999999999996</v>
      </c>
      <c r="BI4" s="22">
        <f t="shared" si="9"/>
        <v>0.47368421052631576</v>
      </c>
      <c r="BJ4" s="23" t="str">
        <f t="shared" si="10"/>
        <v>100%</v>
      </c>
      <c r="BK4" s="24">
        <f t="shared" si="11"/>
        <v>0.47368421052631576</v>
      </c>
      <c r="BL4" s="22" t="s">
        <v>92</v>
      </c>
      <c r="BM4" s="25" t="s">
        <v>103</v>
      </c>
      <c r="BN4" s="27">
        <v>234094874</v>
      </c>
      <c r="BO4" s="27">
        <v>0</v>
      </c>
      <c r="BP4" s="27">
        <v>183385555</v>
      </c>
      <c r="BQ4" s="27">
        <v>183385555</v>
      </c>
      <c r="BR4" s="27">
        <f t="shared" ref="BR4:BS4" si="20">+BN4+BP4</f>
        <v>417480429</v>
      </c>
      <c r="BS4" s="27">
        <f t="shared" si="20"/>
        <v>183385555</v>
      </c>
      <c r="BT4" s="20">
        <f t="shared" si="13"/>
        <v>0.43926742970746541</v>
      </c>
      <c r="BU4" s="27">
        <v>130000000</v>
      </c>
      <c r="BV4" s="27">
        <v>234094874</v>
      </c>
      <c r="BW4" s="27">
        <v>0</v>
      </c>
      <c r="BX4" s="27">
        <v>0</v>
      </c>
      <c r="BY4" s="28">
        <f t="shared" si="14"/>
        <v>0</v>
      </c>
      <c r="BZ4" s="27">
        <v>159000000</v>
      </c>
      <c r="CA4" s="20">
        <v>162180000</v>
      </c>
      <c r="CB4" s="29">
        <v>165423600</v>
      </c>
      <c r="CC4" s="29">
        <v>170386308</v>
      </c>
      <c r="CD4" s="29">
        <v>656989908</v>
      </c>
    </row>
    <row r="5" spans="1:82" ht="68.400000000000006">
      <c r="A5" s="12" t="s">
        <v>95</v>
      </c>
      <c r="B5" s="13">
        <v>0.23499999999999999</v>
      </c>
      <c r="C5" s="12"/>
      <c r="D5" s="14">
        <v>32</v>
      </c>
      <c r="E5" s="14">
        <v>3204</v>
      </c>
      <c r="F5" s="14">
        <v>1</v>
      </c>
      <c r="G5" s="14" t="s">
        <v>79</v>
      </c>
      <c r="H5" s="15" t="s">
        <v>80</v>
      </c>
      <c r="I5" s="14">
        <v>1.2</v>
      </c>
      <c r="J5" s="14" t="s">
        <v>104</v>
      </c>
      <c r="K5" s="14" t="s">
        <v>105</v>
      </c>
      <c r="L5" s="14" t="s">
        <v>106</v>
      </c>
      <c r="M5" s="14" t="s">
        <v>107</v>
      </c>
      <c r="N5" s="14">
        <v>0</v>
      </c>
      <c r="O5" s="16">
        <v>3204001</v>
      </c>
      <c r="P5" s="17">
        <v>2024257990001</v>
      </c>
      <c r="Q5" s="14" t="s">
        <v>85</v>
      </c>
      <c r="R5" s="18">
        <v>4</v>
      </c>
      <c r="S5" s="14" t="s">
        <v>108</v>
      </c>
      <c r="T5" s="14">
        <v>0</v>
      </c>
      <c r="U5" s="14" t="s">
        <v>109</v>
      </c>
      <c r="V5" s="14" t="s">
        <v>89</v>
      </c>
      <c r="W5" s="14" t="s">
        <v>110</v>
      </c>
      <c r="X5" s="14" t="s">
        <v>91</v>
      </c>
      <c r="Y5" s="19"/>
      <c r="Z5" s="20">
        <f t="shared" si="0"/>
        <v>0.25</v>
      </c>
      <c r="AA5" s="20">
        <f t="shared" si="1"/>
        <v>0.2</v>
      </c>
      <c r="AB5" s="20">
        <f t="shared" si="2"/>
        <v>3.2</v>
      </c>
      <c r="AC5" s="21"/>
      <c r="AD5" s="21"/>
      <c r="AE5" s="21">
        <f t="shared" si="3"/>
        <v>1.1499999999999999</v>
      </c>
      <c r="AF5" s="24">
        <v>0.04</v>
      </c>
      <c r="AG5" s="24">
        <v>0.08</v>
      </c>
      <c r="AH5" s="24">
        <v>0.1</v>
      </c>
      <c r="AI5" s="24">
        <v>0.03</v>
      </c>
      <c r="AJ5" s="26"/>
      <c r="AK5" s="26"/>
      <c r="AL5" s="26"/>
      <c r="AM5" s="26"/>
      <c r="AN5" s="24">
        <v>0.04</v>
      </c>
      <c r="AO5" s="24">
        <v>0.04</v>
      </c>
      <c r="AP5" s="24">
        <v>0.04</v>
      </c>
      <c r="AQ5" s="24">
        <v>0.01</v>
      </c>
      <c r="AR5" s="24">
        <f t="shared" ref="AR5:AS5" si="21">(AJ5+AL5+AN5+AP5)</f>
        <v>0.08</v>
      </c>
      <c r="AS5" s="24">
        <f t="shared" si="21"/>
        <v>0.05</v>
      </c>
      <c r="AT5" s="24">
        <f t="shared" si="5"/>
        <v>0.625</v>
      </c>
      <c r="AU5" s="23" t="str">
        <f t="shared" si="6"/>
        <v>100%</v>
      </c>
      <c r="AV5" s="24">
        <f t="shared" si="7"/>
        <v>0.625</v>
      </c>
      <c r="AW5" s="14" t="s">
        <v>92</v>
      </c>
      <c r="AX5" s="30" t="s">
        <v>111</v>
      </c>
      <c r="AY5" s="20">
        <v>0.05</v>
      </c>
      <c r="AZ5" s="20">
        <v>0.05</v>
      </c>
      <c r="BA5" s="20">
        <v>0.1</v>
      </c>
      <c r="BB5" s="20">
        <v>0.1</v>
      </c>
      <c r="BC5" s="20">
        <v>0.05</v>
      </c>
      <c r="BD5" s="20">
        <v>0.05</v>
      </c>
      <c r="BE5" s="20">
        <v>0.05</v>
      </c>
      <c r="BF5" s="26"/>
      <c r="BG5" s="20">
        <f t="shared" ref="BG5:BH5" si="22">(AY5+BA5+BC5+BE5)</f>
        <v>0.25</v>
      </c>
      <c r="BH5" s="20">
        <f t="shared" si="22"/>
        <v>0.2</v>
      </c>
      <c r="BI5" s="20">
        <f t="shared" si="9"/>
        <v>0.8</v>
      </c>
      <c r="BJ5" s="23" t="str">
        <f t="shared" si="10"/>
        <v>100%</v>
      </c>
      <c r="BK5" s="24">
        <f t="shared" si="11"/>
        <v>0.8</v>
      </c>
      <c r="BL5" s="22" t="s">
        <v>92</v>
      </c>
      <c r="BM5" s="25" t="s">
        <v>112</v>
      </c>
      <c r="BN5" s="27">
        <v>100000000</v>
      </c>
      <c r="BO5" s="27">
        <v>0</v>
      </c>
      <c r="BP5" s="27">
        <v>0</v>
      </c>
      <c r="BQ5" s="27">
        <v>0</v>
      </c>
      <c r="BR5" s="27">
        <f t="shared" ref="BR5:BS5" si="23">+BN5+BP5</f>
        <v>100000000</v>
      </c>
      <c r="BS5" s="27">
        <f t="shared" si="23"/>
        <v>0</v>
      </c>
      <c r="BT5" s="20">
        <f t="shared" si="13"/>
        <v>0</v>
      </c>
      <c r="BU5" s="27">
        <v>60000000</v>
      </c>
      <c r="BV5" s="27">
        <v>100000000</v>
      </c>
      <c r="BW5" s="27">
        <v>60000000</v>
      </c>
      <c r="BX5" s="27">
        <v>26333332</v>
      </c>
      <c r="BY5" s="28">
        <f t="shared" si="14"/>
        <v>0.6</v>
      </c>
      <c r="BZ5" s="27">
        <v>45000000</v>
      </c>
      <c r="CA5" s="20">
        <v>45900000</v>
      </c>
      <c r="CB5" s="29">
        <v>46818000</v>
      </c>
      <c r="CC5" s="29">
        <v>48222540</v>
      </c>
      <c r="CD5" s="29">
        <v>185940540</v>
      </c>
    </row>
    <row r="6" spans="1:82" ht="54" customHeight="1">
      <c r="A6" s="12" t="s">
        <v>95</v>
      </c>
      <c r="B6" s="13">
        <v>0.23499999999999999</v>
      </c>
      <c r="C6" s="12"/>
      <c r="D6" s="14">
        <v>32</v>
      </c>
      <c r="E6" s="14">
        <v>3204</v>
      </c>
      <c r="F6" s="14">
        <v>1</v>
      </c>
      <c r="G6" s="14" t="s">
        <v>79</v>
      </c>
      <c r="H6" s="15" t="s">
        <v>80</v>
      </c>
      <c r="I6" s="14">
        <v>1.2</v>
      </c>
      <c r="J6" s="14" t="s">
        <v>104</v>
      </c>
      <c r="K6" s="14" t="s">
        <v>105</v>
      </c>
      <c r="L6" s="14" t="s">
        <v>106</v>
      </c>
      <c r="M6" s="14" t="s">
        <v>107</v>
      </c>
      <c r="N6" s="14">
        <v>0</v>
      </c>
      <c r="O6" s="16">
        <v>3204001</v>
      </c>
      <c r="P6" s="17">
        <v>2024257990001</v>
      </c>
      <c r="Q6" s="14" t="s">
        <v>85</v>
      </c>
      <c r="R6" s="18">
        <v>5</v>
      </c>
      <c r="S6" s="14" t="s">
        <v>113</v>
      </c>
      <c r="T6" s="14">
        <v>1</v>
      </c>
      <c r="U6" s="14" t="s">
        <v>88</v>
      </c>
      <c r="V6" s="14" t="s">
        <v>114</v>
      </c>
      <c r="W6" s="14" t="s">
        <v>115</v>
      </c>
      <c r="X6" s="14" t="s">
        <v>91</v>
      </c>
      <c r="Y6" s="19"/>
      <c r="Z6" s="18">
        <f t="shared" si="0"/>
        <v>1</v>
      </c>
      <c r="AA6" s="20">
        <f t="shared" si="1"/>
        <v>1</v>
      </c>
      <c r="AB6" s="20">
        <f t="shared" si="2"/>
        <v>1</v>
      </c>
      <c r="AC6" s="21"/>
      <c r="AD6" s="21"/>
      <c r="AE6" s="21">
        <f t="shared" si="3"/>
        <v>0.5</v>
      </c>
      <c r="AF6" s="22">
        <v>0.1</v>
      </c>
      <c r="AG6" s="22">
        <v>0.4</v>
      </c>
      <c r="AH6" s="22">
        <v>0.4</v>
      </c>
      <c r="AI6" s="22">
        <v>0.1</v>
      </c>
      <c r="AJ6" s="26"/>
      <c r="AK6" s="26"/>
      <c r="AL6" s="26"/>
      <c r="AM6" s="26"/>
      <c r="AN6" s="26">
        <v>0.7</v>
      </c>
      <c r="AO6" s="26">
        <v>0.7</v>
      </c>
      <c r="AP6" s="26">
        <v>0.3</v>
      </c>
      <c r="AQ6" s="26">
        <v>0.3</v>
      </c>
      <c r="AR6" s="22">
        <f t="shared" ref="AR6:AS6" si="24">(AJ6+AL6+AN6+AP6)</f>
        <v>1</v>
      </c>
      <c r="AS6" s="22">
        <f t="shared" si="24"/>
        <v>1</v>
      </c>
      <c r="AT6" s="22">
        <f t="shared" si="5"/>
        <v>1</v>
      </c>
      <c r="AU6" s="23" t="str">
        <f t="shared" si="6"/>
        <v>100%</v>
      </c>
      <c r="AV6" s="24">
        <f t="shared" si="7"/>
        <v>1</v>
      </c>
      <c r="AW6" s="14" t="s">
        <v>92</v>
      </c>
      <c r="AX6" s="30" t="s">
        <v>116</v>
      </c>
      <c r="AY6" s="14">
        <v>0.1</v>
      </c>
      <c r="AZ6" s="14">
        <v>0.1</v>
      </c>
      <c r="BA6" s="14">
        <v>0.1</v>
      </c>
      <c r="BB6" s="14">
        <v>0.1</v>
      </c>
      <c r="BC6" s="14">
        <v>0.2</v>
      </c>
      <c r="BD6" s="14">
        <v>0.2</v>
      </c>
      <c r="BE6" s="14">
        <v>0</v>
      </c>
      <c r="BF6" s="26"/>
      <c r="BG6" s="22">
        <f t="shared" ref="BG6:BH6" si="25">(AY6+BA6+BC6+BE6)</f>
        <v>0.4</v>
      </c>
      <c r="BH6" s="22">
        <f t="shared" si="25"/>
        <v>0.4</v>
      </c>
      <c r="BI6" s="22">
        <f t="shared" si="9"/>
        <v>1</v>
      </c>
      <c r="BJ6" s="23" t="str">
        <f t="shared" si="10"/>
        <v>100%</v>
      </c>
      <c r="BK6" s="24">
        <f t="shared" si="11"/>
        <v>1</v>
      </c>
      <c r="BL6" s="22" t="s">
        <v>92</v>
      </c>
      <c r="BM6" s="25" t="s">
        <v>117</v>
      </c>
      <c r="BN6" s="27">
        <v>39048521</v>
      </c>
      <c r="BO6" s="27">
        <v>34240000</v>
      </c>
      <c r="BP6" s="27">
        <v>11778450</v>
      </c>
      <c r="BQ6" s="27">
        <v>11778450</v>
      </c>
      <c r="BR6" s="27">
        <f t="shared" ref="BR6:BS6" si="26">+BN6+BP6</f>
        <v>50826971</v>
      </c>
      <c r="BS6" s="27">
        <f t="shared" si="26"/>
        <v>46018450</v>
      </c>
      <c r="BT6" s="20">
        <f t="shared" si="13"/>
        <v>0.90539430335126603</v>
      </c>
      <c r="BU6" s="27">
        <v>35826971</v>
      </c>
      <c r="BV6" s="27">
        <v>39048521</v>
      </c>
      <c r="BW6" s="27">
        <v>34240000</v>
      </c>
      <c r="BX6" s="27">
        <v>24853333</v>
      </c>
      <c r="BY6" s="28">
        <f t="shared" si="14"/>
        <v>0.87685779443477518</v>
      </c>
      <c r="BZ6" s="27">
        <v>60000000</v>
      </c>
      <c r="CA6" s="20">
        <v>61200000</v>
      </c>
      <c r="CB6" s="29">
        <v>62424000</v>
      </c>
      <c r="CC6" s="29">
        <v>64296720</v>
      </c>
      <c r="CD6" s="29">
        <v>247920720</v>
      </c>
    </row>
    <row r="7" spans="1:82" ht="54" customHeight="1">
      <c r="A7" s="12" t="s">
        <v>95</v>
      </c>
      <c r="B7" s="13">
        <v>0.23499999999999999</v>
      </c>
      <c r="C7" s="12"/>
      <c r="D7" s="14">
        <v>32</v>
      </c>
      <c r="E7" s="14">
        <v>3204</v>
      </c>
      <c r="F7" s="14">
        <v>1</v>
      </c>
      <c r="G7" s="14" t="s">
        <v>79</v>
      </c>
      <c r="H7" s="15" t="s">
        <v>80</v>
      </c>
      <c r="I7" s="14">
        <v>1.2</v>
      </c>
      <c r="J7" s="14" t="s">
        <v>104</v>
      </c>
      <c r="K7" s="14" t="s">
        <v>105</v>
      </c>
      <c r="L7" s="14" t="s">
        <v>106</v>
      </c>
      <c r="M7" s="14" t="s">
        <v>107</v>
      </c>
      <c r="N7" s="14">
        <v>0</v>
      </c>
      <c r="O7" s="16">
        <v>3204049</v>
      </c>
      <c r="P7" s="17">
        <v>2024257990001</v>
      </c>
      <c r="Q7" s="14" t="s">
        <v>85</v>
      </c>
      <c r="R7" s="18">
        <v>6</v>
      </c>
      <c r="S7" s="14" t="s">
        <v>118</v>
      </c>
      <c r="T7" s="14">
        <v>0</v>
      </c>
      <c r="U7" s="14" t="s">
        <v>88</v>
      </c>
      <c r="V7" s="14" t="s">
        <v>89</v>
      </c>
      <c r="W7" s="14" t="s">
        <v>119</v>
      </c>
      <c r="X7" s="14" t="s">
        <v>91</v>
      </c>
      <c r="Y7" s="19"/>
      <c r="Z7" s="18">
        <f t="shared" si="0"/>
        <v>1</v>
      </c>
      <c r="AA7" s="20">
        <f t="shared" si="1"/>
        <v>1</v>
      </c>
      <c r="AB7" s="20">
        <f t="shared" si="2"/>
        <v>0.42499999999999999</v>
      </c>
      <c r="AC7" s="21"/>
      <c r="AD7" s="21"/>
      <c r="AE7" s="21">
        <f t="shared" si="3"/>
        <v>0.29874999999999996</v>
      </c>
      <c r="AF7" s="22">
        <v>0.1</v>
      </c>
      <c r="AG7" s="22">
        <v>0.4</v>
      </c>
      <c r="AH7" s="22">
        <v>0.4</v>
      </c>
      <c r="AI7" s="22">
        <v>0.1</v>
      </c>
      <c r="AJ7" s="26"/>
      <c r="AK7" s="26"/>
      <c r="AL7" s="26"/>
      <c r="AM7" s="26"/>
      <c r="AN7" s="26">
        <v>0.5</v>
      </c>
      <c r="AO7" s="26">
        <v>0.5</v>
      </c>
      <c r="AP7" s="26">
        <v>0.5</v>
      </c>
      <c r="AQ7" s="26">
        <v>0.5</v>
      </c>
      <c r="AR7" s="22">
        <f t="shared" ref="AR7:AS7" si="27">(AJ7+AL7+AN7+AP7)</f>
        <v>1</v>
      </c>
      <c r="AS7" s="22">
        <f t="shared" si="27"/>
        <v>1</v>
      </c>
      <c r="AT7" s="22">
        <f t="shared" si="5"/>
        <v>1</v>
      </c>
      <c r="AU7" s="23" t="str">
        <f t="shared" si="6"/>
        <v>100%</v>
      </c>
      <c r="AV7" s="24">
        <f t="shared" si="7"/>
        <v>1</v>
      </c>
      <c r="AW7" s="14" t="s">
        <v>92</v>
      </c>
      <c r="AX7" s="30" t="s">
        <v>120</v>
      </c>
      <c r="AY7" s="14">
        <v>0.1</v>
      </c>
      <c r="AZ7" s="14">
        <v>0.1</v>
      </c>
      <c r="BA7" s="14">
        <v>0.1</v>
      </c>
      <c r="BB7" s="26">
        <v>0.05</v>
      </c>
      <c r="BC7" s="14">
        <v>0.1</v>
      </c>
      <c r="BD7" s="14">
        <v>0.02</v>
      </c>
      <c r="BE7" s="14">
        <v>0.1</v>
      </c>
      <c r="BF7" s="26"/>
      <c r="BG7" s="22">
        <f t="shared" ref="BG7:BH7" si="28">(AY7+BA7+BC7+BE7)</f>
        <v>0.4</v>
      </c>
      <c r="BH7" s="22">
        <f t="shared" si="28"/>
        <v>0.17</v>
      </c>
      <c r="BI7" s="22">
        <f t="shared" si="9"/>
        <v>0.42499999999999999</v>
      </c>
      <c r="BJ7" s="23" t="str">
        <f t="shared" si="10"/>
        <v>100%</v>
      </c>
      <c r="BK7" s="24">
        <f t="shared" si="11"/>
        <v>0.42499999999999999</v>
      </c>
      <c r="BL7" s="22" t="s">
        <v>92</v>
      </c>
      <c r="BM7" s="25" t="s">
        <v>121</v>
      </c>
      <c r="BN7" s="27">
        <v>55308000</v>
      </c>
      <c r="BO7" s="27">
        <v>38633333</v>
      </c>
      <c r="BP7" s="27">
        <v>209500000</v>
      </c>
      <c r="BQ7" s="27">
        <v>209500000</v>
      </c>
      <c r="BR7" s="27">
        <f t="shared" ref="BR7:BS7" si="29">+BN7+BP7</f>
        <v>264808000</v>
      </c>
      <c r="BS7" s="27">
        <f t="shared" si="29"/>
        <v>248133333</v>
      </c>
      <c r="BT7" s="20">
        <f t="shared" si="13"/>
        <v>0.93703110555572344</v>
      </c>
      <c r="BU7" s="27">
        <v>55308000</v>
      </c>
      <c r="BV7" s="27">
        <v>49633333</v>
      </c>
      <c r="BW7" s="27">
        <v>38633333</v>
      </c>
      <c r="BX7" s="27">
        <v>8233333</v>
      </c>
      <c r="BY7" s="28">
        <f t="shared" si="14"/>
        <v>0.77837474666470619</v>
      </c>
      <c r="BZ7" s="27">
        <v>67000000</v>
      </c>
      <c r="CA7" s="20">
        <v>68340000</v>
      </c>
      <c r="CB7" s="29">
        <v>69706800</v>
      </c>
      <c r="CC7" s="29">
        <v>71798004</v>
      </c>
      <c r="CD7" s="29">
        <v>276844804</v>
      </c>
    </row>
    <row r="8" spans="1:82" ht="63.75" customHeight="1">
      <c r="A8" s="12" t="s">
        <v>95</v>
      </c>
      <c r="B8" s="13">
        <v>0.23499999999999999</v>
      </c>
      <c r="C8" s="12"/>
      <c r="D8" s="14">
        <v>32</v>
      </c>
      <c r="E8" s="14">
        <v>3204</v>
      </c>
      <c r="F8" s="14">
        <v>1</v>
      </c>
      <c r="G8" s="14" t="s">
        <v>79</v>
      </c>
      <c r="H8" s="15" t="s">
        <v>80</v>
      </c>
      <c r="I8" s="14">
        <v>1.2</v>
      </c>
      <c r="J8" s="14" t="s">
        <v>104</v>
      </c>
      <c r="K8" s="14" t="s">
        <v>105</v>
      </c>
      <c r="L8" s="14" t="s">
        <v>106</v>
      </c>
      <c r="M8" s="14" t="s">
        <v>107</v>
      </c>
      <c r="N8" s="14">
        <v>0</v>
      </c>
      <c r="O8" s="16">
        <v>3204056</v>
      </c>
      <c r="P8" s="17">
        <v>2024257990001</v>
      </c>
      <c r="Q8" s="14" t="s">
        <v>85</v>
      </c>
      <c r="R8" s="18">
        <v>7</v>
      </c>
      <c r="S8" s="14" t="s">
        <v>122</v>
      </c>
      <c r="T8" s="14">
        <v>1</v>
      </c>
      <c r="U8" s="14" t="s">
        <v>109</v>
      </c>
      <c r="V8" s="14" t="s">
        <v>114</v>
      </c>
      <c r="W8" s="14" t="s">
        <v>123</v>
      </c>
      <c r="X8" s="14" t="s">
        <v>91</v>
      </c>
      <c r="Y8" s="19" t="s">
        <v>124</v>
      </c>
      <c r="Z8" s="24">
        <f>SUM(AF8:AI8)/4</f>
        <v>1</v>
      </c>
      <c r="AA8" s="20">
        <f t="shared" si="1"/>
        <v>0.4375</v>
      </c>
      <c r="AB8" s="20">
        <f t="shared" si="2"/>
        <v>0.75</v>
      </c>
      <c r="AC8" s="21"/>
      <c r="AD8" s="21"/>
      <c r="AE8" s="21">
        <f t="shared" si="3"/>
        <v>0.32812499999999994</v>
      </c>
      <c r="AF8" s="20">
        <v>1</v>
      </c>
      <c r="AG8" s="20">
        <v>1</v>
      </c>
      <c r="AH8" s="20">
        <v>1</v>
      </c>
      <c r="AI8" s="20">
        <v>1</v>
      </c>
      <c r="AJ8" s="26"/>
      <c r="AK8" s="26"/>
      <c r="AL8" s="26"/>
      <c r="AM8" s="26"/>
      <c r="AN8" s="24">
        <v>0.75</v>
      </c>
      <c r="AO8" s="24">
        <v>0.75</v>
      </c>
      <c r="AP8" s="24">
        <v>0.25</v>
      </c>
      <c r="AQ8" s="23">
        <v>0.125</v>
      </c>
      <c r="AR8" s="24">
        <f t="shared" ref="AR8:AS8" si="30">(AJ8+AL8+AN8+AP8)/2</f>
        <v>0.5</v>
      </c>
      <c r="AS8" s="24">
        <f t="shared" si="30"/>
        <v>0.4375</v>
      </c>
      <c r="AT8" s="24">
        <f t="shared" si="5"/>
        <v>0.875</v>
      </c>
      <c r="AU8" s="23" t="str">
        <f t="shared" si="6"/>
        <v>100%</v>
      </c>
      <c r="AV8" s="24">
        <f t="shared" si="7"/>
        <v>0.875</v>
      </c>
      <c r="AW8" s="14" t="s">
        <v>92</v>
      </c>
      <c r="AX8" s="30" t="s">
        <v>125</v>
      </c>
      <c r="AY8" s="24">
        <v>0.15</v>
      </c>
      <c r="AZ8" s="24">
        <v>0.15</v>
      </c>
      <c r="BA8" s="24">
        <v>0.3</v>
      </c>
      <c r="BB8" s="24">
        <v>0.3</v>
      </c>
      <c r="BC8" s="24">
        <v>0.3</v>
      </c>
      <c r="BD8" s="24">
        <v>0.3</v>
      </c>
      <c r="BE8" s="24">
        <v>0.25</v>
      </c>
      <c r="BF8" s="26"/>
      <c r="BG8" s="20">
        <f t="shared" ref="BG8:BH8" si="31">(AY8+BA8+BC8+BE8)</f>
        <v>1</v>
      </c>
      <c r="BH8" s="20">
        <f t="shared" si="31"/>
        <v>0.75</v>
      </c>
      <c r="BI8" s="20">
        <f t="shared" si="9"/>
        <v>0.75</v>
      </c>
      <c r="BJ8" s="23" t="str">
        <f t="shared" si="10"/>
        <v>100%</v>
      </c>
      <c r="BK8" s="24">
        <f t="shared" si="11"/>
        <v>0.75</v>
      </c>
      <c r="BL8" s="22" t="s">
        <v>92</v>
      </c>
      <c r="BM8" s="25" t="s">
        <v>126</v>
      </c>
      <c r="BN8" s="27">
        <v>81500000</v>
      </c>
      <c r="BO8" s="27">
        <v>30000000</v>
      </c>
      <c r="BP8" s="27">
        <v>10000000</v>
      </c>
      <c r="BQ8" s="27">
        <v>10000000</v>
      </c>
      <c r="BR8" s="27">
        <f t="shared" ref="BR8:BS8" si="32">+BN8+BP8</f>
        <v>91500000</v>
      </c>
      <c r="BS8" s="27">
        <f t="shared" si="32"/>
        <v>40000000</v>
      </c>
      <c r="BT8" s="20">
        <f t="shared" si="13"/>
        <v>0.43715846994535518</v>
      </c>
      <c r="BU8" s="27">
        <v>60000000</v>
      </c>
      <c r="BV8" s="27">
        <v>81500000</v>
      </c>
      <c r="BW8" s="27">
        <v>30000000</v>
      </c>
      <c r="BX8" s="27">
        <v>21200000</v>
      </c>
      <c r="BY8" s="28">
        <f t="shared" si="14"/>
        <v>0.36809815950920244</v>
      </c>
      <c r="BZ8" s="27">
        <v>30000000</v>
      </c>
      <c r="CA8" s="20">
        <v>30600000</v>
      </c>
      <c r="CB8" s="29">
        <v>31212000</v>
      </c>
      <c r="CC8" s="29">
        <v>32148360</v>
      </c>
      <c r="CD8" s="29">
        <v>123960360</v>
      </c>
    </row>
    <row r="9" spans="1:82" ht="54" customHeight="1">
      <c r="A9" s="12" t="s">
        <v>95</v>
      </c>
      <c r="B9" s="13">
        <v>0.23499999999999999</v>
      </c>
      <c r="C9" s="12"/>
      <c r="D9" s="14">
        <v>40</v>
      </c>
      <c r="E9" s="14">
        <v>4002</v>
      </c>
      <c r="F9" s="14">
        <v>2</v>
      </c>
      <c r="G9" s="14" t="s">
        <v>127</v>
      </c>
      <c r="H9" s="14">
        <v>1400</v>
      </c>
      <c r="I9" s="14">
        <v>2.1</v>
      </c>
      <c r="J9" s="14" t="s">
        <v>128</v>
      </c>
      <c r="K9" s="14" t="s">
        <v>129</v>
      </c>
      <c r="L9" s="14" t="s">
        <v>130</v>
      </c>
      <c r="M9" s="14" t="s">
        <v>131</v>
      </c>
      <c r="N9" s="14">
        <v>0</v>
      </c>
      <c r="O9" s="14">
        <v>4002016</v>
      </c>
      <c r="P9" s="17">
        <v>2024257990002</v>
      </c>
      <c r="Q9" s="14" t="s">
        <v>132</v>
      </c>
      <c r="R9" s="18">
        <v>8</v>
      </c>
      <c r="S9" s="14" t="s">
        <v>133</v>
      </c>
      <c r="T9" s="14">
        <v>0</v>
      </c>
      <c r="U9" s="14" t="s">
        <v>88</v>
      </c>
      <c r="V9" s="14" t="s">
        <v>89</v>
      </c>
      <c r="W9" s="14" t="s">
        <v>134</v>
      </c>
      <c r="X9" s="14" t="s">
        <v>135</v>
      </c>
      <c r="Y9" s="19"/>
      <c r="Z9" s="18">
        <f t="shared" ref="Z9:Z10" si="33">SUM(AF9:AI9)</f>
        <v>10</v>
      </c>
      <c r="AA9" s="20">
        <f t="shared" si="1"/>
        <v>0.2</v>
      </c>
      <c r="AB9" s="20">
        <f t="shared" si="2"/>
        <v>0.1</v>
      </c>
      <c r="AC9" s="21"/>
      <c r="AD9" s="21"/>
      <c r="AE9" s="21">
        <f t="shared" si="3"/>
        <v>6.5000000000000002E-2</v>
      </c>
      <c r="AF9" s="29">
        <v>2</v>
      </c>
      <c r="AG9" s="29">
        <v>6</v>
      </c>
      <c r="AH9" s="29">
        <v>2</v>
      </c>
      <c r="AI9" s="29">
        <v>0</v>
      </c>
      <c r="AJ9" s="26"/>
      <c r="AK9" s="26"/>
      <c r="AL9" s="26"/>
      <c r="AM9" s="26"/>
      <c r="AN9" s="26">
        <v>1</v>
      </c>
      <c r="AO9" s="26">
        <v>1</v>
      </c>
      <c r="AP9" s="26">
        <v>1</v>
      </c>
      <c r="AQ9" s="26">
        <v>1</v>
      </c>
      <c r="AR9" s="22">
        <f t="shared" ref="AR9:AS9" si="34">(AJ9+AL9+AN9+AP9)</f>
        <v>2</v>
      </c>
      <c r="AS9" s="22">
        <f t="shared" si="34"/>
        <v>2</v>
      </c>
      <c r="AT9" s="22">
        <f t="shared" si="5"/>
        <v>1</v>
      </c>
      <c r="AU9" s="23" t="str">
        <f t="shared" si="6"/>
        <v>100%</v>
      </c>
      <c r="AV9" s="24">
        <f t="shared" si="7"/>
        <v>1</v>
      </c>
      <c r="AW9" s="14" t="s">
        <v>92</v>
      </c>
      <c r="AX9" s="30" t="s">
        <v>136</v>
      </c>
      <c r="AY9" s="26">
        <v>2</v>
      </c>
      <c r="AZ9" s="26">
        <v>2</v>
      </c>
      <c r="BA9" s="26">
        <v>4</v>
      </c>
      <c r="BB9" s="26">
        <v>4</v>
      </c>
      <c r="BC9" s="26">
        <v>0</v>
      </c>
      <c r="BD9" s="26">
        <v>0</v>
      </c>
      <c r="BE9" s="26">
        <v>0</v>
      </c>
      <c r="BF9" s="26">
        <v>0</v>
      </c>
      <c r="BG9" s="22">
        <f t="shared" ref="BG9:BH9" si="35">(AY9+BA9+BC9+BE9)</f>
        <v>6</v>
      </c>
      <c r="BH9" s="22">
        <f t="shared" si="35"/>
        <v>6</v>
      </c>
      <c r="BI9" s="22">
        <f t="shared" si="9"/>
        <v>1</v>
      </c>
      <c r="BJ9" s="23" t="str">
        <f t="shared" si="10"/>
        <v>100%</v>
      </c>
      <c r="BK9" s="24">
        <f t="shared" si="11"/>
        <v>1</v>
      </c>
      <c r="BL9" s="22" t="s">
        <v>92</v>
      </c>
      <c r="BM9" s="25" t="s">
        <v>136</v>
      </c>
      <c r="BN9" s="27">
        <v>95000000</v>
      </c>
      <c r="BO9" s="27">
        <v>60000000</v>
      </c>
      <c r="BP9" s="27">
        <v>21000000</v>
      </c>
      <c r="BQ9" s="27">
        <v>21000000</v>
      </c>
      <c r="BR9" s="27">
        <f t="shared" ref="BR9:BS9" si="36">+BN9+BP9</f>
        <v>116000000</v>
      </c>
      <c r="BS9" s="27">
        <f t="shared" si="36"/>
        <v>81000000</v>
      </c>
      <c r="BT9" s="20">
        <f t="shared" si="13"/>
        <v>0.69827586206896552</v>
      </c>
      <c r="BU9" s="27">
        <v>60000000</v>
      </c>
      <c r="BV9" s="27">
        <v>70000000</v>
      </c>
      <c r="BW9" s="27">
        <v>70000000</v>
      </c>
      <c r="BX9" s="27">
        <v>55800000</v>
      </c>
      <c r="BY9" s="28">
        <f t="shared" si="14"/>
        <v>1</v>
      </c>
      <c r="BZ9" s="27">
        <v>70000000</v>
      </c>
      <c r="CA9" s="20">
        <v>71400000</v>
      </c>
      <c r="CB9" s="29">
        <v>72828000</v>
      </c>
      <c r="CC9" s="29">
        <v>75012840</v>
      </c>
      <c r="CD9" s="29">
        <v>289240840</v>
      </c>
    </row>
    <row r="10" spans="1:82" ht="54" customHeight="1">
      <c r="A10" s="12" t="s">
        <v>95</v>
      </c>
      <c r="B10" s="13">
        <v>0.23499999999999999</v>
      </c>
      <c r="C10" s="12"/>
      <c r="D10" s="14">
        <v>40</v>
      </c>
      <c r="E10" s="14">
        <v>4002</v>
      </c>
      <c r="F10" s="14">
        <v>2</v>
      </c>
      <c r="G10" s="14" t="s">
        <v>127</v>
      </c>
      <c r="H10" s="14">
        <v>1400</v>
      </c>
      <c r="I10" s="14">
        <v>2.1</v>
      </c>
      <c r="J10" s="14" t="s">
        <v>128</v>
      </c>
      <c r="K10" s="14" t="s">
        <v>129</v>
      </c>
      <c r="L10" s="14" t="s">
        <v>130</v>
      </c>
      <c r="M10" s="14" t="s">
        <v>131</v>
      </c>
      <c r="N10" s="14">
        <v>0</v>
      </c>
      <c r="O10" s="14">
        <v>4002040</v>
      </c>
      <c r="P10" s="17">
        <v>2024257990002</v>
      </c>
      <c r="Q10" s="14" t="s">
        <v>132</v>
      </c>
      <c r="R10" s="18">
        <v>9</v>
      </c>
      <c r="S10" s="14" t="s">
        <v>137</v>
      </c>
      <c r="T10" s="20">
        <v>0.1</v>
      </c>
      <c r="U10" s="14" t="s">
        <v>109</v>
      </c>
      <c r="V10" s="14" t="s">
        <v>89</v>
      </c>
      <c r="W10" s="14" t="s">
        <v>138</v>
      </c>
      <c r="X10" s="14" t="s">
        <v>139</v>
      </c>
      <c r="Y10" s="19"/>
      <c r="Z10" s="20">
        <f t="shared" si="33"/>
        <v>0.8</v>
      </c>
      <c r="AA10" s="20">
        <f t="shared" si="1"/>
        <v>0.4375</v>
      </c>
      <c r="AB10" s="20">
        <f t="shared" si="2"/>
        <v>0.93750000000000011</v>
      </c>
      <c r="AC10" s="21"/>
      <c r="AD10" s="21"/>
      <c r="AE10" s="21">
        <f t="shared" si="3"/>
        <v>0.39374999999999999</v>
      </c>
      <c r="AF10" s="24">
        <v>0.1</v>
      </c>
      <c r="AG10" s="24">
        <v>0.2</v>
      </c>
      <c r="AH10" s="24">
        <v>0.3</v>
      </c>
      <c r="AI10" s="24">
        <v>0.2</v>
      </c>
      <c r="AJ10" s="26"/>
      <c r="AK10" s="26"/>
      <c r="AL10" s="26"/>
      <c r="AM10" s="26"/>
      <c r="AN10" s="24">
        <v>7.0000000000000007E-2</v>
      </c>
      <c r="AO10" s="24">
        <v>7.0000000000000007E-2</v>
      </c>
      <c r="AP10" s="24">
        <v>0.28000000000000003</v>
      </c>
      <c r="AQ10" s="24">
        <v>0.28000000000000003</v>
      </c>
      <c r="AR10" s="24">
        <f t="shared" ref="AR10:AS10" si="37">(AJ10+AL10+AN10+AP10)</f>
        <v>0.35000000000000003</v>
      </c>
      <c r="AS10" s="24">
        <f t="shared" si="37"/>
        <v>0.35000000000000003</v>
      </c>
      <c r="AT10" s="24">
        <f t="shared" si="5"/>
        <v>1</v>
      </c>
      <c r="AU10" s="23" t="str">
        <f t="shared" si="6"/>
        <v>100%</v>
      </c>
      <c r="AV10" s="24">
        <f t="shared" si="7"/>
        <v>1</v>
      </c>
      <c r="AW10" s="14" t="s">
        <v>92</v>
      </c>
      <c r="AX10" s="30" t="s">
        <v>140</v>
      </c>
      <c r="AY10" s="24">
        <v>0.05</v>
      </c>
      <c r="AZ10" s="24">
        <v>0.05</v>
      </c>
      <c r="BA10" s="24">
        <v>0.05</v>
      </c>
      <c r="BB10" s="24">
        <v>0.05</v>
      </c>
      <c r="BC10" s="24">
        <v>0.05</v>
      </c>
      <c r="BD10" s="24">
        <v>0.05</v>
      </c>
      <c r="BE10" s="24">
        <v>0.05</v>
      </c>
      <c r="BF10" s="26"/>
      <c r="BG10" s="20">
        <f t="shared" ref="BG10:BH10" si="38">(AY10+BA10+BC10+BE10)</f>
        <v>0.2</v>
      </c>
      <c r="BH10" s="20">
        <f t="shared" si="38"/>
        <v>0.15000000000000002</v>
      </c>
      <c r="BI10" s="20">
        <f t="shared" si="9"/>
        <v>0.75000000000000011</v>
      </c>
      <c r="BJ10" s="23" t="str">
        <f t="shared" si="10"/>
        <v>100%</v>
      </c>
      <c r="BK10" s="24">
        <f t="shared" si="11"/>
        <v>0.75000000000000011</v>
      </c>
      <c r="BL10" s="22" t="s">
        <v>92</v>
      </c>
      <c r="BM10" s="25" t="s">
        <v>141</v>
      </c>
      <c r="BN10" s="27">
        <v>60000000</v>
      </c>
      <c r="BO10" s="27">
        <v>58773333</v>
      </c>
      <c r="BP10" s="27">
        <v>29500000</v>
      </c>
      <c r="BQ10" s="27">
        <v>29500000</v>
      </c>
      <c r="BR10" s="27">
        <f t="shared" ref="BR10:BS10" si="39">+BN10+BP10</f>
        <v>89500000</v>
      </c>
      <c r="BS10" s="27">
        <f t="shared" si="39"/>
        <v>88273333</v>
      </c>
      <c r="BT10" s="20">
        <f t="shared" si="13"/>
        <v>0.98629422346368711</v>
      </c>
      <c r="BU10" s="27">
        <v>60000000</v>
      </c>
      <c r="BV10" s="27">
        <v>60000000</v>
      </c>
      <c r="BW10" s="27">
        <v>58773333</v>
      </c>
      <c r="BX10" s="27">
        <v>42140372</v>
      </c>
      <c r="BY10" s="28">
        <f t="shared" si="14"/>
        <v>0.97955555000000005</v>
      </c>
      <c r="BZ10" s="27">
        <v>90000000</v>
      </c>
      <c r="CA10" s="20">
        <v>91800000</v>
      </c>
      <c r="CB10" s="29">
        <v>93636000</v>
      </c>
      <c r="CC10" s="29">
        <v>96445080</v>
      </c>
      <c r="CD10" s="29">
        <v>371881080</v>
      </c>
    </row>
    <row r="11" spans="1:82" ht="54" customHeight="1">
      <c r="A11" s="12" t="s">
        <v>95</v>
      </c>
      <c r="B11" s="13">
        <v>0.23499999999999999</v>
      </c>
      <c r="C11" s="12"/>
      <c r="D11" s="14">
        <v>40</v>
      </c>
      <c r="E11" s="14">
        <v>4002</v>
      </c>
      <c r="F11" s="14">
        <v>2</v>
      </c>
      <c r="G11" s="14" t="s">
        <v>127</v>
      </c>
      <c r="H11" s="14">
        <v>1400</v>
      </c>
      <c r="I11" s="14">
        <v>2.1</v>
      </c>
      <c r="J11" s="14" t="s">
        <v>128</v>
      </c>
      <c r="K11" s="14" t="s">
        <v>129</v>
      </c>
      <c r="L11" s="14" t="s">
        <v>130</v>
      </c>
      <c r="M11" s="14" t="s">
        <v>131</v>
      </c>
      <c r="N11" s="14">
        <v>0</v>
      </c>
      <c r="O11" s="14">
        <v>4002042</v>
      </c>
      <c r="P11" s="17">
        <v>2024257990002</v>
      </c>
      <c r="Q11" s="14" t="s">
        <v>132</v>
      </c>
      <c r="R11" s="18">
        <v>10</v>
      </c>
      <c r="S11" s="14" t="s">
        <v>142</v>
      </c>
      <c r="T11" s="20">
        <v>1</v>
      </c>
      <c r="U11" s="14" t="s">
        <v>109</v>
      </c>
      <c r="V11" s="14" t="s">
        <v>114</v>
      </c>
      <c r="W11" s="14" t="s">
        <v>143</v>
      </c>
      <c r="X11" s="14" t="s">
        <v>139</v>
      </c>
      <c r="Y11" s="19"/>
      <c r="Z11" s="24">
        <f>SUM(AF11:AI11)/2</f>
        <v>1</v>
      </c>
      <c r="AA11" s="20">
        <f t="shared" si="1"/>
        <v>1</v>
      </c>
      <c r="AB11" s="20">
        <f t="shared" si="2"/>
        <v>0.75</v>
      </c>
      <c r="AC11" s="21"/>
      <c r="AD11" s="21"/>
      <c r="AE11" s="21">
        <f t="shared" si="3"/>
        <v>0.41249999999999998</v>
      </c>
      <c r="AF11" s="20">
        <v>1</v>
      </c>
      <c r="AG11" s="22">
        <v>0</v>
      </c>
      <c r="AH11" s="24">
        <v>1</v>
      </c>
      <c r="AI11" s="22">
        <v>0</v>
      </c>
      <c r="AJ11" s="26"/>
      <c r="AK11" s="26"/>
      <c r="AL11" s="26"/>
      <c r="AM11" s="26"/>
      <c r="AN11" s="24">
        <v>1</v>
      </c>
      <c r="AO11" s="24">
        <v>1</v>
      </c>
      <c r="AP11" s="24">
        <v>0</v>
      </c>
      <c r="AQ11" s="26">
        <v>0</v>
      </c>
      <c r="AR11" s="24">
        <f t="shared" ref="AR11:AS11" si="40">(AJ11+AL11+AN11+AP11)</f>
        <v>1</v>
      </c>
      <c r="AS11" s="24">
        <f t="shared" si="40"/>
        <v>1</v>
      </c>
      <c r="AT11" s="24">
        <f t="shared" si="5"/>
        <v>1</v>
      </c>
      <c r="AU11" s="23" t="str">
        <f t="shared" si="6"/>
        <v>100%</v>
      </c>
      <c r="AV11" s="24">
        <f t="shared" si="7"/>
        <v>1</v>
      </c>
      <c r="AW11" s="14" t="s">
        <v>92</v>
      </c>
      <c r="AX11" s="30" t="s">
        <v>144</v>
      </c>
      <c r="AY11" s="20">
        <v>1</v>
      </c>
      <c r="AZ11" s="20">
        <v>1</v>
      </c>
      <c r="BA11" s="20">
        <v>1</v>
      </c>
      <c r="BB11" s="20">
        <v>1</v>
      </c>
      <c r="BC11" s="20">
        <v>1</v>
      </c>
      <c r="BD11" s="20">
        <v>1</v>
      </c>
      <c r="BE11" s="20">
        <v>1</v>
      </c>
      <c r="BF11" s="26">
        <v>0</v>
      </c>
      <c r="BG11" s="20">
        <f t="shared" ref="BG11:BH11" si="41">(AY11+BA11+BC11+BE11)/4</f>
        <v>1</v>
      </c>
      <c r="BH11" s="20">
        <f t="shared" si="41"/>
        <v>0.75</v>
      </c>
      <c r="BI11" s="20">
        <f t="shared" si="9"/>
        <v>0.75</v>
      </c>
      <c r="BJ11" s="23" t="str">
        <f t="shared" si="10"/>
        <v>100%</v>
      </c>
      <c r="BK11" s="24">
        <f t="shared" si="11"/>
        <v>0.75</v>
      </c>
      <c r="BL11" s="22" t="s">
        <v>92</v>
      </c>
      <c r="BM11" s="25" t="s">
        <v>145</v>
      </c>
      <c r="BN11" s="27">
        <v>40000000</v>
      </c>
      <c r="BO11" s="27">
        <v>0</v>
      </c>
      <c r="BP11" s="27">
        <v>0</v>
      </c>
      <c r="BQ11" s="27">
        <v>0</v>
      </c>
      <c r="BR11" s="27">
        <f t="shared" ref="BR11:BS11" si="42">+BN11+BP11</f>
        <v>40000000</v>
      </c>
      <c r="BS11" s="27">
        <f t="shared" si="42"/>
        <v>0</v>
      </c>
      <c r="BT11" s="20">
        <f t="shared" si="13"/>
        <v>0</v>
      </c>
      <c r="BU11" s="27">
        <v>0</v>
      </c>
      <c r="BV11" s="27">
        <v>40000000</v>
      </c>
      <c r="BW11" s="27">
        <v>40000000</v>
      </c>
      <c r="BX11" s="27">
        <v>0</v>
      </c>
      <c r="BY11" s="28">
        <f t="shared" si="14"/>
        <v>1</v>
      </c>
      <c r="BZ11" s="27">
        <v>40000000</v>
      </c>
      <c r="CA11" s="20">
        <v>40800000</v>
      </c>
      <c r="CB11" s="29">
        <v>41616000</v>
      </c>
      <c r="CC11" s="29">
        <v>42864480</v>
      </c>
      <c r="CD11" s="29">
        <v>165280480</v>
      </c>
    </row>
    <row r="12" spans="1:82" ht="54" customHeight="1">
      <c r="A12" s="12" t="s">
        <v>95</v>
      </c>
      <c r="B12" s="13">
        <v>0.23499999999999999</v>
      </c>
      <c r="C12" s="12"/>
      <c r="D12" s="14">
        <v>40</v>
      </c>
      <c r="E12" s="14">
        <v>4002</v>
      </c>
      <c r="F12" s="14">
        <v>2</v>
      </c>
      <c r="G12" s="14" t="s">
        <v>127</v>
      </c>
      <c r="H12" s="14">
        <v>1400</v>
      </c>
      <c r="I12" s="14" t="s">
        <v>146</v>
      </c>
      <c r="J12" s="14" t="s">
        <v>147</v>
      </c>
      <c r="K12" s="14" t="s">
        <v>148</v>
      </c>
      <c r="L12" s="14" t="s">
        <v>149</v>
      </c>
      <c r="M12" s="14" t="s">
        <v>150</v>
      </c>
      <c r="N12" s="14">
        <v>0</v>
      </c>
      <c r="O12" s="14">
        <v>4002036</v>
      </c>
      <c r="P12" s="17">
        <v>2024257990002</v>
      </c>
      <c r="Q12" s="14" t="s">
        <v>132</v>
      </c>
      <c r="R12" s="18">
        <v>11</v>
      </c>
      <c r="S12" s="14" t="s">
        <v>151</v>
      </c>
      <c r="T12" s="14">
        <v>1</v>
      </c>
      <c r="U12" s="14" t="s">
        <v>88</v>
      </c>
      <c r="V12" s="14" t="s">
        <v>114</v>
      </c>
      <c r="W12" s="14" t="s">
        <v>152</v>
      </c>
      <c r="X12" s="14" t="s">
        <v>139</v>
      </c>
      <c r="Y12" s="19"/>
      <c r="Z12" s="18">
        <f>SUM(AF12:AI12)</f>
        <v>4</v>
      </c>
      <c r="AA12" s="20">
        <f t="shared" si="1"/>
        <v>0.23749999999999999</v>
      </c>
      <c r="AB12" s="20">
        <f t="shared" si="2"/>
        <v>0.21250000000000002</v>
      </c>
      <c r="AC12" s="21"/>
      <c r="AD12" s="21"/>
      <c r="AE12" s="21">
        <f t="shared" si="3"/>
        <v>0.10999999999999999</v>
      </c>
      <c r="AF12" s="29">
        <v>1</v>
      </c>
      <c r="AG12" s="29">
        <v>1</v>
      </c>
      <c r="AH12" s="29">
        <v>1</v>
      </c>
      <c r="AI12" s="29">
        <v>1</v>
      </c>
      <c r="AJ12" s="26"/>
      <c r="AK12" s="26"/>
      <c r="AL12" s="26"/>
      <c r="AM12" s="26"/>
      <c r="AN12" s="26">
        <v>0.7</v>
      </c>
      <c r="AO12" s="26">
        <v>0.7</v>
      </c>
      <c r="AP12" s="26">
        <v>0.3</v>
      </c>
      <c r="AQ12" s="26">
        <v>0.25</v>
      </c>
      <c r="AR12" s="22">
        <f t="shared" ref="AR12:AS12" si="43">(AJ12+AL12+AN12+AP12)</f>
        <v>1</v>
      </c>
      <c r="AS12" s="22">
        <f t="shared" si="43"/>
        <v>0.95</v>
      </c>
      <c r="AT12" s="22">
        <f t="shared" si="5"/>
        <v>0.95</v>
      </c>
      <c r="AU12" s="23" t="str">
        <f t="shared" si="6"/>
        <v>100%</v>
      </c>
      <c r="AV12" s="24">
        <f t="shared" si="7"/>
        <v>0.95</v>
      </c>
      <c r="AW12" s="14" t="s">
        <v>92</v>
      </c>
      <c r="AX12" s="30" t="s">
        <v>153</v>
      </c>
      <c r="AY12" s="14">
        <v>0.25</v>
      </c>
      <c r="AZ12" s="26">
        <v>0.25</v>
      </c>
      <c r="BA12" s="14">
        <v>0.3</v>
      </c>
      <c r="BB12" s="14">
        <v>0.3</v>
      </c>
      <c r="BC12" s="14">
        <v>0.3</v>
      </c>
      <c r="BD12" s="14">
        <v>0.3</v>
      </c>
      <c r="BE12" s="14">
        <v>0.15</v>
      </c>
      <c r="BF12" s="26"/>
      <c r="BG12" s="22">
        <f t="shared" ref="BG12:BH12" si="44">(AY12+BA12+BC12+BE12)</f>
        <v>1</v>
      </c>
      <c r="BH12" s="22">
        <f t="shared" si="44"/>
        <v>0.85000000000000009</v>
      </c>
      <c r="BI12" s="22">
        <f t="shared" si="9"/>
        <v>0.85000000000000009</v>
      </c>
      <c r="BJ12" s="23" t="str">
        <f t="shared" si="10"/>
        <v>100%</v>
      </c>
      <c r="BK12" s="24">
        <f t="shared" si="11"/>
        <v>0.85000000000000009</v>
      </c>
      <c r="BL12" s="22" t="s">
        <v>92</v>
      </c>
      <c r="BM12" s="25" t="s">
        <v>154</v>
      </c>
      <c r="BN12" s="27">
        <v>420000000</v>
      </c>
      <c r="BO12" s="27">
        <v>280610000</v>
      </c>
      <c r="BP12" s="27">
        <v>144661334</v>
      </c>
      <c r="BQ12" s="27">
        <v>144661334</v>
      </c>
      <c r="BR12" s="27">
        <f t="shared" ref="BR12:BS12" si="45">+BN12+BP12</f>
        <v>564661334</v>
      </c>
      <c r="BS12" s="27">
        <f t="shared" si="45"/>
        <v>425271334</v>
      </c>
      <c r="BT12" s="20">
        <f t="shared" si="13"/>
        <v>0.75314406776788434</v>
      </c>
      <c r="BU12" s="27">
        <v>420000000</v>
      </c>
      <c r="BV12" s="27">
        <v>327110000</v>
      </c>
      <c r="BW12" s="27">
        <v>327110000</v>
      </c>
      <c r="BX12" s="27">
        <v>209617959</v>
      </c>
      <c r="BY12" s="28">
        <f t="shared" si="14"/>
        <v>1</v>
      </c>
      <c r="BZ12" s="27">
        <v>200000000</v>
      </c>
      <c r="CA12" s="20">
        <v>204000000</v>
      </c>
      <c r="CB12" s="29">
        <v>208080000</v>
      </c>
      <c r="CC12" s="29">
        <v>214322400</v>
      </c>
      <c r="CD12" s="29">
        <v>826402400</v>
      </c>
    </row>
    <row r="13" spans="1:82" ht="54" customHeight="1">
      <c r="A13" s="12" t="s">
        <v>95</v>
      </c>
      <c r="B13" s="13">
        <v>0.23499999999999999</v>
      </c>
      <c r="C13" s="12"/>
      <c r="D13" s="14">
        <v>45</v>
      </c>
      <c r="E13" s="14">
        <v>4599</v>
      </c>
      <c r="F13" s="14">
        <v>3</v>
      </c>
      <c r="G13" s="14" t="s">
        <v>155</v>
      </c>
      <c r="H13" s="14">
        <v>1000</v>
      </c>
      <c r="I13" s="14">
        <v>3.1</v>
      </c>
      <c r="J13" s="14" t="s">
        <v>156</v>
      </c>
      <c r="K13" s="14" t="s">
        <v>157</v>
      </c>
      <c r="L13" s="14" t="s">
        <v>158</v>
      </c>
      <c r="M13" s="14" t="s">
        <v>159</v>
      </c>
      <c r="N13" s="20">
        <v>0.71</v>
      </c>
      <c r="O13" s="14">
        <v>4599005</v>
      </c>
      <c r="P13" s="17">
        <v>2024257990003</v>
      </c>
      <c r="Q13" s="14" t="s">
        <v>160</v>
      </c>
      <c r="R13" s="18">
        <v>12</v>
      </c>
      <c r="S13" s="14" t="s">
        <v>161</v>
      </c>
      <c r="T13" s="20">
        <v>0.4</v>
      </c>
      <c r="U13" s="14" t="s">
        <v>109</v>
      </c>
      <c r="V13" s="14" t="s">
        <v>89</v>
      </c>
      <c r="W13" s="14" t="s">
        <v>162</v>
      </c>
      <c r="X13" s="14" t="s">
        <v>135</v>
      </c>
      <c r="Y13" s="19"/>
      <c r="Z13" s="24">
        <f>SUM(AF13:AI13)/4</f>
        <v>1</v>
      </c>
      <c r="AA13" s="20">
        <f t="shared" si="1"/>
        <v>0.45</v>
      </c>
      <c r="AB13" s="20">
        <f t="shared" si="2"/>
        <v>0.9</v>
      </c>
      <c r="AC13" s="21"/>
      <c r="AD13" s="21"/>
      <c r="AE13" s="21">
        <f t="shared" si="3"/>
        <v>0.38250000000000001</v>
      </c>
      <c r="AF13" s="20">
        <v>1</v>
      </c>
      <c r="AG13" s="20">
        <v>1</v>
      </c>
      <c r="AH13" s="20">
        <v>1</v>
      </c>
      <c r="AI13" s="20">
        <v>1</v>
      </c>
      <c r="AJ13" s="26"/>
      <c r="AK13" s="26"/>
      <c r="AL13" s="26"/>
      <c r="AM13" s="26"/>
      <c r="AN13" s="24">
        <v>0.5</v>
      </c>
      <c r="AO13" s="24">
        <v>0.5</v>
      </c>
      <c r="AP13" s="24">
        <v>0.5</v>
      </c>
      <c r="AQ13" s="24">
        <v>0.4</v>
      </c>
      <c r="AR13" s="24">
        <f t="shared" ref="AR13:AS13" si="46">(AJ13+AL13+AN13+AP13)/2</f>
        <v>0.5</v>
      </c>
      <c r="AS13" s="24">
        <f t="shared" si="46"/>
        <v>0.45</v>
      </c>
      <c r="AT13" s="24">
        <f t="shared" si="5"/>
        <v>0.9</v>
      </c>
      <c r="AU13" s="23" t="str">
        <f t="shared" si="6"/>
        <v>100%</v>
      </c>
      <c r="AV13" s="24">
        <f t="shared" si="7"/>
        <v>0.9</v>
      </c>
      <c r="AW13" s="14" t="s">
        <v>92</v>
      </c>
      <c r="AX13" s="30" t="s">
        <v>163</v>
      </c>
      <c r="AY13" s="24">
        <v>0.15</v>
      </c>
      <c r="AZ13" s="24">
        <v>0.15</v>
      </c>
      <c r="BA13" s="24">
        <v>0.3</v>
      </c>
      <c r="BB13" s="24">
        <v>0.3</v>
      </c>
      <c r="BC13" s="24">
        <v>0.45</v>
      </c>
      <c r="BD13" s="24">
        <v>0.45</v>
      </c>
      <c r="BE13" s="24">
        <v>0.1</v>
      </c>
      <c r="BF13" s="26"/>
      <c r="BG13" s="20">
        <f t="shared" ref="BG13:BH13" si="47">(AY13+BA13+BC13+BE13)</f>
        <v>0.99999999999999989</v>
      </c>
      <c r="BH13" s="20">
        <f t="shared" si="47"/>
        <v>0.89999999999999991</v>
      </c>
      <c r="BI13" s="20">
        <f t="shared" si="9"/>
        <v>0.9</v>
      </c>
      <c r="BJ13" s="23" t="str">
        <f t="shared" si="10"/>
        <v>100%</v>
      </c>
      <c r="BK13" s="24">
        <f t="shared" si="11"/>
        <v>0.9</v>
      </c>
      <c r="BL13" s="22" t="s">
        <v>92</v>
      </c>
      <c r="BM13" s="25" t="s">
        <v>163</v>
      </c>
      <c r="BN13" s="27">
        <v>442681049</v>
      </c>
      <c r="BO13" s="27">
        <v>44000000</v>
      </c>
      <c r="BP13" s="27">
        <v>11400000</v>
      </c>
      <c r="BQ13" s="27">
        <v>11400000</v>
      </c>
      <c r="BR13" s="27">
        <f t="shared" ref="BR13:BS13" si="48">+BN13+BP13</f>
        <v>454081049</v>
      </c>
      <c r="BS13" s="27">
        <f t="shared" si="48"/>
        <v>55400000</v>
      </c>
      <c r="BT13" s="20">
        <f t="shared" si="13"/>
        <v>0.12200465120049526</v>
      </c>
      <c r="BU13" s="27">
        <v>92681049</v>
      </c>
      <c r="BV13" s="27">
        <v>72681049</v>
      </c>
      <c r="BW13" s="27">
        <v>58000000</v>
      </c>
      <c r="BX13" s="27">
        <v>39266666</v>
      </c>
      <c r="BY13" s="28">
        <f t="shared" si="14"/>
        <v>0.79800719442010259</v>
      </c>
      <c r="BZ13" s="27">
        <v>375000000</v>
      </c>
      <c r="CA13" s="20">
        <v>382500000</v>
      </c>
      <c r="CB13" s="29">
        <v>390150000</v>
      </c>
      <c r="CC13" s="29">
        <v>401854500</v>
      </c>
      <c r="CD13" s="29">
        <v>1549504500</v>
      </c>
    </row>
    <row r="14" spans="1:82" ht="54" customHeight="1">
      <c r="A14" s="12" t="s">
        <v>95</v>
      </c>
      <c r="B14" s="13">
        <v>0.23499999999999999</v>
      </c>
      <c r="C14" s="12"/>
      <c r="D14" s="14">
        <v>45</v>
      </c>
      <c r="E14" s="14">
        <v>4599</v>
      </c>
      <c r="F14" s="14">
        <v>3</v>
      </c>
      <c r="G14" s="14" t="s">
        <v>155</v>
      </c>
      <c r="H14" s="14">
        <v>1000</v>
      </c>
      <c r="I14" s="14">
        <v>3.1</v>
      </c>
      <c r="J14" s="14" t="s">
        <v>156</v>
      </c>
      <c r="K14" s="14" t="s">
        <v>157</v>
      </c>
      <c r="L14" s="14" t="s">
        <v>158</v>
      </c>
      <c r="M14" s="14" t="s">
        <v>159</v>
      </c>
      <c r="N14" s="20">
        <v>0.71</v>
      </c>
      <c r="O14" s="14">
        <v>4599025</v>
      </c>
      <c r="P14" s="17">
        <v>2024257990003</v>
      </c>
      <c r="Q14" s="14" t="s">
        <v>160</v>
      </c>
      <c r="R14" s="18">
        <v>13</v>
      </c>
      <c r="S14" s="14" t="s">
        <v>164</v>
      </c>
      <c r="T14" s="20">
        <v>1</v>
      </c>
      <c r="U14" s="14" t="s">
        <v>109</v>
      </c>
      <c r="V14" s="14" t="s">
        <v>114</v>
      </c>
      <c r="W14" s="14" t="s">
        <v>162</v>
      </c>
      <c r="X14" s="14" t="s">
        <v>135</v>
      </c>
      <c r="Y14" s="19"/>
      <c r="Z14" s="24">
        <f>SUM(AF14:AI14)</f>
        <v>1</v>
      </c>
      <c r="AA14" s="20">
        <f t="shared" si="1"/>
        <v>0.30000000000000004</v>
      </c>
      <c r="AB14" s="20">
        <f t="shared" si="2"/>
        <v>0.6</v>
      </c>
      <c r="AC14" s="21"/>
      <c r="AD14" s="21"/>
      <c r="AE14" s="21">
        <f t="shared" si="3"/>
        <v>0.255</v>
      </c>
      <c r="AF14" s="20">
        <v>0.3</v>
      </c>
      <c r="AG14" s="20">
        <v>0.1</v>
      </c>
      <c r="AH14" s="20">
        <v>0.4</v>
      </c>
      <c r="AI14" s="20">
        <v>0.2</v>
      </c>
      <c r="AJ14" s="26"/>
      <c r="AK14" s="26"/>
      <c r="AL14" s="26"/>
      <c r="AM14" s="26"/>
      <c r="AN14" s="24">
        <v>0.1</v>
      </c>
      <c r="AO14" s="24">
        <v>0.1</v>
      </c>
      <c r="AP14" s="24">
        <v>0.2</v>
      </c>
      <c r="AQ14" s="24">
        <v>0.2</v>
      </c>
      <c r="AR14" s="24">
        <f t="shared" ref="AR14:AS14" si="49">(AJ14+AL14+AN14+AP14)</f>
        <v>0.30000000000000004</v>
      </c>
      <c r="AS14" s="24">
        <f t="shared" si="49"/>
        <v>0.30000000000000004</v>
      </c>
      <c r="AT14" s="24">
        <f t="shared" si="5"/>
        <v>1</v>
      </c>
      <c r="AU14" s="23" t="str">
        <f t="shared" si="6"/>
        <v>100%</v>
      </c>
      <c r="AV14" s="24">
        <f t="shared" si="7"/>
        <v>1</v>
      </c>
      <c r="AW14" s="14" t="s">
        <v>92</v>
      </c>
      <c r="AX14" s="30" t="s">
        <v>165</v>
      </c>
      <c r="AY14" s="24">
        <v>0.03</v>
      </c>
      <c r="AZ14" s="24">
        <v>0.03</v>
      </c>
      <c r="BA14" s="24">
        <v>0.03</v>
      </c>
      <c r="BB14" s="26">
        <v>0</v>
      </c>
      <c r="BC14" s="24">
        <v>0.03</v>
      </c>
      <c r="BD14" s="24">
        <v>0.03</v>
      </c>
      <c r="BE14" s="24">
        <v>0.01</v>
      </c>
      <c r="BF14" s="26"/>
      <c r="BG14" s="20">
        <f t="shared" ref="BG14:BH14" si="50">(AY14+BA14+BC14+BE14)</f>
        <v>9.9999999999999992E-2</v>
      </c>
      <c r="BH14" s="20">
        <f t="shared" si="50"/>
        <v>0.06</v>
      </c>
      <c r="BI14" s="20">
        <f t="shared" si="9"/>
        <v>0.6</v>
      </c>
      <c r="BJ14" s="23" t="str">
        <f t="shared" si="10"/>
        <v>100%</v>
      </c>
      <c r="BK14" s="24">
        <f t="shared" si="11"/>
        <v>0.6</v>
      </c>
      <c r="BL14" s="22" t="s">
        <v>92</v>
      </c>
      <c r="BM14" s="25" t="s">
        <v>165</v>
      </c>
      <c r="BN14" s="27">
        <v>510000000</v>
      </c>
      <c r="BO14" s="27">
        <v>45000000</v>
      </c>
      <c r="BP14" s="27">
        <v>336500000</v>
      </c>
      <c r="BQ14" s="27">
        <v>336500000</v>
      </c>
      <c r="BR14" s="27">
        <f t="shared" ref="BR14:BS14" si="51">+BN14+BP14</f>
        <v>846500000</v>
      </c>
      <c r="BS14" s="27">
        <f t="shared" si="51"/>
        <v>381500000</v>
      </c>
      <c r="BT14" s="20">
        <f t="shared" si="13"/>
        <v>0.45067926757235677</v>
      </c>
      <c r="BU14" s="27">
        <v>510000000</v>
      </c>
      <c r="BV14" s="27">
        <v>120000000</v>
      </c>
      <c r="BW14" s="27">
        <v>31250000</v>
      </c>
      <c r="BX14" s="27">
        <v>11850000</v>
      </c>
      <c r="BY14" s="28">
        <f t="shared" si="14"/>
        <v>0.26041666666666669</v>
      </c>
      <c r="BZ14" s="27">
        <v>500000000</v>
      </c>
      <c r="CA14" s="20">
        <v>510000000</v>
      </c>
      <c r="CB14" s="29">
        <v>520200000</v>
      </c>
      <c r="CC14" s="29">
        <v>535806000</v>
      </c>
      <c r="CD14" s="29">
        <v>2066006000</v>
      </c>
    </row>
    <row r="15" spans="1:82" ht="54" customHeight="1">
      <c r="A15" s="12" t="s">
        <v>95</v>
      </c>
      <c r="B15" s="13">
        <v>0.23499999999999999</v>
      </c>
      <c r="C15" s="12"/>
      <c r="D15" s="14">
        <v>45</v>
      </c>
      <c r="E15" s="14">
        <v>4599</v>
      </c>
      <c r="F15" s="14">
        <v>3</v>
      </c>
      <c r="G15" s="14" t="s">
        <v>155</v>
      </c>
      <c r="H15" s="14">
        <v>1000</v>
      </c>
      <c r="I15" s="14">
        <v>3.1</v>
      </c>
      <c r="J15" s="14" t="s">
        <v>156</v>
      </c>
      <c r="K15" s="14" t="s">
        <v>157</v>
      </c>
      <c r="L15" s="14" t="s">
        <v>158</v>
      </c>
      <c r="M15" s="14" t="s">
        <v>159</v>
      </c>
      <c r="N15" s="20">
        <v>0.71</v>
      </c>
      <c r="O15" s="14">
        <v>4599031</v>
      </c>
      <c r="P15" s="17">
        <v>2024257990003</v>
      </c>
      <c r="Q15" s="14" t="s">
        <v>160</v>
      </c>
      <c r="R15" s="18">
        <v>14</v>
      </c>
      <c r="S15" s="14" t="s">
        <v>166</v>
      </c>
      <c r="T15" s="14" t="s">
        <v>167</v>
      </c>
      <c r="U15" s="14" t="s">
        <v>109</v>
      </c>
      <c r="V15" s="14" t="s">
        <v>89</v>
      </c>
      <c r="W15" s="14" t="s">
        <v>168</v>
      </c>
      <c r="X15" s="14" t="s">
        <v>135</v>
      </c>
      <c r="Y15" s="19"/>
      <c r="Z15" s="24">
        <f>SUM(AF15:AI15)/4</f>
        <v>1</v>
      </c>
      <c r="AA15" s="20">
        <f t="shared" si="1"/>
        <v>0.47499999999999998</v>
      </c>
      <c r="AB15" s="20">
        <f t="shared" si="2"/>
        <v>0.85</v>
      </c>
      <c r="AC15" s="21"/>
      <c r="AD15" s="21"/>
      <c r="AE15" s="21">
        <f t="shared" si="3"/>
        <v>0.36874999999999997</v>
      </c>
      <c r="AF15" s="20">
        <v>1</v>
      </c>
      <c r="AG15" s="20">
        <v>1</v>
      </c>
      <c r="AH15" s="20">
        <v>1</v>
      </c>
      <c r="AI15" s="20">
        <v>1</v>
      </c>
      <c r="AJ15" s="26"/>
      <c r="AK15" s="26"/>
      <c r="AL15" s="26"/>
      <c r="AM15" s="26"/>
      <c r="AN15" s="24">
        <v>0.75</v>
      </c>
      <c r="AO15" s="24">
        <v>0.75</v>
      </c>
      <c r="AP15" s="24">
        <v>0.25</v>
      </c>
      <c r="AQ15" s="24">
        <v>0.2</v>
      </c>
      <c r="AR15" s="24">
        <f t="shared" ref="AR15:AS15" si="52">(AJ15+AL15+AN15+AP15)/2</f>
        <v>0.5</v>
      </c>
      <c r="AS15" s="24">
        <f t="shared" si="52"/>
        <v>0.47499999999999998</v>
      </c>
      <c r="AT15" s="24">
        <f t="shared" si="5"/>
        <v>0.95</v>
      </c>
      <c r="AU15" s="23" t="str">
        <f t="shared" si="6"/>
        <v>100%</v>
      </c>
      <c r="AV15" s="24">
        <f t="shared" si="7"/>
        <v>0.95</v>
      </c>
      <c r="AW15" s="14" t="s">
        <v>92</v>
      </c>
      <c r="AX15" s="30" t="s">
        <v>169</v>
      </c>
      <c r="AY15" s="24">
        <v>0.25</v>
      </c>
      <c r="AZ15" s="24">
        <v>0.25</v>
      </c>
      <c r="BA15" s="24">
        <v>0.25</v>
      </c>
      <c r="BB15" s="24">
        <v>0.25</v>
      </c>
      <c r="BC15" s="24">
        <v>0.35</v>
      </c>
      <c r="BD15" s="24">
        <v>0.35</v>
      </c>
      <c r="BE15" s="24">
        <v>0.15</v>
      </c>
      <c r="BF15" s="26"/>
      <c r="BG15" s="20">
        <f t="shared" ref="BG15:BH15" si="53">(AY15+BA15+BC15+BE15)</f>
        <v>1</v>
      </c>
      <c r="BH15" s="20">
        <f t="shared" si="53"/>
        <v>0.85</v>
      </c>
      <c r="BI15" s="20">
        <f t="shared" si="9"/>
        <v>0.85</v>
      </c>
      <c r="BJ15" s="23" t="str">
        <f t="shared" si="10"/>
        <v>100%</v>
      </c>
      <c r="BK15" s="24">
        <f t="shared" si="11"/>
        <v>0.85</v>
      </c>
      <c r="BL15" s="22" t="s">
        <v>92</v>
      </c>
      <c r="BM15" s="25" t="s">
        <v>169</v>
      </c>
      <c r="BN15" s="27">
        <v>194000000</v>
      </c>
      <c r="BO15" s="27">
        <v>99753334</v>
      </c>
      <c r="BP15" s="27">
        <v>45533333</v>
      </c>
      <c r="BQ15" s="27">
        <v>45533333</v>
      </c>
      <c r="BR15" s="27">
        <f t="shared" ref="BR15:BS15" si="54">+BN15+BP15</f>
        <v>239533333</v>
      </c>
      <c r="BS15" s="27">
        <f t="shared" si="54"/>
        <v>145286667</v>
      </c>
      <c r="BT15" s="20">
        <f t="shared" si="13"/>
        <v>0.60654049764339057</v>
      </c>
      <c r="BU15" s="27">
        <v>170000000</v>
      </c>
      <c r="BV15" s="27">
        <v>103753334</v>
      </c>
      <c r="BW15" s="27">
        <v>99753334</v>
      </c>
      <c r="BX15" s="27">
        <v>76023333</v>
      </c>
      <c r="BY15" s="28">
        <f t="shared" si="14"/>
        <v>0.96144702203015475</v>
      </c>
      <c r="BZ15" s="27">
        <v>160000000</v>
      </c>
      <c r="CA15" s="20">
        <v>163200000</v>
      </c>
      <c r="CB15" s="29">
        <v>166464000</v>
      </c>
      <c r="CC15" s="29">
        <v>171457920</v>
      </c>
      <c r="CD15" s="29">
        <v>661121920</v>
      </c>
    </row>
    <row r="16" spans="1:82" ht="54" customHeight="1">
      <c r="A16" s="12" t="s">
        <v>95</v>
      </c>
      <c r="B16" s="13">
        <v>0.23499999999999999</v>
      </c>
      <c r="C16" s="12"/>
      <c r="D16" s="14">
        <v>45</v>
      </c>
      <c r="E16" s="14">
        <v>4599</v>
      </c>
      <c r="F16" s="14">
        <v>3</v>
      </c>
      <c r="G16" s="14" t="s">
        <v>155</v>
      </c>
      <c r="H16" s="14">
        <v>1000</v>
      </c>
      <c r="I16" s="14">
        <v>3.1</v>
      </c>
      <c r="J16" s="14" t="s">
        <v>156</v>
      </c>
      <c r="K16" s="14" t="s">
        <v>157</v>
      </c>
      <c r="L16" s="14" t="s">
        <v>158</v>
      </c>
      <c r="M16" s="14" t="s">
        <v>159</v>
      </c>
      <c r="N16" s="20">
        <v>0.71</v>
      </c>
      <c r="O16" s="14">
        <v>4599032</v>
      </c>
      <c r="P16" s="17">
        <v>2024257990003</v>
      </c>
      <c r="Q16" s="14" t="s">
        <v>160</v>
      </c>
      <c r="R16" s="18">
        <v>15</v>
      </c>
      <c r="S16" s="14" t="s">
        <v>170</v>
      </c>
      <c r="T16" s="14">
        <v>4</v>
      </c>
      <c r="U16" s="14" t="s">
        <v>88</v>
      </c>
      <c r="V16" s="14" t="s">
        <v>114</v>
      </c>
      <c r="W16" s="14" t="s">
        <v>171</v>
      </c>
      <c r="X16" s="14" t="s">
        <v>135</v>
      </c>
      <c r="Y16" s="19"/>
      <c r="Z16" s="18">
        <f t="shared" ref="Z16:Z17" si="55">SUM(AF16:AI16)</f>
        <v>16</v>
      </c>
      <c r="AA16" s="20">
        <f t="shared" si="1"/>
        <v>0.25</v>
      </c>
      <c r="AB16" s="20">
        <f t="shared" si="2"/>
        <v>5.46875E-2</v>
      </c>
      <c r="AC16" s="21"/>
      <c r="AD16" s="21"/>
      <c r="AE16" s="21">
        <f t="shared" si="3"/>
        <v>5.6640625E-2</v>
      </c>
      <c r="AF16" s="29">
        <v>4</v>
      </c>
      <c r="AG16" s="29">
        <v>4</v>
      </c>
      <c r="AH16" s="29">
        <v>4</v>
      </c>
      <c r="AI16" s="29">
        <v>4</v>
      </c>
      <c r="AJ16" s="26"/>
      <c r="AK16" s="26"/>
      <c r="AL16" s="26"/>
      <c r="AM16" s="26"/>
      <c r="AN16" s="26">
        <v>2</v>
      </c>
      <c r="AO16" s="26">
        <v>2</v>
      </c>
      <c r="AP16" s="26">
        <v>2</v>
      </c>
      <c r="AQ16" s="26">
        <v>2</v>
      </c>
      <c r="AR16" s="22">
        <f t="shared" ref="AR16:AS16" si="56">(AJ16+AL16+AN16+AP16)</f>
        <v>4</v>
      </c>
      <c r="AS16" s="22">
        <f t="shared" si="56"/>
        <v>4</v>
      </c>
      <c r="AT16" s="22">
        <f t="shared" si="5"/>
        <v>1</v>
      </c>
      <c r="AU16" s="23" t="str">
        <f t="shared" si="6"/>
        <v>100%</v>
      </c>
      <c r="AV16" s="24">
        <f t="shared" si="7"/>
        <v>1</v>
      </c>
      <c r="AW16" s="14" t="s">
        <v>92</v>
      </c>
      <c r="AX16" s="30" t="s">
        <v>172</v>
      </c>
      <c r="AY16" s="26">
        <v>1</v>
      </c>
      <c r="AZ16" s="26">
        <v>1</v>
      </c>
      <c r="BA16" s="26">
        <v>1</v>
      </c>
      <c r="BB16" s="26">
        <v>1</v>
      </c>
      <c r="BC16" s="26">
        <v>1.5</v>
      </c>
      <c r="BD16" s="26">
        <v>1.5</v>
      </c>
      <c r="BE16" s="26">
        <v>0.5</v>
      </c>
      <c r="BF16" s="26"/>
      <c r="BG16" s="22">
        <f t="shared" ref="BG16:BH16" si="57">(AY16+BA16+BC16+BE16)</f>
        <v>4</v>
      </c>
      <c r="BH16" s="22">
        <f t="shared" si="57"/>
        <v>3.5</v>
      </c>
      <c r="BI16" s="22">
        <f t="shared" si="9"/>
        <v>0.875</v>
      </c>
      <c r="BJ16" s="23" t="str">
        <f t="shared" si="10"/>
        <v>100%</v>
      </c>
      <c r="BK16" s="24">
        <f t="shared" si="11"/>
        <v>0.875</v>
      </c>
      <c r="BL16" s="22" t="s">
        <v>92</v>
      </c>
      <c r="BM16" s="25" t="s">
        <v>172</v>
      </c>
      <c r="BN16" s="27">
        <v>125000000</v>
      </c>
      <c r="BO16" s="27">
        <v>15000000</v>
      </c>
      <c r="BP16" s="27">
        <v>2000000</v>
      </c>
      <c r="BQ16" s="27">
        <v>2000000</v>
      </c>
      <c r="BR16" s="27">
        <f t="shared" ref="BR16:BS16" si="58">+BN16+BP16</f>
        <v>127000000</v>
      </c>
      <c r="BS16" s="27">
        <f t="shared" si="58"/>
        <v>17000000</v>
      </c>
      <c r="BT16" s="20">
        <f t="shared" si="13"/>
        <v>0.13385826771653545</v>
      </c>
      <c r="BU16" s="27">
        <v>125000000</v>
      </c>
      <c r="BV16" s="27">
        <v>63400000</v>
      </c>
      <c r="BW16" s="27">
        <v>63400000</v>
      </c>
      <c r="BX16" s="27">
        <v>21240000</v>
      </c>
      <c r="BY16" s="28">
        <f t="shared" si="14"/>
        <v>1</v>
      </c>
      <c r="BZ16" s="27">
        <v>110000000</v>
      </c>
      <c r="CA16" s="20">
        <v>112200000</v>
      </c>
      <c r="CB16" s="29">
        <v>114444000</v>
      </c>
      <c r="CC16" s="29">
        <v>117877320</v>
      </c>
      <c r="CD16" s="29">
        <v>454521320</v>
      </c>
    </row>
    <row r="17" spans="1:82" ht="54" customHeight="1">
      <c r="A17" s="12" t="s">
        <v>95</v>
      </c>
      <c r="B17" s="13">
        <v>0.23499999999999999</v>
      </c>
      <c r="C17" s="12"/>
      <c r="D17" s="14">
        <v>45</v>
      </c>
      <c r="E17" s="14">
        <v>4599</v>
      </c>
      <c r="F17" s="14">
        <v>3</v>
      </c>
      <c r="G17" s="14" t="s">
        <v>155</v>
      </c>
      <c r="H17" s="14">
        <v>1000</v>
      </c>
      <c r="I17" s="14">
        <v>3.1</v>
      </c>
      <c r="J17" s="14" t="s">
        <v>156</v>
      </c>
      <c r="K17" s="14" t="s">
        <v>157</v>
      </c>
      <c r="L17" s="14" t="s">
        <v>158</v>
      </c>
      <c r="M17" s="14" t="s">
        <v>159</v>
      </c>
      <c r="N17" s="20">
        <v>0.71</v>
      </c>
      <c r="O17" s="14">
        <v>4599023</v>
      </c>
      <c r="P17" s="17">
        <v>2024257990003</v>
      </c>
      <c r="Q17" s="14" t="s">
        <v>160</v>
      </c>
      <c r="R17" s="18">
        <v>16</v>
      </c>
      <c r="S17" s="14" t="s">
        <v>173</v>
      </c>
      <c r="T17" s="14">
        <v>0</v>
      </c>
      <c r="U17" s="14" t="s">
        <v>88</v>
      </c>
      <c r="V17" s="14" t="s">
        <v>89</v>
      </c>
      <c r="W17" s="14" t="s">
        <v>174</v>
      </c>
      <c r="X17" s="14" t="s">
        <v>135</v>
      </c>
      <c r="Y17" s="19" t="s">
        <v>124</v>
      </c>
      <c r="Z17" s="18">
        <f t="shared" si="55"/>
        <v>1</v>
      </c>
      <c r="AA17" s="20">
        <f t="shared" si="1"/>
        <v>1</v>
      </c>
      <c r="AB17" s="20">
        <f t="shared" si="2"/>
        <v>0.83333333333333337</v>
      </c>
      <c r="AC17" s="21"/>
      <c r="AD17" s="21"/>
      <c r="AE17" s="21">
        <f t="shared" si="3"/>
        <v>0.44166666666666665</v>
      </c>
      <c r="AF17" s="22">
        <v>0.2</v>
      </c>
      <c r="AG17" s="22">
        <v>0.3</v>
      </c>
      <c r="AH17" s="22">
        <v>0.3</v>
      </c>
      <c r="AI17" s="22">
        <v>0.2</v>
      </c>
      <c r="AJ17" s="26"/>
      <c r="AK17" s="26"/>
      <c r="AL17" s="26"/>
      <c r="AM17" s="26"/>
      <c r="AN17" s="26">
        <v>0.4</v>
      </c>
      <c r="AO17" s="26">
        <v>0.4</v>
      </c>
      <c r="AP17" s="26">
        <v>0.6</v>
      </c>
      <c r="AQ17" s="26">
        <v>0.6</v>
      </c>
      <c r="AR17" s="22">
        <f t="shared" ref="AR17:AS17" si="59">(AJ17+AL17+AN17+AP17)</f>
        <v>1</v>
      </c>
      <c r="AS17" s="22">
        <f t="shared" si="59"/>
        <v>1</v>
      </c>
      <c r="AT17" s="22">
        <f t="shared" si="5"/>
        <v>1</v>
      </c>
      <c r="AU17" s="23" t="str">
        <f t="shared" si="6"/>
        <v>100%</v>
      </c>
      <c r="AV17" s="24">
        <f t="shared" si="7"/>
        <v>1</v>
      </c>
      <c r="AW17" s="26" t="s">
        <v>92</v>
      </c>
      <c r="AX17" s="30" t="s">
        <v>175</v>
      </c>
      <c r="AY17" s="14">
        <v>0.5</v>
      </c>
      <c r="AZ17" s="14">
        <v>0.5</v>
      </c>
      <c r="BA17" s="14">
        <v>0.5</v>
      </c>
      <c r="BB17" s="14">
        <v>0.5</v>
      </c>
      <c r="BC17" s="26">
        <v>1.5</v>
      </c>
      <c r="BD17" s="26">
        <v>1.5</v>
      </c>
      <c r="BE17" s="26">
        <v>0.5</v>
      </c>
      <c r="BF17" s="26"/>
      <c r="BG17" s="22">
        <f t="shared" ref="BG17:BH17" si="60">(AY17+BA17+BC17+BE17)</f>
        <v>3</v>
      </c>
      <c r="BH17" s="22">
        <f t="shared" si="60"/>
        <v>2.5</v>
      </c>
      <c r="BI17" s="22">
        <f t="shared" si="9"/>
        <v>0.83333333333333337</v>
      </c>
      <c r="BJ17" s="23" t="str">
        <f t="shared" si="10"/>
        <v>100%</v>
      </c>
      <c r="BK17" s="24">
        <f t="shared" si="11"/>
        <v>0.83333333333333337</v>
      </c>
      <c r="BL17" s="22" t="s">
        <v>92</v>
      </c>
      <c r="BM17" s="25" t="s">
        <v>175</v>
      </c>
      <c r="BN17" s="27">
        <v>71400000</v>
      </c>
      <c r="BO17" s="27">
        <v>71400000</v>
      </c>
      <c r="BP17" s="27">
        <v>88000000</v>
      </c>
      <c r="BQ17" s="27">
        <v>88000000</v>
      </c>
      <c r="BR17" s="27">
        <f t="shared" ref="BR17:BS17" si="61">+BN17+BP17</f>
        <v>159400000</v>
      </c>
      <c r="BS17" s="27">
        <f t="shared" si="61"/>
        <v>159400000</v>
      </c>
      <c r="BT17" s="20">
        <f t="shared" si="13"/>
        <v>1</v>
      </c>
      <c r="BU17" s="27">
        <v>71400000</v>
      </c>
      <c r="BV17" s="27">
        <v>71400000</v>
      </c>
      <c r="BW17" s="27">
        <v>71400000</v>
      </c>
      <c r="BX17" s="27">
        <v>54442500</v>
      </c>
      <c r="BY17" s="28">
        <f t="shared" si="14"/>
        <v>1</v>
      </c>
      <c r="BZ17" s="27">
        <v>70000000</v>
      </c>
      <c r="CA17" s="20">
        <v>71400000</v>
      </c>
      <c r="CB17" s="29">
        <v>72828000</v>
      </c>
      <c r="CC17" s="29">
        <v>75012840</v>
      </c>
      <c r="CD17" s="29">
        <v>289240840</v>
      </c>
    </row>
    <row r="18" spans="1:82" ht="54" customHeight="1">
      <c r="A18" s="12" t="s">
        <v>95</v>
      </c>
      <c r="B18" s="13">
        <v>0.23499999999999999</v>
      </c>
      <c r="C18" s="12"/>
      <c r="D18" s="14">
        <v>45</v>
      </c>
      <c r="E18" s="14">
        <v>4599</v>
      </c>
      <c r="F18" s="14">
        <v>3</v>
      </c>
      <c r="G18" s="14" t="s">
        <v>155</v>
      </c>
      <c r="H18" s="14">
        <v>1000</v>
      </c>
      <c r="I18" s="14">
        <v>3.1</v>
      </c>
      <c r="J18" s="14" t="s">
        <v>156</v>
      </c>
      <c r="K18" s="14" t="s">
        <v>157</v>
      </c>
      <c r="L18" s="14" t="s">
        <v>158</v>
      </c>
      <c r="M18" s="14" t="s">
        <v>159</v>
      </c>
      <c r="N18" s="20">
        <v>0.71</v>
      </c>
      <c r="O18" s="14">
        <v>4599033</v>
      </c>
      <c r="P18" s="17">
        <v>2024257990003</v>
      </c>
      <c r="Q18" s="14" t="s">
        <v>160</v>
      </c>
      <c r="R18" s="18">
        <v>17</v>
      </c>
      <c r="S18" s="14" t="s">
        <v>176</v>
      </c>
      <c r="T18" s="14">
        <v>1</v>
      </c>
      <c r="U18" s="14" t="s">
        <v>88</v>
      </c>
      <c r="V18" s="14" t="s">
        <v>114</v>
      </c>
      <c r="W18" s="14" t="s">
        <v>162</v>
      </c>
      <c r="X18" s="14" t="s">
        <v>135</v>
      </c>
      <c r="Y18" s="19"/>
      <c r="Z18" s="24">
        <f t="shared" ref="Z18:Z20" si="62">SUM(AF18:AI18)/4</f>
        <v>1</v>
      </c>
      <c r="AA18" s="20">
        <f t="shared" si="1"/>
        <v>0.5</v>
      </c>
      <c r="AB18" s="20">
        <f t="shared" si="2"/>
        <v>0.85000000000000009</v>
      </c>
      <c r="AC18" s="21"/>
      <c r="AD18" s="21"/>
      <c r="AE18" s="21">
        <f t="shared" si="3"/>
        <v>0.3725</v>
      </c>
      <c r="AF18" s="20">
        <v>1</v>
      </c>
      <c r="AG18" s="20">
        <v>1</v>
      </c>
      <c r="AH18" s="20">
        <v>1</v>
      </c>
      <c r="AI18" s="20">
        <v>1</v>
      </c>
      <c r="AJ18" s="26"/>
      <c r="AK18" s="26"/>
      <c r="AL18" s="26"/>
      <c r="AM18" s="26"/>
      <c r="AN18" s="24">
        <v>0.75</v>
      </c>
      <c r="AO18" s="24">
        <v>0.75</v>
      </c>
      <c r="AP18" s="24">
        <v>0.25</v>
      </c>
      <c r="AQ18" s="24">
        <v>0.25</v>
      </c>
      <c r="AR18" s="24">
        <f t="shared" ref="AR18:AS18" si="63">(AJ18+AL18+AN18+AP18)/2</f>
        <v>0.5</v>
      </c>
      <c r="AS18" s="24">
        <f t="shared" si="63"/>
        <v>0.5</v>
      </c>
      <c r="AT18" s="24">
        <f t="shared" si="5"/>
        <v>1</v>
      </c>
      <c r="AU18" s="23" t="str">
        <f t="shared" si="6"/>
        <v>100%</v>
      </c>
      <c r="AV18" s="24">
        <f t="shared" si="7"/>
        <v>1</v>
      </c>
      <c r="AW18" s="14" t="s">
        <v>92</v>
      </c>
      <c r="AX18" s="30" t="s">
        <v>177</v>
      </c>
      <c r="AY18" s="24">
        <v>0.2</v>
      </c>
      <c r="AZ18" s="24">
        <v>0.2</v>
      </c>
      <c r="BA18" s="24">
        <v>0.25</v>
      </c>
      <c r="BB18" s="24">
        <v>0.25</v>
      </c>
      <c r="BC18" s="24">
        <v>0.4</v>
      </c>
      <c r="BD18" s="24">
        <v>0.4</v>
      </c>
      <c r="BE18" s="24">
        <v>0.15</v>
      </c>
      <c r="BF18" s="26"/>
      <c r="BG18" s="20">
        <f t="shared" ref="BG18:BH18" si="64">(AY18+BA18+BC18+BE18)</f>
        <v>1</v>
      </c>
      <c r="BH18" s="20">
        <f t="shared" si="64"/>
        <v>0.85000000000000009</v>
      </c>
      <c r="BI18" s="20">
        <f t="shared" si="9"/>
        <v>0.85000000000000009</v>
      </c>
      <c r="BJ18" s="23" t="str">
        <f t="shared" si="10"/>
        <v>100%</v>
      </c>
      <c r="BK18" s="24">
        <f t="shared" si="11"/>
        <v>0.85000000000000009</v>
      </c>
      <c r="BL18" s="22" t="s">
        <v>92</v>
      </c>
      <c r="BM18" s="25" t="s">
        <v>177</v>
      </c>
      <c r="BN18" s="27">
        <v>110000000</v>
      </c>
      <c r="BO18" s="27">
        <v>93500000</v>
      </c>
      <c r="BP18" s="27">
        <v>24855200</v>
      </c>
      <c r="BQ18" s="27">
        <v>24855200</v>
      </c>
      <c r="BR18" s="27">
        <f t="shared" ref="BR18:BS18" si="65">+BN18+BP18</f>
        <v>134855200</v>
      </c>
      <c r="BS18" s="27">
        <f t="shared" si="65"/>
        <v>118355200</v>
      </c>
      <c r="BT18" s="20">
        <f t="shared" si="13"/>
        <v>0.87764654236544082</v>
      </c>
      <c r="BU18" s="27">
        <v>110000000</v>
      </c>
      <c r="BV18" s="27">
        <v>110000000</v>
      </c>
      <c r="BW18" s="27">
        <v>93500000</v>
      </c>
      <c r="BX18" s="27">
        <v>68113332</v>
      </c>
      <c r="BY18" s="28">
        <f t="shared" si="14"/>
        <v>0.85</v>
      </c>
      <c r="BZ18" s="27">
        <v>80000000</v>
      </c>
      <c r="CA18" s="20">
        <v>81600000</v>
      </c>
      <c r="CB18" s="29">
        <v>83232000</v>
      </c>
      <c r="CC18" s="29">
        <v>85728960</v>
      </c>
      <c r="CD18" s="29">
        <v>330560960</v>
      </c>
    </row>
    <row r="19" spans="1:82" ht="54" customHeight="1">
      <c r="A19" s="12" t="s">
        <v>95</v>
      </c>
      <c r="B19" s="13">
        <v>0.23499999999999999</v>
      </c>
      <c r="C19" s="12"/>
      <c r="D19" s="14">
        <v>45</v>
      </c>
      <c r="E19" s="14">
        <v>4599</v>
      </c>
      <c r="F19" s="14">
        <v>3</v>
      </c>
      <c r="G19" s="14" t="s">
        <v>155</v>
      </c>
      <c r="H19" s="14">
        <v>1000</v>
      </c>
      <c r="I19" s="14">
        <v>3.1</v>
      </c>
      <c r="J19" s="14" t="s">
        <v>156</v>
      </c>
      <c r="K19" s="14" t="s">
        <v>157</v>
      </c>
      <c r="L19" s="14" t="s">
        <v>158</v>
      </c>
      <c r="M19" s="14" t="s">
        <v>159</v>
      </c>
      <c r="N19" s="20">
        <v>0.71</v>
      </c>
      <c r="O19" s="14">
        <v>4599033</v>
      </c>
      <c r="P19" s="17">
        <v>2024257990003</v>
      </c>
      <c r="Q19" s="14" t="s">
        <v>160</v>
      </c>
      <c r="R19" s="18">
        <v>18</v>
      </c>
      <c r="S19" s="14" t="s">
        <v>178</v>
      </c>
      <c r="T19" s="14">
        <v>1</v>
      </c>
      <c r="U19" s="14" t="s">
        <v>88</v>
      </c>
      <c r="V19" s="14" t="s">
        <v>114</v>
      </c>
      <c r="W19" s="14" t="s">
        <v>162</v>
      </c>
      <c r="X19" s="14" t="s">
        <v>135</v>
      </c>
      <c r="Y19" s="19"/>
      <c r="Z19" s="14">
        <f t="shared" si="62"/>
        <v>1</v>
      </c>
      <c r="AA19" s="20">
        <f t="shared" si="1"/>
        <v>1</v>
      </c>
      <c r="AB19" s="20">
        <f t="shared" si="2"/>
        <v>0.7</v>
      </c>
      <c r="AC19" s="21"/>
      <c r="AD19" s="21"/>
      <c r="AE19" s="21">
        <f t="shared" si="3"/>
        <v>0.39499999999999996</v>
      </c>
      <c r="AF19" s="14">
        <v>1</v>
      </c>
      <c r="AG19" s="14">
        <v>1</v>
      </c>
      <c r="AH19" s="14">
        <v>1</v>
      </c>
      <c r="AI19" s="14">
        <v>1</v>
      </c>
      <c r="AJ19" s="26"/>
      <c r="AK19" s="26"/>
      <c r="AL19" s="26"/>
      <c r="AM19" s="26"/>
      <c r="AN19" s="26">
        <v>0.5</v>
      </c>
      <c r="AO19" s="26">
        <v>0.5</v>
      </c>
      <c r="AP19" s="26">
        <v>0.5</v>
      </c>
      <c r="AQ19" s="26">
        <v>0.5</v>
      </c>
      <c r="AR19" s="22">
        <f t="shared" ref="AR19:AS19" si="66">(AJ19+AL19+AN19+AP19)</f>
        <v>1</v>
      </c>
      <c r="AS19" s="22">
        <f t="shared" si="66"/>
        <v>1</v>
      </c>
      <c r="AT19" s="22">
        <f t="shared" si="5"/>
        <v>1</v>
      </c>
      <c r="AU19" s="23" t="str">
        <f t="shared" si="6"/>
        <v>100%</v>
      </c>
      <c r="AV19" s="24">
        <f t="shared" si="7"/>
        <v>1</v>
      </c>
      <c r="AW19" s="14" t="s">
        <v>92</v>
      </c>
      <c r="AX19" s="30" t="s">
        <v>179</v>
      </c>
      <c r="AY19" s="14">
        <v>0.1</v>
      </c>
      <c r="AZ19" s="14">
        <v>0.1</v>
      </c>
      <c r="BA19" s="14">
        <v>0.1</v>
      </c>
      <c r="BB19" s="14">
        <v>0.1</v>
      </c>
      <c r="BC19" s="14">
        <v>0.5</v>
      </c>
      <c r="BD19" s="14">
        <v>0.5</v>
      </c>
      <c r="BE19" s="14">
        <v>0.3</v>
      </c>
      <c r="BF19" s="26"/>
      <c r="BG19" s="22">
        <f t="shared" ref="BG19:BH19" si="67">(AY19+BA19+BC19+BE19)</f>
        <v>1</v>
      </c>
      <c r="BH19" s="22">
        <f t="shared" si="67"/>
        <v>0.7</v>
      </c>
      <c r="BI19" s="22">
        <f t="shared" si="9"/>
        <v>0.7</v>
      </c>
      <c r="BJ19" s="23" t="str">
        <f t="shared" si="10"/>
        <v>100%</v>
      </c>
      <c r="BK19" s="24">
        <f t="shared" si="11"/>
        <v>0.7</v>
      </c>
      <c r="BL19" s="22" t="s">
        <v>92</v>
      </c>
      <c r="BM19" s="25" t="s">
        <v>179</v>
      </c>
      <c r="BN19" s="27">
        <v>15000000</v>
      </c>
      <c r="BO19" s="27">
        <v>0</v>
      </c>
      <c r="BP19" s="27">
        <v>0</v>
      </c>
      <c r="BQ19" s="27">
        <v>0</v>
      </c>
      <c r="BR19" s="27">
        <f t="shared" ref="BR19:BS19" si="68">+BN19+BP19</f>
        <v>15000000</v>
      </c>
      <c r="BS19" s="27">
        <f t="shared" si="68"/>
        <v>0</v>
      </c>
      <c r="BT19" s="20">
        <f t="shared" si="13"/>
        <v>0</v>
      </c>
      <c r="BU19" s="27">
        <v>15000000</v>
      </c>
      <c r="BV19" s="27">
        <v>15000000</v>
      </c>
      <c r="BW19" s="27">
        <v>14930914</v>
      </c>
      <c r="BX19" s="27">
        <v>0</v>
      </c>
      <c r="BY19" s="28">
        <f t="shared" si="14"/>
        <v>0.99539426666666664</v>
      </c>
      <c r="BZ19" s="27">
        <v>20000000</v>
      </c>
      <c r="CA19" s="20">
        <v>20400000</v>
      </c>
      <c r="CB19" s="29">
        <v>20808000</v>
      </c>
      <c r="CC19" s="29">
        <v>21432240</v>
      </c>
      <c r="CD19" s="29">
        <v>82640240</v>
      </c>
    </row>
    <row r="20" spans="1:82" ht="54" customHeight="1">
      <c r="A20" s="12" t="s">
        <v>95</v>
      </c>
      <c r="B20" s="13">
        <v>0.23499999999999999</v>
      </c>
      <c r="C20" s="12"/>
      <c r="D20" s="14">
        <v>45</v>
      </c>
      <c r="E20" s="14">
        <v>4599</v>
      </c>
      <c r="F20" s="14">
        <v>3</v>
      </c>
      <c r="G20" s="14" t="s">
        <v>155</v>
      </c>
      <c r="H20" s="14">
        <v>1000</v>
      </c>
      <c r="I20" s="14">
        <v>3.1</v>
      </c>
      <c r="J20" s="14" t="s">
        <v>156</v>
      </c>
      <c r="K20" s="14" t="s">
        <v>157</v>
      </c>
      <c r="L20" s="14" t="s">
        <v>158</v>
      </c>
      <c r="M20" s="14" t="s">
        <v>159</v>
      </c>
      <c r="N20" s="20">
        <v>0.71</v>
      </c>
      <c r="O20" s="14">
        <v>4599005</v>
      </c>
      <c r="P20" s="17">
        <v>2024257990003</v>
      </c>
      <c r="Q20" s="14" t="s">
        <v>160</v>
      </c>
      <c r="R20" s="18">
        <v>19</v>
      </c>
      <c r="S20" s="14" t="s">
        <v>180</v>
      </c>
      <c r="T20" s="20">
        <v>0.5</v>
      </c>
      <c r="U20" s="14" t="s">
        <v>109</v>
      </c>
      <c r="V20" s="14" t="s">
        <v>89</v>
      </c>
      <c r="W20" s="14" t="s">
        <v>181</v>
      </c>
      <c r="X20" s="14" t="s">
        <v>135</v>
      </c>
      <c r="Y20" s="19"/>
      <c r="Z20" s="24">
        <f t="shared" si="62"/>
        <v>1</v>
      </c>
      <c r="AA20" s="20">
        <f t="shared" si="1"/>
        <v>0.98</v>
      </c>
      <c r="AB20" s="20">
        <f t="shared" si="2"/>
        <v>0.5</v>
      </c>
      <c r="AC20" s="21"/>
      <c r="AD20" s="21"/>
      <c r="AE20" s="21">
        <f t="shared" si="3"/>
        <v>0.32199999999999995</v>
      </c>
      <c r="AF20" s="20">
        <v>1</v>
      </c>
      <c r="AG20" s="20">
        <v>1</v>
      </c>
      <c r="AH20" s="20">
        <v>1</v>
      </c>
      <c r="AI20" s="20">
        <v>1</v>
      </c>
      <c r="AJ20" s="26"/>
      <c r="AK20" s="26"/>
      <c r="AL20" s="26"/>
      <c r="AM20" s="26"/>
      <c r="AN20" s="24">
        <v>0.4</v>
      </c>
      <c r="AO20" s="24">
        <v>0.4</v>
      </c>
      <c r="AP20" s="24">
        <v>0.6</v>
      </c>
      <c r="AQ20" s="24">
        <v>0.57999999999999996</v>
      </c>
      <c r="AR20" s="24">
        <f t="shared" ref="AR20:AS20" si="69">(AJ20+AL20+AN20+AP20)</f>
        <v>1</v>
      </c>
      <c r="AS20" s="24">
        <f t="shared" si="69"/>
        <v>0.98</v>
      </c>
      <c r="AT20" s="24">
        <f t="shared" si="5"/>
        <v>0.98</v>
      </c>
      <c r="AU20" s="23" t="str">
        <f t="shared" si="6"/>
        <v>100%</v>
      </c>
      <c r="AV20" s="24">
        <f t="shared" si="7"/>
        <v>0.98</v>
      </c>
      <c r="AW20" s="14" t="s">
        <v>92</v>
      </c>
      <c r="AX20" s="30" t="s">
        <v>182</v>
      </c>
      <c r="AY20" s="24">
        <v>0</v>
      </c>
      <c r="AZ20" s="24">
        <v>0</v>
      </c>
      <c r="BA20" s="24">
        <v>0</v>
      </c>
      <c r="BB20" s="26">
        <v>0</v>
      </c>
      <c r="BC20" s="24">
        <v>0.5</v>
      </c>
      <c r="BD20" s="24">
        <v>0.5</v>
      </c>
      <c r="BE20" s="24">
        <v>0.5</v>
      </c>
      <c r="BF20" s="26"/>
      <c r="BG20" s="20">
        <f t="shared" ref="BG20:BH20" si="70">(AY20+BA20+BC20+BE20)</f>
        <v>1</v>
      </c>
      <c r="BH20" s="20">
        <f t="shared" si="70"/>
        <v>0.5</v>
      </c>
      <c r="BI20" s="20">
        <f t="shared" si="9"/>
        <v>0.5</v>
      </c>
      <c r="BJ20" s="23" t="str">
        <f t="shared" si="10"/>
        <v>100%</v>
      </c>
      <c r="BK20" s="24">
        <f t="shared" si="11"/>
        <v>0.5</v>
      </c>
      <c r="BL20" s="22" t="s">
        <v>92</v>
      </c>
      <c r="BM20" s="25" t="s">
        <v>182</v>
      </c>
      <c r="BN20" s="27">
        <v>5100000</v>
      </c>
      <c r="BO20" s="27">
        <v>0</v>
      </c>
      <c r="BP20" s="27">
        <v>195173</v>
      </c>
      <c r="BQ20" s="27">
        <v>195173</v>
      </c>
      <c r="BR20" s="27">
        <f t="shared" ref="BR20:BS20" si="71">+BN20+BP20</f>
        <v>5295173</v>
      </c>
      <c r="BS20" s="27">
        <f t="shared" si="71"/>
        <v>195173</v>
      </c>
      <c r="BT20" s="20">
        <f t="shared" si="13"/>
        <v>3.6858663541304508E-2</v>
      </c>
      <c r="BU20" s="27">
        <v>5100000</v>
      </c>
      <c r="BV20" s="27">
        <v>5100000</v>
      </c>
      <c r="BW20" s="27">
        <v>208835</v>
      </c>
      <c r="BX20" s="27">
        <v>208835</v>
      </c>
      <c r="BY20" s="28">
        <f t="shared" si="14"/>
        <v>4.0948039215686273E-2</v>
      </c>
      <c r="BZ20" s="27">
        <v>5000000</v>
      </c>
      <c r="CA20" s="20">
        <v>5100000</v>
      </c>
      <c r="CB20" s="29">
        <v>5202000</v>
      </c>
      <c r="CC20" s="29">
        <v>5358060</v>
      </c>
      <c r="CD20" s="29">
        <v>20660060</v>
      </c>
    </row>
    <row r="21" spans="1:82" ht="54" customHeight="1">
      <c r="A21" s="12" t="s">
        <v>95</v>
      </c>
      <c r="B21" s="13">
        <v>0.23499999999999999</v>
      </c>
      <c r="C21" s="12"/>
      <c r="D21" s="14">
        <v>40</v>
      </c>
      <c r="E21" s="14">
        <v>4002</v>
      </c>
      <c r="F21" s="14">
        <v>4</v>
      </c>
      <c r="G21" s="14" t="s">
        <v>183</v>
      </c>
      <c r="H21" s="14">
        <v>1400</v>
      </c>
      <c r="I21" s="14">
        <v>4.0999999999999996</v>
      </c>
      <c r="J21" s="14" t="s">
        <v>184</v>
      </c>
      <c r="K21" s="14" t="s">
        <v>185</v>
      </c>
      <c r="L21" s="14" t="s">
        <v>186</v>
      </c>
      <c r="M21" s="14" t="s">
        <v>187</v>
      </c>
      <c r="N21" s="20">
        <v>0.2</v>
      </c>
      <c r="O21" s="14">
        <v>4002018</v>
      </c>
      <c r="P21" s="17">
        <v>2024257990004</v>
      </c>
      <c r="Q21" s="14" t="s">
        <v>188</v>
      </c>
      <c r="R21" s="18">
        <v>20</v>
      </c>
      <c r="S21" s="14" t="s">
        <v>189</v>
      </c>
      <c r="T21" s="14">
        <v>0</v>
      </c>
      <c r="U21" s="14" t="s">
        <v>88</v>
      </c>
      <c r="V21" s="14" t="s">
        <v>89</v>
      </c>
      <c r="W21" s="14" t="s">
        <v>190</v>
      </c>
      <c r="X21" s="14" t="s">
        <v>135</v>
      </c>
      <c r="Y21" s="19"/>
      <c r="Z21" s="14">
        <f t="shared" ref="Z21:Z22" si="72">SUM(AF21:AI21)</f>
        <v>1</v>
      </c>
      <c r="AA21" s="20">
        <f t="shared" si="1"/>
        <v>0.87999999999999989</v>
      </c>
      <c r="AB21" s="20">
        <f t="shared" si="2"/>
        <v>0</v>
      </c>
      <c r="AC21" s="21"/>
      <c r="AD21" s="21"/>
      <c r="AE21" s="21">
        <f t="shared" si="3"/>
        <v>0.13199999999999998</v>
      </c>
      <c r="AF21" s="14">
        <v>1</v>
      </c>
      <c r="AG21" s="22">
        <v>0</v>
      </c>
      <c r="AH21" s="22">
        <v>0</v>
      </c>
      <c r="AI21" s="22">
        <v>0</v>
      </c>
      <c r="AJ21" s="26"/>
      <c r="AK21" s="26"/>
      <c r="AL21" s="26"/>
      <c r="AM21" s="26"/>
      <c r="AN21" s="26">
        <v>0.7</v>
      </c>
      <c r="AO21" s="26">
        <v>0.7</v>
      </c>
      <c r="AP21" s="26">
        <v>0.3</v>
      </c>
      <c r="AQ21" s="26">
        <v>0.18</v>
      </c>
      <c r="AR21" s="22">
        <f t="shared" ref="AR21:AS21" si="73">(AJ21+AL21+AN21+AP21)</f>
        <v>1</v>
      </c>
      <c r="AS21" s="22">
        <f t="shared" si="73"/>
        <v>0.87999999999999989</v>
      </c>
      <c r="AT21" s="22">
        <f t="shared" si="5"/>
        <v>0.87999999999999989</v>
      </c>
      <c r="AU21" s="23" t="str">
        <f t="shared" si="6"/>
        <v>100%</v>
      </c>
      <c r="AV21" s="24">
        <f t="shared" si="7"/>
        <v>0.87999999999999989</v>
      </c>
      <c r="AW21" s="14" t="s">
        <v>92</v>
      </c>
      <c r="AX21" s="30" t="s">
        <v>191</v>
      </c>
      <c r="AY21" s="31">
        <v>0</v>
      </c>
      <c r="AZ21" s="32"/>
      <c r="BA21" s="31">
        <v>0</v>
      </c>
      <c r="BB21" s="32">
        <v>0</v>
      </c>
      <c r="BC21" s="31">
        <v>0</v>
      </c>
      <c r="BD21" s="31"/>
      <c r="BE21" s="31">
        <v>0</v>
      </c>
      <c r="BF21" s="32"/>
      <c r="BG21" s="22">
        <f t="shared" ref="BG21:BH21" si="74">(AY21+BA21+BC21+BE21)</f>
        <v>0</v>
      </c>
      <c r="BH21" s="22">
        <f t="shared" si="74"/>
        <v>0</v>
      </c>
      <c r="BI21" s="23" t="str">
        <f>IF(BF21&gt; 1, IF(BF21 = BG21, "100%", BF21 &amp; "%"), IF(BF21 &lt;= 0.01, "0%", BF21 * 100 &amp; "%"))</f>
        <v>0%</v>
      </c>
      <c r="BJ21" s="24">
        <f t="shared" ref="BJ21:BK21" si="75">IF(BF21=0, 0, BG21/BF21)</f>
        <v>0</v>
      </c>
      <c r="BK21" s="24">
        <f t="shared" si="75"/>
        <v>0</v>
      </c>
      <c r="BL21" s="26" t="s">
        <v>192</v>
      </c>
      <c r="BM21" s="25" t="s">
        <v>191</v>
      </c>
      <c r="BN21" s="27">
        <v>0</v>
      </c>
      <c r="BO21" s="27">
        <v>0</v>
      </c>
      <c r="BP21" s="27">
        <v>646022333</v>
      </c>
      <c r="BQ21" s="27">
        <v>646022333</v>
      </c>
      <c r="BR21" s="27">
        <f t="shared" ref="BR21:BS21" si="76">+BN21+BP21</f>
        <v>646022333</v>
      </c>
      <c r="BS21" s="27">
        <f t="shared" si="76"/>
        <v>646022333</v>
      </c>
      <c r="BT21" s="20">
        <f t="shared" si="13"/>
        <v>1</v>
      </c>
      <c r="BU21" s="27">
        <v>0</v>
      </c>
      <c r="BV21" s="27">
        <v>0</v>
      </c>
      <c r="BW21" s="27">
        <v>0</v>
      </c>
      <c r="BX21" s="27">
        <v>0</v>
      </c>
      <c r="BY21" s="28" t="str">
        <f t="shared" si="14"/>
        <v/>
      </c>
      <c r="BZ21" s="27">
        <v>650000000</v>
      </c>
      <c r="CA21" s="20">
        <v>0</v>
      </c>
      <c r="CB21" s="29">
        <v>0</v>
      </c>
      <c r="CC21" s="29">
        <v>0</v>
      </c>
      <c r="CD21" s="29">
        <v>650000000</v>
      </c>
    </row>
    <row r="22" spans="1:82" ht="54" customHeight="1">
      <c r="A22" s="12" t="s">
        <v>78</v>
      </c>
      <c r="B22" s="13">
        <v>0.23499999999999999</v>
      </c>
      <c r="C22" s="12"/>
      <c r="D22" s="14">
        <v>40</v>
      </c>
      <c r="E22" s="14">
        <v>4002</v>
      </c>
      <c r="F22" s="14">
        <v>4</v>
      </c>
      <c r="G22" s="14" t="s">
        <v>183</v>
      </c>
      <c r="H22" s="14">
        <v>1400</v>
      </c>
      <c r="I22" s="14">
        <v>4.0999999999999996</v>
      </c>
      <c r="J22" s="14" t="s">
        <v>184</v>
      </c>
      <c r="K22" s="14" t="s">
        <v>185</v>
      </c>
      <c r="L22" s="14" t="s">
        <v>186</v>
      </c>
      <c r="M22" s="14" t="s">
        <v>187</v>
      </c>
      <c r="N22" s="20">
        <v>0.2</v>
      </c>
      <c r="O22" s="14">
        <v>4002001</v>
      </c>
      <c r="P22" s="17">
        <v>2024257990004</v>
      </c>
      <c r="Q22" s="14" t="s">
        <v>188</v>
      </c>
      <c r="R22" s="18">
        <v>21</v>
      </c>
      <c r="S22" s="14" t="s">
        <v>193</v>
      </c>
      <c r="T22" s="14">
        <v>0</v>
      </c>
      <c r="U22" s="14" t="s">
        <v>88</v>
      </c>
      <c r="V22" s="14" t="s">
        <v>89</v>
      </c>
      <c r="W22" s="14" t="s">
        <v>194</v>
      </c>
      <c r="X22" s="14" t="s">
        <v>135</v>
      </c>
      <c r="Y22" s="19"/>
      <c r="Z22" s="18">
        <f t="shared" si="72"/>
        <v>1.0000000000000002</v>
      </c>
      <c r="AA22" s="20">
        <f t="shared" si="1"/>
        <v>0.19999999999999996</v>
      </c>
      <c r="AB22" s="20">
        <f t="shared" si="2"/>
        <v>0.87499999999999978</v>
      </c>
      <c r="AC22" s="21"/>
      <c r="AD22" s="21"/>
      <c r="AE22" s="21">
        <f t="shared" si="3"/>
        <v>0.33624999999999988</v>
      </c>
      <c r="AF22" s="22">
        <v>0.2</v>
      </c>
      <c r="AG22" s="22">
        <v>0.4</v>
      </c>
      <c r="AH22" s="22">
        <v>0.3</v>
      </c>
      <c r="AI22" s="22">
        <v>0.1</v>
      </c>
      <c r="AJ22" s="26"/>
      <c r="AK22" s="26"/>
      <c r="AL22" s="26"/>
      <c r="AM22" s="26"/>
      <c r="AN22" s="26">
        <v>0.1</v>
      </c>
      <c r="AO22" s="26">
        <v>0.1</v>
      </c>
      <c r="AP22" s="26">
        <v>0.1</v>
      </c>
      <c r="AQ22" s="26">
        <v>0.1</v>
      </c>
      <c r="AR22" s="22">
        <f t="shared" ref="AR22:AS22" si="77">(AJ22+AL22+AN22+AP22)</f>
        <v>0.2</v>
      </c>
      <c r="AS22" s="22">
        <f t="shared" si="77"/>
        <v>0.2</v>
      </c>
      <c r="AT22" s="22">
        <f t="shared" si="5"/>
        <v>1</v>
      </c>
      <c r="AU22" s="23" t="str">
        <f t="shared" si="6"/>
        <v>100%</v>
      </c>
      <c r="AV22" s="24">
        <f t="shared" si="7"/>
        <v>1</v>
      </c>
      <c r="AW22" s="14" t="s">
        <v>92</v>
      </c>
      <c r="AX22" s="30" t="s">
        <v>195</v>
      </c>
      <c r="AY22" s="14">
        <v>0.1</v>
      </c>
      <c r="AZ22" s="14">
        <v>0.1</v>
      </c>
      <c r="BA22" s="14">
        <v>0.1</v>
      </c>
      <c r="BB22" s="14">
        <v>0.1</v>
      </c>
      <c r="BC22" s="14">
        <v>0.15</v>
      </c>
      <c r="BD22" s="14">
        <v>0.15</v>
      </c>
      <c r="BE22" s="14">
        <v>0.05</v>
      </c>
      <c r="BF22" s="26"/>
      <c r="BG22" s="22">
        <f t="shared" ref="BG22:BH22" si="78">(AY22+BA22+BC22+BE22)</f>
        <v>0.39999999999999997</v>
      </c>
      <c r="BH22" s="22">
        <f t="shared" si="78"/>
        <v>0.35</v>
      </c>
      <c r="BI22" s="22">
        <f t="shared" ref="BI22:BI27" si="79">BH22/BG22</f>
        <v>0.875</v>
      </c>
      <c r="BJ22" s="23" t="str">
        <f t="shared" ref="BJ22:BJ27" si="80">MIN((BG22 /BG22) * 100, 100) &amp; "%"</f>
        <v>100%</v>
      </c>
      <c r="BK22" s="24">
        <f t="shared" ref="BK22:BK27" si="81">IF(BG22=0, 0, BH22/BG22)</f>
        <v>0.875</v>
      </c>
      <c r="BL22" s="22" t="s">
        <v>92</v>
      </c>
      <c r="BM22" s="25" t="s">
        <v>195</v>
      </c>
      <c r="BN22" s="27">
        <v>300000000</v>
      </c>
      <c r="BO22" s="27">
        <v>184400000</v>
      </c>
      <c r="BP22" s="27">
        <v>54746667</v>
      </c>
      <c r="BQ22" s="27">
        <v>54746667</v>
      </c>
      <c r="BR22" s="27">
        <f t="shared" ref="BR22:BS22" si="82">+BN22+BP22</f>
        <v>354746667</v>
      </c>
      <c r="BS22" s="27">
        <f t="shared" si="82"/>
        <v>239146667</v>
      </c>
      <c r="BT22" s="20">
        <f t="shared" si="13"/>
        <v>0.67413365436918959</v>
      </c>
      <c r="BU22" s="27">
        <v>300000000</v>
      </c>
      <c r="BV22" s="27">
        <v>224400000</v>
      </c>
      <c r="BW22" s="27">
        <v>211950000</v>
      </c>
      <c r="BX22" s="27">
        <v>155066666</v>
      </c>
      <c r="BY22" s="28">
        <f t="shared" si="14"/>
        <v>0.94451871657754005</v>
      </c>
      <c r="BZ22" s="27">
        <v>180000000</v>
      </c>
      <c r="CA22" s="20">
        <v>183600000</v>
      </c>
      <c r="CB22" s="29">
        <v>187272000</v>
      </c>
      <c r="CC22" s="29">
        <v>192890160</v>
      </c>
      <c r="CD22" s="29">
        <v>743762160</v>
      </c>
    </row>
    <row r="23" spans="1:82" ht="54" customHeight="1">
      <c r="A23" s="12" t="s">
        <v>95</v>
      </c>
      <c r="B23" s="13">
        <v>0.23499999999999999</v>
      </c>
      <c r="C23" s="12"/>
      <c r="D23" s="14">
        <v>40</v>
      </c>
      <c r="E23" s="14">
        <v>4002</v>
      </c>
      <c r="F23" s="14">
        <v>4</v>
      </c>
      <c r="G23" s="14" t="s">
        <v>183</v>
      </c>
      <c r="H23" s="14">
        <v>1400</v>
      </c>
      <c r="I23" s="14">
        <v>4.0999999999999996</v>
      </c>
      <c r="J23" s="14" t="s">
        <v>184</v>
      </c>
      <c r="K23" s="14" t="s">
        <v>185</v>
      </c>
      <c r="L23" s="14" t="s">
        <v>186</v>
      </c>
      <c r="M23" s="14" t="s">
        <v>187</v>
      </c>
      <c r="N23" s="20">
        <v>0.2</v>
      </c>
      <c r="O23" s="14">
        <v>4002016</v>
      </c>
      <c r="P23" s="17">
        <v>2024257990004</v>
      </c>
      <c r="Q23" s="14" t="s">
        <v>188</v>
      </c>
      <c r="R23" s="18">
        <v>22</v>
      </c>
      <c r="S23" s="14" t="s">
        <v>196</v>
      </c>
      <c r="T23" s="20">
        <v>0.6</v>
      </c>
      <c r="U23" s="14" t="s">
        <v>109</v>
      </c>
      <c r="V23" s="14" t="s">
        <v>114</v>
      </c>
      <c r="W23" s="14" t="s">
        <v>197</v>
      </c>
      <c r="X23" s="14" t="s">
        <v>135</v>
      </c>
      <c r="Y23" s="19"/>
      <c r="Z23" s="24">
        <f>SUM(AF23:AI23)/4</f>
        <v>1</v>
      </c>
      <c r="AA23" s="20">
        <f t="shared" si="1"/>
        <v>0.5</v>
      </c>
      <c r="AB23" s="20">
        <f t="shared" si="2"/>
        <v>0.85</v>
      </c>
      <c r="AC23" s="21"/>
      <c r="AD23" s="21"/>
      <c r="AE23" s="21">
        <f t="shared" si="3"/>
        <v>0.3725</v>
      </c>
      <c r="AF23" s="20">
        <v>1</v>
      </c>
      <c r="AG23" s="20">
        <v>1</v>
      </c>
      <c r="AH23" s="20">
        <v>1</v>
      </c>
      <c r="AI23" s="20">
        <v>1</v>
      </c>
      <c r="AJ23" s="26"/>
      <c r="AK23" s="26"/>
      <c r="AL23" s="26"/>
      <c r="AM23" s="26"/>
      <c r="AN23" s="24">
        <v>0.2</v>
      </c>
      <c r="AO23" s="24">
        <v>0.2</v>
      </c>
      <c r="AP23" s="24">
        <v>0.8</v>
      </c>
      <c r="AQ23" s="24">
        <v>0.8</v>
      </c>
      <c r="AR23" s="24">
        <f t="shared" ref="AR23:AS23" si="83">(AJ23+AL23+AN23+AP23)/2</f>
        <v>0.5</v>
      </c>
      <c r="AS23" s="24">
        <f t="shared" si="83"/>
        <v>0.5</v>
      </c>
      <c r="AT23" s="24">
        <f t="shared" si="5"/>
        <v>1</v>
      </c>
      <c r="AU23" s="23" t="str">
        <f t="shared" si="6"/>
        <v>100%</v>
      </c>
      <c r="AV23" s="24">
        <f t="shared" si="7"/>
        <v>1</v>
      </c>
      <c r="AW23" s="14" t="s">
        <v>92</v>
      </c>
      <c r="AX23" s="30" t="s">
        <v>198</v>
      </c>
      <c r="AY23" s="24">
        <v>0.15</v>
      </c>
      <c r="AZ23" s="24">
        <v>0.15</v>
      </c>
      <c r="BA23" s="24">
        <v>0.3</v>
      </c>
      <c r="BB23" s="24">
        <v>0.3</v>
      </c>
      <c r="BC23" s="24">
        <v>0.4</v>
      </c>
      <c r="BD23" s="24">
        <v>0.4</v>
      </c>
      <c r="BE23" s="24">
        <v>0.15</v>
      </c>
      <c r="BF23" s="26"/>
      <c r="BG23" s="20">
        <f t="shared" ref="BG23:BH23" si="84">(AY23+BA23+BC23+BE23)</f>
        <v>1</v>
      </c>
      <c r="BH23" s="20">
        <f t="shared" si="84"/>
        <v>0.85</v>
      </c>
      <c r="BI23" s="20">
        <f t="shared" si="79"/>
        <v>0.85</v>
      </c>
      <c r="BJ23" s="23" t="str">
        <f t="shared" si="80"/>
        <v>100%</v>
      </c>
      <c r="BK23" s="24">
        <f t="shared" si="81"/>
        <v>0.85</v>
      </c>
      <c r="BL23" s="22" t="s">
        <v>92</v>
      </c>
      <c r="BM23" s="25" t="s">
        <v>198</v>
      </c>
      <c r="BN23" s="27">
        <v>72000000</v>
      </c>
      <c r="BO23" s="27">
        <v>35530000</v>
      </c>
      <c r="BP23" s="27">
        <v>0</v>
      </c>
      <c r="BQ23" s="27">
        <v>0</v>
      </c>
      <c r="BR23" s="27">
        <f t="shared" ref="BR23:BS23" si="85">+BN23+BP23</f>
        <v>72000000</v>
      </c>
      <c r="BS23" s="27">
        <f t="shared" si="85"/>
        <v>35530000</v>
      </c>
      <c r="BT23" s="20">
        <f t="shared" si="13"/>
        <v>0.4934722222222222</v>
      </c>
      <c r="BU23" s="27">
        <v>72000000</v>
      </c>
      <c r="BV23" s="27">
        <v>35530000</v>
      </c>
      <c r="BW23" s="27">
        <v>35530000</v>
      </c>
      <c r="BX23" s="27">
        <v>25630000</v>
      </c>
      <c r="BY23" s="28">
        <f t="shared" si="14"/>
        <v>1</v>
      </c>
      <c r="BZ23" s="27">
        <v>131000000</v>
      </c>
      <c r="CA23" s="20">
        <v>133620000</v>
      </c>
      <c r="CB23" s="29">
        <v>136292400</v>
      </c>
      <c r="CC23" s="29">
        <v>140381172</v>
      </c>
      <c r="CD23" s="29">
        <v>541293572</v>
      </c>
    </row>
    <row r="24" spans="1:82" ht="54" customHeight="1">
      <c r="A24" s="12" t="s">
        <v>95</v>
      </c>
      <c r="B24" s="13">
        <v>0.23499999999999999</v>
      </c>
      <c r="C24" s="12"/>
      <c r="D24" s="14">
        <v>40</v>
      </c>
      <c r="E24" s="14">
        <v>4002</v>
      </c>
      <c r="F24" s="14">
        <v>4</v>
      </c>
      <c r="G24" s="14" t="s">
        <v>183</v>
      </c>
      <c r="H24" s="14">
        <v>1400</v>
      </c>
      <c r="I24" s="14">
        <v>4.0999999999999996</v>
      </c>
      <c r="J24" s="14" t="s">
        <v>184</v>
      </c>
      <c r="K24" s="14" t="s">
        <v>199</v>
      </c>
      <c r="L24" s="14" t="s">
        <v>200</v>
      </c>
      <c r="M24" s="14" t="s">
        <v>187</v>
      </c>
      <c r="N24" s="14">
        <v>0</v>
      </c>
      <c r="O24" s="14">
        <v>4002015</v>
      </c>
      <c r="P24" s="17">
        <v>2024257990004</v>
      </c>
      <c r="Q24" s="14" t="s">
        <v>188</v>
      </c>
      <c r="R24" s="18">
        <v>23</v>
      </c>
      <c r="S24" s="14" t="s">
        <v>201</v>
      </c>
      <c r="T24" s="14" t="s">
        <v>167</v>
      </c>
      <c r="U24" s="14" t="s">
        <v>109</v>
      </c>
      <c r="V24" s="14" t="s">
        <v>89</v>
      </c>
      <c r="W24" s="14" t="s">
        <v>202</v>
      </c>
      <c r="X24" s="14" t="s">
        <v>135</v>
      </c>
      <c r="Y24" s="19"/>
      <c r="Z24" s="20">
        <f t="shared" ref="Z24:Z30" si="86">SUM(AF24:AI24)</f>
        <v>0.3</v>
      </c>
      <c r="AA24" s="20">
        <f t="shared" si="1"/>
        <v>0.33333333333333337</v>
      </c>
      <c r="AB24" s="20">
        <f t="shared" si="2"/>
        <v>2.8333333333333335</v>
      </c>
      <c r="AC24" s="21"/>
      <c r="AD24" s="21"/>
      <c r="AE24" s="21">
        <f t="shared" si="3"/>
        <v>1.0416666666666667</v>
      </c>
      <c r="AF24" s="24">
        <v>0.1</v>
      </c>
      <c r="AG24" s="24">
        <v>0.1</v>
      </c>
      <c r="AH24" s="24">
        <v>0.05</v>
      </c>
      <c r="AI24" s="24">
        <v>0.05</v>
      </c>
      <c r="AJ24" s="26"/>
      <c r="AK24" s="26"/>
      <c r="AL24" s="26"/>
      <c r="AM24" s="26"/>
      <c r="AN24" s="24">
        <v>0.05</v>
      </c>
      <c r="AO24" s="24">
        <v>0.05</v>
      </c>
      <c r="AP24" s="24">
        <v>0.05</v>
      </c>
      <c r="AQ24" s="24">
        <v>0.05</v>
      </c>
      <c r="AR24" s="24">
        <f t="shared" ref="AR24:AS24" si="87">(AJ24+AL24+AN24+AP24)</f>
        <v>0.1</v>
      </c>
      <c r="AS24" s="24">
        <f t="shared" si="87"/>
        <v>0.1</v>
      </c>
      <c r="AT24" s="24">
        <f t="shared" si="5"/>
        <v>1</v>
      </c>
      <c r="AU24" s="23" t="str">
        <f t="shared" si="6"/>
        <v>100%</v>
      </c>
      <c r="AV24" s="24">
        <f t="shared" si="7"/>
        <v>1</v>
      </c>
      <c r="AW24" s="14" t="s">
        <v>92</v>
      </c>
      <c r="AX24" s="30" t="s">
        <v>203</v>
      </c>
      <c r="AY24" s="23">
        <v>2.5000000000000001E-2</v>
      </c>
      <c r="AZ24" s="23">
        <v>2.5000000000000001E-2</v>
      </c>
      <c r="BA24" s="23">
        <v>2.5000000000000001E-2</v>
      </c>
      <c r="BB24" s="23">
        <v>2.5000000000000001E-2</v>
      </c>
      <c r="BC24" s="23">
        <v>3.5000000000000003E-2</v>
      </c>
      <c r="BD24" s="23">
        <v>3.5000000000000003E-2</v>
      </c>
      <c r="BE24" s="23">
        <v>1.4999999999999999E-2</v>
      </c>
      <c r="BF24" s="26"/>
      <c r="BG24" s="20">
        <f t="shared" ref="BG24:BH24" si="88">(AY24+BA24+BC24+BE24)</f>
        <v>0.1</v>
      </c>
      <c r="BH24" s="20">
        <f t="shared" si="88"/>
        <v>8.5000000000000006E-2</v>
      </c>
      <c r="BI24" s="20">
        <f t="shared" si="79"/>
        <v>0.85</v>
      </c>
      <c r="BJ24" s="23" t="str">
        <f t="shared" si="80"/>
        <v>100%</v>
      </c>
      <c r="BK24" s="24">
        <f t="shared" si="81"/>
        <v>0.85</v>
      </c>
      <c r="BL24" s="22" t="s">
        <v>92</v>
      </c>
      <c r="BM24" s="25" t="s">
        <v>203</v>
      </c>
      <c r="BN24" s="27">
        <v>55000000</v>
      </c>
      <c r="BO24" s="27">
        <v>47700000</v>
      </c>
      <c r="BP24" s="27">
        <v>16500000</v>
      </c>
      <c r="BQ24" s="27">
        <v>16500000</v>
      </c>
      <c r="BR24" s="27">
        <f t="shared" ref="BR24:BS24" si="89">+BN24+BP24</f>
        <v>71500000</v>
      </c>
      <c r="BS24" s="27">
        <f t="shared" si="89"/>
        <v>64200000</v>
      </c>
      <c r="BT24" s="20">
        <f t="shared" si="13"/>
        <v>0.89790209790209785</v>
      </c>
      <c r="BU24" s="27">
        <v>55000000</v>
      </c>
      <c r="BV24" s="27">
        <v>55000000</v>
      </c>
      <c r="BW24" s="27">
        <v>47700000</v>
      </c>
      <c r="BX24" s="27">
        <v>34350000</v>
      </c>
      <c r="BY24" s="28">
        <f t="shared" si="14"/>
        <v>0.86727272727272731</v>
      </c>
      <c r="BZ24" s="27">
        <v>40000000</v>
      </c>
      <c r="CA24" s="20">
        <v>40800000</v>
      </c>
      <c r="CB24" s="29">
        <v>41616000</v>
      </c>
      <c r="CC24" s="29">
        <v>42864480</v>
      </c>
      <c r="CD24" s="29">
        <v>165280480</v>
      </c>
    </row>
    <row r="25" spans="1:82" ht="54" customHeight="1">
      <c r="A25" s="12" t="s">
        <v>95</v>
      </c>
      <c r="B25" s="13">
        <v>0.23499999999999999</v>
      </c>
      <c r="C25" s="12"/>
      <c r="D25" s="14">
        <v>40</v>
      </c>
      <c r="E25" s="14">
        <v>4002</v>
      </c>
      <c r="F25" s="14">
        <v>4</v>
      </c>
      <c r="G25" s="14" t="s">
        <v>183</v>
      </c>
      <c r="H25" s="14">
        <v>1400</v>
      </c>
      <c r="I25" s="14">
        <v>4.0999999999999996</v>
      </c>
      <c r="J25" s="14" t="s">
        <v>184</v>
      </c>
      <c r="K25" s="14" t="s">
        <v>199</v>
      </c>
      <c r="L25" s="14" t="s">
        <v>200</v>
      </c>
      <c r="M25" s="14" t="s">
        <v>187</v>
      </c>
      <c r="N25" s="14">
        <v>0</v>
      </c>
      <c r="O25" s="14">
        <v>4002023</v>
      </c>
      <c r="P25" s="17">
        <v>2024257990004</v>
      </c>
      <c r="Q25" s="14" t="s">
        <v>188</v>
      </c>
      <c r="R25" s="18">
        <v>24</v>
      </c>
      <c r="S25" s="14" t="s">
        <v>204</v>
      </c>
      <c r="T25" s="14">
        <v>0</v>
      </c>
      <c r="U25" s="14" t="s">
        <v>88</v>
      </c>
      <c r="V25" s="14" t="s">
        <v>89</v>
      </c>
      <c r="W25" s="14" t="s">
        <v>205</v>
      </c>
      <c r="X25" s="14" t="s">
        <v>206</v>
      </c>
      <c r="Y25" s="19"/>
      <c r="Z25" s="18">
        <f t="shared" si="86"/>
        <v>0.99999999999999989</v>
      </c>
      <c r="AA25" s="20">
        <f t="shared" si="1"/>
        <v>0</v>
      </c>
      <c r="AB25" s="20">
        <f t="shared" si="2"/>
        <v>0.85000000000000009</v>
      </c>
      <c r="AC25" s="21"/>
      <c r="AD25" s="21"/>
      <c r="AE25" s="21">
        <f t="shared" si="3"/>
        <v>0.29749999999999999</v>
      </c>
      <c r="AF25" s="33">
        <v>0</v>
      </c>
      <c r="AG25" s="22">
        <v>0.2</v>
      </c>
      <c r="AH25" s="22">
        <v>0.7</v>
      </c>
      <c r="AI25" s="22">
        <v>0.1</v>
      </c>
      <c r="AJ25" s="26"/>
      <c r="AK25" s="26"/>
      <c r="AL25" s="26"/>
      <c r="AM25" s="26"/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0</v>
      </c>
      <c r="AT25" s="34">
        <v>0</v>
      </c>
      <c r="AU25" s="23" t="str">
        <f>IF(AR25&gt; 1, IF(AR25 = AS25, "100%", AR25 &amp; "%"), IF(AR25 &lt;= 0.01, "0%", AR25 * 100 &amp; "%"))</f>
        <v>0%</v>
      </c>
      <c r="AV25" s="24">
        <f t="shared" si="7"/>
        <v>0</v>
      </c>
      <c r="AW25" s="26" t="s">
        <v>192</v>
      </c>
      <c r="AX25" s="26"/>
      <c r="AY25" s="26">
        <v>0.02</v>
      </c>
      <c r="AZ25" s="26">
        <v>0.02</v>
      </c>
      <c r="BA25" s="26">
        <v>0.03</v>
      </c>
      <c r="BB25" s="26">
        <v>0.03</v>
      </c>
      <c r="BC25" s="26">
        <v>0.12</v>
      </c>
      <c r="BD25" s="26">
        <v>0.12</v>
      </c>
      <c r="BE25" s="26">
        <v>0.03</v>
      </c>
      <c r="BF25" s="26"/>
      <c r="BG25" s="22">
        <f t="shared" ref="BG25:BH25" si="90">(AY25+BA25+BC25+BE25)</f>
        <v>0.19999999999999998</v>
      </c>
      <c r="BH25" s="22">
        <f t="shared" si="90"/>
        <v>0.16999999999999998</v>
      </c>
      <c r="BI25" s="22">
        <f t="shared" si="79"/>
        <v>0.85</v>
      </c>
      <c r="BJ25" s="23" t="str">
        <f t="shared" si="80"/>
        <v>100%</v>
      </c>
      <c r="BK25" s="24">
        <f t="shared" si="81"/>
        <v>0.85</v>
      </c>
      <c r="BL25" s="22" t="s">
        <v>92</v>
      </c>
      <c r="BM25" s="25" t="s">
        <v>207</v>
      </c>
      <c r="BN25" s="27">
        <v>50000000</v>
      </c>
      <c r="BO25" s="27">
        <v>0</v>
      </c>
      <c r="BP25" s="27">
        <v>0</v>
      </c>
      <c r="BQ25" s="27">
        <v>0</v>
      </c>
      <c r="BR25" s="27">
        <f t="shared" ref="BR25:BS25" si="91">+BN25+BP25</f>
        <v>50000000</v>
      </c>
      <c r="BS25" s="27">
        <f t="shared" si="91"/>
        <v>0</v>
      </c>
      <c r="BT25" s="20">
        <f t="shared" si="13"/>
        <v>0</v>
      </c>
      <c r="BU25" s="27">
        <v>50000000</v>
      </c>
      <c r="BV25" s="27">
        <v>50000000</v>
      </c>
      <c r="BW25" s="27">
        <v>50000000</v>
      </c>
      <c r="BX25" s="27">
        <v>0</v>
      </c>
      <c r="BY25" s="28">
        <f t="shared" si="14"/>
        <v>1</v>
      </c>
      <c r="BZ25" s="27">
        <v>0</v>
      </c>
      <c r="CA25" s="20">
        <v>0</v>
      </c>
      <c r="CB25" s="29">
        <v>0</v>
      </c>
      <c r="CC25" s="29">
        <v>200000000</v>
      </c>
      <c r="CD25" s="29">
        <v>200000000</v>
      </c>
    </row>
    <row r="26" spans="1:82" ht="54" customHeight="1">
      <c r="A26" s="12" t="s">
        <v>95</v>
      </c>
      <c r="B26" s="13">
        <v>0.23499999999999999</v>
      </c>
      <c r="C26" s="12"/>
      <c r="D26" s="14">
        <v>40</v>
      </c>
      <c r="E26" s="16">
        <v>4003</v>
      </c>
      <c r="F26" s="14">
        <v>5</v>
      </c>
      <c r="G26" s="14" t="s">
        <v>208</v>
      </c>
      <c r="H26" s="14">
        <v>1400</v>
      </c>
      <c r="I26" s="14">
        <v>5.0999999999999996</v>
      </c>
      <c r="J26" s="14" t="s">
        <v>209</v>
      </c>
      <c r="K26" s="14" t="s">
        <v>210</v>
      </c>
      <c r="L26" s="14" t="s">
        <v>211</v>
      </c>
      <c r="M26" s="14" t="s">
        <v>212</v>
      </c>
      <c r="N26" s="14" t="s">
        <v>213</v>
      </c>
      <c r="O26" s="16">
        <v>4003017</v>
      </c>
      <c r="P26" s="17">
        <v>2024257990005</v>
      </c>
      <c r="Q26" s="14" t="s">
        <v>214</v>
      </c>
      <c r="R26" s="18">
        <v>25</v>
      </c>
      <c r="S26" s="14" t="s">
        <v>215</v>
      </c>
      <c r="T26" s="14" t="s">
        <v>216</v>
      </c>
      <c r="U26" s="14" t="s">
        <v>217</v>
      </c>
      <c r="V26" s="14" t="s">
        <v>114</v>
      </c>
      <c r="W26" s="14" t="s">
        <v>218</v>
      </c>
      <c r="X26" s="14" t="s">
        <v>206</v>
      </c>
      <c r="Y26" s="19" t="s">
        <v>124</v>
      </c>
      <c r="Z26" s="18">
        <f t="shared" si="86"/>
        <v>27</v>
      </c>
      <c r="AA26" s="20">
        <f t="shared" si="1"/>
        <v>0.22222222222222221</v>
      </c>
      <c r="AB26" s="20">
        <f t="shared" si="2"/>
        <v>0.03</v>
      </c>
      <c r="AC26" s="21"/>
      <c r="AD26" s="21"/>
      <c r="AE26" s="21">
        <f t="shared" si="3"/>
        <v>4.3833333333333335E-2</v>
      </c>
      <c r="AF26" s="29">
        <v>6</v>
      </c>
      <c r="AG26" s="29">
        <v>10</v>
      </c>
      <c r="AH26" s="29">
        <v>6</v>
      </c>
      <c r="AI26" s="29">
        <v>5</v>
      </c>
      <c r="AJ26" s="26"/>
      <c r="AK26" s="26"/>
      <c r="AL26" s="26"/>
      <c r="AM26" s="26"/>
      <c r="AN26" s="29">
        <v>1E-3</v>
      </c>
      <c r="AO26" s="26">
        <v>0</v>
      </c>
      <c r="AP26" s="26">
        <v>6</v>
      </c>
      <c r="AQ26" s="26">
        <v>6</v>
      </c>
      <c r="AR26" s="22">
        <f t="shared" ref="AR26:AS26" si="92">(AJ26+AL26+AN26+AP26)</f>
        <v>6.0010000000000003</v>
      </c>
      <c r="AS26" s="22">
        <f t="shared" si="92"/>
        <v>6</v>
      </c>
      <c r="AT26" s="22">
        <f t="shared" ref="AT26:AT27" si="93">AS26/AR26</f>
        <v>0.99983336110648224</v>
      </c>
      <c r="AU26" s="23" t="str">
        <f t="shared" ref="AU26:AU27" si="94">MIN((AR26 /AR26) * 100, 100) &amp; "%"</f>
        <v>100%</v>
      </c>
      <c r="AV26" s="24">
        <f t="shared" si="7"/>
        <v>0.99983336110648224</v>
      </c>
      <c r="AW26" s="14" t="s">
        <v>92</v>
      </c>
      <c r="AX26" s="30" t="s">
        <v>219</v>
      </c>
      <c r="AY26" s="26">
        <v>0.2</v>
      </c>
      <c r="AZ26" s="26">
        <v>0.2</v>
      </c>
      <c r="BA26" s="26">
        <v>0.1</v>
      </c>
      <c r="BB26" s="26">
        <v>0.2</v>
      </c>
      <c r="BC26" s="26">
        <v>7.7</v>
      </c>
      <c r="BD26" s="26">
        <v>7.7</v>
      </c>
      <c r="BE26" s="26">
        <v>2</v>
      </c>
      <c r="BF26" s="26"/>
      <c r="BG26" s="22">
        <f t="shared" ref="BG26:BH26" si="95">(AY26+BA26+BC26+BE26)</f>
        <v>10</v>
      </c>
      <c r="BH26" s="22">
        <f t="shared" si="95"/>
        <v>8.1</v>
      </c>
      <c r="BI26" s="22">
        <f t="shared" si="79"/>
        <v>0.80999999999999994</v>
      </c>
      <c r="BJ26" s="23" t="str">
        <f t="shared" si="80"/>
        <v>100%</v>
      </c>
      <c r="BK26" s="24">
        <f t="shared" si="81"/>
        <v>0.80999999999999994</v>
      </c>
      <c r="BL26" s="22" t="s">
        <v>92</v>
      </c>
      <c r="BM26" s="25" t="s">
        <v>220</v>
      </c>
      <c r="BN26" s="27">
        <v>400000000</v>
      </c>
      <c r="BO26" s="27">
        <v>86925000</v>
      </c>
      <c r="BP26" s="27">
        <v>1323000000</v>
      </c>
      <c r="BQ26" s="27">
        <v>1323000000</v>
      </c>
      <c r="BR26" s="27">
        <f t="shared" ref="BR26:BS26" si="96">+BN26+BP26</f>
        <v>1723000000</v>
      </c>
      <c r="BS26" s="27">
        <f t="shared" si="96"/>
        <v>1409925000</v>
      </c>
      <c r="BT26" s="20">
        <f t="shared" si="13"/>
        <v>0.81829657573998837</v>
      </c>
      <c r="BU26" s="27">
        <v>100000000</v>
      </c>
      <c r="BV26" s="27">
        <v>400000000</v>
      </c>
      <c r="BW26" s="27">
        <v>86925000</v>
      </c>
      <c r="BX26" s="27">
        <v>65487500</v>
      </c>
      <c r="BY26" s="28">
        <f t="shared" si="14"/>
        <v>0.21731249999999999</v>
      </c>
      <c r="BZ26" s="27">
        <v>800000000</v>
      </c>
      <c r="CA26" s="20">
        <v>900000000</v>
      </c>
      <c r="CB26" s="29">
        <v>0</v>
      </c>
      <c r="CC26" s="29">
        <v>1166398880</v>
      </c>
      <c r="CD26" s="29">
        <v>2866398880</v>
      </c>
    </row>
    <row r="27" spans="1:82" ht="54" customHeight="1">
      <c r="A27" s="12" t="s">
        <v>95</v>
      </c>
      <c r="B27" s="13">
        <v>0.23499999999999999</v>
      </c>
      <c r="C27" s="12"/>
      <c r="D27" s="14">
        <v>40</v>
      </c>
      <c r="E27" s="16">
        <v>4003</v>
      </c>
      <c r="F27" s="14">
        <v>5</v>
      </c>
      <c r="G27" s="14" t="s">
        <v>208</v>
      </c>
      <c r="H27" s="14">
        <v>1400</v>
      </c>
      <c r="I27" s="14">
        <v>5.0999999999999996</v>
      </c>
      <c r="J27" s="14" t="s">
        <v>209</v>
      </c>
      <c r="K27" s="14" t="s">
        <v>210</v>
      </c>
      <c r="L27" s="14" t="s">
        <v>211</v>
      </c>
      <c r="M27" s="14" t="s">
        <v>212</v>
      </c>
      <c r="N27" s="14" t="s">
        <v>213</v>
      </c>
      <c r="O27" s="16">
        <v>4003009</v>
      </c>
      <c r="P27" s="17">
        <v>2024257990005</v>
      </c>
      <c r="Q27" s="14" t="s">
        <v>214</v>
      </c>
      <c r="R27" s="18">
        <v>26</v>
      </c>
      <c r="S27" s="14" t="s">
        <v>221</v>
      </c>
      <c r="T27" s="14" t="s">
        <v>222</v>
      </c>
      <c r="U27" s="14" t="s">
        <v>109</v>
      </c>
      <c r="V27" s="14" t="s">
        <v>89</v>
      </c>
      <c r="W27" s="14" t="s">
        <v>223</v>
      </c>
      <c r="X27" s="14" t="s">
        <v>206</v>
      </c>
      <c r="Y27" s="19" t="s">
        <v>124</v>
      </c>
      <c r="Z27" s="20">
        <f t="shared" si="86"/>
        <v>0.79999999999999993</v>
      </c>
      <c r="AA27" s="20">
        <f t="shared" si="1"/>
        <v>0.375</v>
      </c>
      <c r="AB27" s="20">
        <f t="shared" si="2"/>
        <v>0.625</v>
      </c>
      <c r="AC27" s="21"/>
      <c r="AD27" s="21"/>
      <c r="AE27" s="21">
        <f t="shared" si="3"/>
        <v>0.27500000000000002</v>
      </c>
      <c r="AF27" s="24">
        <v>0.3</v>
      </c>
      <c r="AG27" s="24">
        <v>0.4</v>
      </c>
      <c r="AH27" s="24">
        <v>0.1</v>
      </c>
      <c r="AI27" s="24">
        <v>0</v>
      </c>
      <c r="AJ27" s="26"/>
      <c r="AK27" s="26"/>
      <c r="AL27" s="26"/>
      <c r="AM27" s="26"/>
      <c r="AN27" s="24">
        <v>1.0000000000000001E-5</v>
      </c>
      <c r="AO27" s="26">
        <v>0</v>
      </c>
      <c r="AP27" s="24">
        <v>0.3</v>
      </c>
      <c r="AQ27" s="24">
        <v>0.3</v>
      </c>
      <c r="AR27" s="24">
        <f t="shared" ref="AR27:AS27" si="97">(AJ27+AL27+AN27+AP27)</f>
        <v>0.30001</v>
      </c>
      <c r="AS27" s="24">
        <f t="shared" si="97"/>
        <v>0.3</v>
      </c>
      <c r="AT27" s="24">
        <f t="shared" si="93"/>
        <v>0.99996666777774068</v>
      </c>
      <c r="AU27" s="23" t="str">
        <f t="shared" si="94"/>
        <v>100%</v>
      </c>
      <c r="AV27" s="24">
        <f t="shared" si="7"/>
        <v>0.99996666777774068</v>
      </c>
      <c r="AW27" s="14" t="s">
        <v>92</v>
      </c>
      <c r="AX27" s="30" t="s">
        <v>224</v>
      </c>
      <c r="AY27" s="24">
        <v>0</v>
      </c>
      <c r="AZ27" s="26">
        <v>0</v>
      </c>
      <c r="BA27" s="24">
        <v>0</v>
      </c>
      <c r="BB27" s="35">
        <v>0</v>
      </c>
      <c r="BC27" s="24">
        <v>0.2</v>
      </c>
      <c r="BD27" s="24">
        <v>0.2</v>
      </c>
      <c r="BE27" s="24">
        <v>0.2</v>
      </c>
      <c r="BF27" s="26"/>
      <c r="BG27" s="20">
        <f t="shared" ref="BG27:BH27" si="98">(AY27+BA27+BC27+BE27)</f>
        <v>0.4</v>
      </c>
      <c r="BH27" s="20">
        <f t="shared" si="98"/>
        <v>0.2</v>
      </c>
      <c r="BI27" s="20">
        <f t="shared" si="79"/>
        <v>0.5</v>
      </c>
      <c r="BJ27" s="23" t="str">
        <f t="shared" si="80"/>
        <v>100%</v>
      </c>
      <c r="BK27" s="24">
        <f t="shared" si="81"/>
        <v>0.5</v>
      </c>
      <c r="BL27" s="22" t="s">
        <v>92</v>
      </c>
      <c r="BM27" s="25" t="s">
        <v>225</v>
      </c>
      <c r="BN27" s="27">
        <v>100000000</v>
      </c>
      <c r="BO27" s="27">
        <v>0</v>
      </c>
      <c r="BP27" s="27">
        <v>800000000</v>
      </c>
      <c r="BQ27" s="27">
        <v>800000000</v>
      </c>
      <c r="BR27" s="27">
        <f t="shared" ref="BR27:BS27" si="99">+BN27+BP27</f>
        <v>900000000</v>
      </c>
      <c r="BS27" s="27">
        <f t="shared" si="99"/>
        <v>800000000</v>
      </c>
      <c r="BT27" s="20">
        <f t="shared" si="13"/>
        <v>0.88888888888888884</v>
      </c>
      <c r="BU27" s="27">
        <v>100000000</v>
      </c>
      <c r="BV27" s="27">
        <v>100000000</v>
      </c>
      <c r="BW27" s="27">
        <v>0</v>
      </c>
      <c r="BX27" s="27">
        <v>0</v>
      </c>
      <c r="BY27" s="28">
        <f t="shared" si="14"/>
        <v>0</v>
      </c>
      <c r="BZ27" s="27">
        <v>125000000</v>
      </c>
      <c r="CA27" s="20">
        <v>100000000</v>
      </c>
      <c r="CB27" s="29">
        <v>120000000</v>
      </c>
      <c r="CC27" s="29">
        <v>125000000</v>
      </c>
      <c r="CD27" s="29">
        <v>470000000</v>
      </c>
    </row>
    <row r="28" spans="1:82" ht="54" customHeight="1">
      <c r="A28" s="12" t="s">
        <v>95</v>
      </c>
      <c r="B28" s="13">
        <v>0.23499999999999999</v>
      </c>
      <c r="C28" s="12"/>
      <c r="D28" s="14">
        <v>40</v>
      </c>
      <c r="E28" s="16">
        <v>4003</v>
      </c>
      <c r="F28" s="14">
        <v>5</v>
      </c>
      <c r="G28" s="14" t="s">
        <v>208</v>
      </c>
      <c r="H28" s="14">
        <v>1400</v>
      </c>
      <c r="I28" s="14">
        <v>5.0999999999999996</v>
      </c>
      <c r="J28" s="14" t="s">
        <v>209</v>
      </c>
      <c r="K28" s="14" t="s">
        <v>210</v>
      </c>
      <c r="L28" s="14" t="s">
        <v>211</v>
      </c>
      <c r="M28" s="14" t="s">
        <v>212</v>
      </c>
      <c r="N28" s="14" t="s">
        <v>213</v>
      </c>
      <c r="O28" s="16">
        <v>4003009</v>
      </c>
      <c r="P28" s="17">
        <v>2024257990005</v>
      </c>
      <c r="Q28" s="14" t="s">
        <v>214</v>
      </c>
      <c r="R28" s="18">
        <v>27</v>
      </c>
      <c r="S28" s="14" t="s">
        <v>226</v>
      </c>
      <c r="T28" s="14">
        <v>0</v>
      </c>
      <c r="U28" s="14" t="s">
        <v>88</v>
      </c>
      <c r="V28" s="14" t="s">
        <v>89</v>
      </c>
      <c r="W28" s="14" t="s">
        <v>227</v>
      </c>
      <c r="X28" s="14" t="s">
        <v>206</v>
      </c>
      <c r="Y28" s="19" t="s">
        <v>124</v>
      </c>
      <c r="Z28" s="18">
        <f t="shared" si="86"/>
        <v>3500</v>
      </c>
      <c r="AA28" s="20">
        <f t="shared" si="1"/>
        <v>0</v>
      </c>
      <c r="AB28" s="20">
        <f t="shared" si="2"/>
        <v>0</v>
      </c>
      <c r="AC28" s="21"/>
      <c r="AD28" s="21"/>
      <c r="AE28" s="21">
        <f t="shared" si="3"/>
        <v>0</v>
      </c>
      <c r="AF28" s="29">
        <v>0</v>
      </c>
      <c r="AG28" s="29">
        <v>1000</v>
      </c>
      <c r="AH28" s="29">
        <v>2000</v>
      </c>
      <c r="AI28" s="29">
        <v>500</v>
      </c>
      <c r="AJ28" s="26"/>
      <c r="AK28" s="26"/>
      <c r="AL28" s="26"/>
      <c r="AM28" s="26"/>
      <c r="AN28" s="34">
        <v>0</v>
      </c>
      <c r="AO28" s="34">
        <v>0</v>
      </c>
      <c r="AP28" s="34">
        <v>0</v>
      </c>
      <c r="AQ28" s="34">
        <v>0</v>
      </c>
      <c r="AR28" s="34">
        <v>0</v>
      </c>
      <c r="AS28" s="34">
        <f>(AK28+AM28+AO28+AQ28)/2</f>
        <v>0</v>
      </c>
      <c r="AT28" s="24">
        <f>IF(AQ28=0, 0, AR28/AQ28)</f>
        <v>0</v>
      </c>
      <c r="AU28" s="23" t="str">
        <f>IF(AR28&gt; 1, IF(AR28 = AS28, "100%", AR28 &amp; "%"), IF(AR28 &lt;= 0.01, "0%", AR28 * 100 &amp; "%"))</f>
        <v>0%</v>
      </c>
      <c r="AV28" s="24">
        <f t="shared" si="7"/>
        <v>0</v>
      </c>
      <c r="AW28" s="26" t="s">
        <v>192</v>
      </c>
      <c r="AX28" s="26"/>
      <c r="AY28" s="32">
        <v>0</v>
      </c>
      <c r="AZ28" s="32"/>
      <c r="BA28" s="32">
        <v>0</v>
      </c>
      <c r="BB28" s="32"/>
      <c r="BC28" s="32">
        <v>0</v>
      </c>
      <c r="BD28" s="32"/>
      <c r="BE28" s="32">
        <v>0</v>
      </c>
      <c r="BF28" s="32"/>
      <c r="BG28" s="22">
        <f t="shared" ref="BG28:BH28" si="100">(AY28+BA28+BC28+BE28)</f>
        <v>0</v>
      </c>
      <c r="BH28" s="22">
        <f t="shared" si="100"/>
        <v>0</v>
      </c>
      <c r="BI28" s="23" t="str">
        <f>IF(BF28&gt; 1, IF(BF28 = BG28, "100%", BF28 &amp; "%"), IF(BF28 &lt;= 0.01, "0%", BF28 * 100 &amp; "%"))</f>
        <v>0%</v>
      </c>
      <c r="BJ28" s="24">
        <f t="shared" ref="BJ28:BK28" si="101">IF(BF28=0, 0, BG28/BF28)</f>
        <v>0</v>
      </c>
      <c r="BK28" s="24">
        <f t="shared" si="101"/>
        <v>0</v>
      </c>
      <c r="BL28" s="26" t="s">
        <v>192</v>
      </c>
      <c r="BM28" s="25" t="s">
        <v>228</v>
      </c>
      <c r="BN28" s="27">
        <v>0</v>
      </c>
      <c r="BO28" s="27">
        <v>0</v>
      </c>
      <c r="BP28" s="27">
        <v>0</v>
      </c>
      <c r="BQ28" s="27">
        <v>0</v>
      </c>
      <c r="BR28" s="27">
        <f t="shared" ref="BR28:BS28" si="102">+BN28+BP28</f>
        <v>0</v>
      </c>
      <c r="BS28" s="27">
        <f t="shared" si="102"/>
        <v>0</v>
      </c>
      <c r="BT28" s="20" t="str">
        <f t="shared" si="13"/>
        <v/>
      </c>
      <c r="BU28" s="27">
        <v>0</v>
      </c>
      <c r="BV28" s="27">
        <v>0</v>
      </c>
      <c r="BW28" s="27">
        <v>0</v>
      </c>
      <c r="BX28" s="27">
        <v>0</v>
      </c>
      <c r="BY28" s="28" t="str">
        <f t="shared" si="14"/>
        <v/>
      </c>
      <c r="BZ28" s="27">
        <v>110000000</v>
      </c>
      <c r="CA28" s="20">
        <v>0</v>
      </c>
      <c r="CB28" s="29">
        <v>0</v>
      </c>
      <c r="CC28" s="29">
        <v>0</v>
      </c>
      <c r="CD28" s="29">
        <v>110000000</v>
      </c>
    </row>
    <row r="29" spans="1:82" ht="54" customHeight="1">
      <c r="A29" s="12" t="s">
        <v>95</v>
      </c>
      <c r="B29" s="13">
        <v>0.23499999999999999</v>
      </c>
      <c r="C29" s="12"/>
      <c r="D29" s="14">
        <v>40</v>
      </c>
      <c r="E29" s="16">
        <v>4003</v>
      </c>
      <c r="F29" s="14">
        <v>5</v>
      </c>
      <c r="G29" s="14" t="s">
        <v>208</v>
      </c>
      <c r="H29" s="14">
        <v>1400</v>
      </c>
      <c r="I29" s="14">
        <v>5.0999999999999996</v>
      </c>
      <c r="J29" s="14" t="s">
        <v>209</v>
      </c>
      <c r="K29" s="14" t="s">
        <v>210</v>
      </c>
      <c r="L29" s="14" t="s">
        <v>211</v>
      </c>
      <c r="M29" s="14" t="s">
        <v>212</v>
      </c>
      <c r="N29" s="14" t="s">
        <v>213</v>
      </c>
      <c r="O29" s="16">
        <v>4003017</v>
      </c>
      <c r="P29" s="17">
        <v>2024257990005</v>
      </c>
      <c r="Q29" s="14" t="s">
        <v>214</v>
      </c>
      <c r="R29" s="18">
        <v>28</v>
      </c>
      <c r="S29" s="14" t="s">
        <v>229</v>
      </c>
      <c r="T29" s="14">
        <v>1</v>
      </c>
      <c r="U29" s="14" t="s">
        <v>88</v>
      </c>
      <c r="V29" s="14" t="s">
        <v>89</v>
      </c>
      <c r="W29" s="14" t="s">
        <v>230</v>
      </c>
      <c r="X29" s="14" t="s">
        <v>206</v>
      </c>
      <c r="Y29" s="19" t="s">
        <v>124</v>
      </c>
      <c r="Z29" s="18">
        <f t="shared" si="86"/>
        <v>4</v>
      </c>
      <c r="AA29" s="20">
        <f t="shared" si="1"/>
        <v>0.05</v>
      </c>
      <c r="AB29" s="20">
        <f t="shared" si="2"/>
        <v>0.25</v>
      </c>
      <c r="AC29" s="21"/>
      <c r="AD29" s="21"/>
      <c r="AE29" s="21">
        <f t="shared" si="3"/>
        <v>9.5000000000000001E-2</v>
      </c>
      <c r="AF29" s="29">
        <v>1</v>
      </c>
      <c r="AG29" s="29">
        <v>1</v>
      </c>
      <c r="AH29" s="29">
        <v>1</v>
      </c>
      <c r="AI29" s="29">
        <v>1</v>
      </c>
      <c r="AJ29" s="26"/>
      <c r="AK29" s="26"/>
      <c r="AL29" s="26"/>
      <c r="AM29" s="26"/>
      <c r="AN29" s="26">
        <v>0.1</v>
      </c>
      <c r="AO29" s="26">
        <v>0.1</v>
      </c>
      <c r="AP29" s="26">
        <v>0.1</v>
      </c>
      <c r="AQ29" s="26">
        <v>0.1</v>
      </c>
      <c r="AR29" s="22">
        <f t="shared" ref="AR29:AS29" si="103">(AJ29+AL29+AN29+AP29)</f>
        <v>0.2</v>
      </c>
      <c r="AS29" s="22">
        <f t="shared" si="103"/>
        <v>0.2</v>
      </c>
      <c r="AT29" s="24">
        <f t="shared" ref="AT29:AT31" si="104">AS29/AR29</f>
        <v>1</v>
      </c>
      <c r="AU29" s="23" t="str">
        <f t="shared" ref="AU29:AU31" si="105">MIN((AR29 /AR29) * 100, 100) &amp; "%"</f>
        <v>100%</v>
      </c>
      <c r="AV29" s="24">
        <f t="shared" si="7"/>
        <v>1</v>
      </c>
      <c r="AW29" s="14" t="s">
        <v>92</v>
      </c>
      <c r="AX29" s="30" t="s">
        <v>231</v>
      </c>
      <c r="AY29" s="26">
        <v>0</v>
      </c>
      <c r="AZ29" s="26">
        <v>0</v>
      </c>
      <c r="BA29" s="14">
        <v>0.86</v>
      </c>
      <c r="BB29" s="14">
        <v>0.86</v>
      </c>
      <c r="BC29" s="14">
        <v>0.14000000000000001</v>
      </c>
      <c r="BD29" s="14">
        <v>0.14000000000000001</v>
      </c>
      <c r="BE29" s="14">
        <v>0</v>
      </c>
      <c r="BF29" s="26"/>
      <c r="BG29" s="22">
        <f t="shared" ref="BG29:BH29" si="106">(AY29+BA29+BC29+BE29)</f>
        <v>1</v>
      </c>
      <c r="BH29" s="22">
        <f t="shared" si="106"/>
        <v>1</v>
      </c>
      <c r="BI29" s="22">
        <f>BH29/BG29</f>
        <v>1</v>
      </c>
      <c r="BJ29" s="23" t="str">
        <f>MIN((BG29 /BG29) * 100, 100) &amp; "%"</f>
        <v>100%</v>
      </c>
      <c r="BK29" s="24">
        <f>IF(BG29=0, 0, BH29/BG29)</f>
        <v>1</v>
      </c>
      <c r="BL29" s="22" t="s">
        <v>92</v>
      </c>
      <c r="BM29" s="25" t="s">
        <v>232</v>
      </c>
      <c r="BN29" s="27">
        <v>850000000</v>
      </c>
      <c r="BO29" s="27">
        <v>0</v>
      </c>
      <c r="BP29" s="27">
        <v>1100000000</v>
      </c>
      <c r="BQ29" s="27">
        <v>1100000000</v>
      </c>
      <c r="BR29" s="27">
        <f t="shared" ref="BR29:BS29" si="107">+BN29+BP29</f>
        <v>1950000000</v>
      </c>
      <c r="BS29" s="27">
        <f t="shared" si="107"/>
        <v>1100000000</v>
      </c>
      <c r="BT29" s="20">
        <f t="shared" si="13"/>
        <v>0.5641025641025641</v>
      </c>
      <c r="BU29" s="27">
        <v>350000000</v>
      </c>
      <c r="BV29" s="27">
        <v>850000000</v>
      </c>
      <c r="BW29" s="27">
        <v>849627668</v>
      </c>
      <c r="BX29" s="27">
        <v>849627668</v>
      </c>
      <c r="BY29" s="28">
        <f t="shared" si="14"/>
        <v>0.99956196235294115</v>
      </c>
      <c r="BZ29" s="27">
        <v>400000000</v>
      </c>
      <c r="CA29" s="20">
        <v>430000000</v>
      </c>
      <c r="CB29" s="29">
        <v>450000000</v>
      </c>
      <c r="CC29" s="29">
        <v>470000000</v>
      </c>
      <c r="CD29" s="29">
        <v>1750000000</v>
      </c>
    </row>
    <row r="30" spans="1:82" ht="54" customHeight="1">
      <c r="A30" s="12" t="s">
        <v>95</v>
      </c>
      <c r="B30" s="13">
        <v>0.23499999999999999</v>
      </c>
      <c r="C30" s="12"/>
      <c r="D30" s="14">
        <v>40</v>
      </c>
      <c r="E30" s="16">
        <v>4003</v>
      </c>
      <c r="F30" s="14">
        <v>5</v>
      </c>
      <c r="G30" s="14" t="s">
        <v>208</v>
      </c>
      <c r="H30" s="14">
        <v>1400</v>
      </c>
      <c r="I30" s="14">
        <v>5.0999999999999996</v>
      </c>
      <c r="J30" s="14" t="s">
        <v>209</v>
      </c>
      <c r="K30" s="14" t="s">
        <v>210</v>
      </c>
      <c r="L30" s="14" t="s">
        <v>211</v>
      </c>
      <c r="M30" s="14" t="s">
        <v>212</v>
      </c>
      <c r="N30" s="14" t="s">
        <v>213</v>
      </c>
      <c r="O30" s="16">
        <v>4003017</v>
      </c>
      <c r="P30" s="17">
        <v>2024257990005</v>
      </c>
      <c r="Q30" s="14" t="s">
        <v>214</v>
      </c>
      <c r="R30" s="18">
        <v>29</v>
      </c>
      <c r="S30" s="14" t="s">
        <v>233</v>
      </c>
      <c r="T30" s="14">
        <v>0</v>
      </c>
      <c r="U30" s="14" t="s">
        <v>88</v>
      </c>
      <c r="V30" s="14" t="s">
        <v>89</v>
      </c>
      <c r="W30" s="14" t="s">
        <v>234</v>
      </c>
      <c r="X30" s="14" t="s">
        <v>206</v>
      </c>
      <c r="Y30" s="19" t="s">
        <v>124</v>
      </c>
      <c r="Z30" s="20">
        <f t="shared" si="86"/>
        <v>1</v>
      </c>
      <c r="AA30" s="20">
        <f t="shared" si="1"/>
        <v>0.6</v>
      </c>
      <c r="AB30" s="20">
        <f t="shared" si="2"/>
        <v>0</v>
      </c>
      <c r="AC30" s="21"/>
      <c r="AD30" s="21"/>
      <c r="AE30" s="21">
        <f t="shared" si="3"/>
        <v>0.09</v>
      </c>
      <c r="AF30" s="24">
        <v>1</v>
      </c>
      <c r="AG30" s="22">
        <v>0</v>
      </c>
      <c r="AH30" s="22">
        <v>0</v>
      </c>
      <c r="AI30" s="22">
        <v>0</v>
      </c>
      <c r="AJ30" s="26"/>
      <c r="AK30" s="26"/>
      <c r="AL30" s="26"/>
      <c r="AM30" s="26"/>
      <c r="AN30" s="24">
        <v>0.1</v>
      </c>
      <c r="AO30" s="24">
        <v>0.1</v>
      </c>
      <c r="AP30" s="24">
        <v>0.9</v>
      </c>
      <c r="AQ30" s="24">
        <v>0.5</v>
      </c>
      <c r="AR30" s="24">
        <f t="shared" ref="AR30:AS30" si="108">(AJ30+AL30+AN30+AP30)</f>
        <v>1</v>
      </c>
      <c r="AS30" s="24">
        <f t="shared" si="108"/>
        <v>0.6</v>
      </c>
      <c r="AT30" s="24">
        <f t="shared" si="104"/>
        <v>0.6</v>
      </c>
      <c r="AU30" s="23" t="str">
        <f t="shared" si="105"/>
        <v>100%</v>
      </c>
      <c r="AV30" s="24">
        <f t="shared" si="7"/>
        <v>0.6</v>
      </c>
      <c r="AW30" s="14" t="s">
        <v>92</v>
      </c>
      <c r="AX30" s="30" t="s">
        <v>235</v>
      </c>
      <c r="AY30" s="32">
        <v>0</v>
      </c>
      <c r="AZ30" s="32"/>
      <c r="BA30" s="32">
        <v>0</v>
      </c>
      <c r="BB30" s="32"/>
      <c r="BC30" s="32">
        <v>0</v>
      </c>
      <c r="BD30" s="32"/>
      <c r="BE30" s="32">
        <v>0</v>
      </c>
      <c r="BF30" s="32"/>
      <c r="BG30" s="22">
        <f t="shared" ref="BG30:BH30" si="109">(AY30+BA30+BC30+BE30)</f>
        <v>0</v>
      </c>
      <c r="BH30" s="22">
        <f t="shared" si="109"/>
        <v>0</v>
      </c>
      <c r="BI30" s="23" t="str">
        <f>IF(BF30&gt; 1, IF(BF30 = BG30, "100%", BF30 &amp; "%"), IF(BF30 &lt;= 0.01, "0%", BF30 * 100 &amp; "%"))</f>
        <v>0%</v>
      </c>
      <c r="BJ30" s="24">
        <f t="shared" ref="BJ30:BK30" si="110">IF(BF30=0, 0, BG30/BF30)</f>
        <v>0</v>
      </c>
      <c r="BK30" s="24">
        <f t="shared" si="110"/>
        <v>0</v>
      </c>
      <c r="BL30" s="26" t="s">
        <v>192</v>
      </c>
      <c r="BM30" s="25" t="s">
        <v>236</v>
      </c>
      <c r="BN30" s="27">
        <v>20780404</v>
      </c>
      <c r="BO30" s="27">
        <v>0</v>
      </c>
      <c r="BP30" s="27">
        <v>1200000000</v>
      </c>
      <c r="BQ30" s="27">
        <v>1200000000</v>
      </c>
      <c r="BR30" s="27">
        <f t="shared" ref="BR30:BS30" si="111">+BN30+BP30</f>
        <v>1220780404</v>
      </c>
      <c r="BS30" s="27">
        <f t="shared" si="111"/>
        <v>1200000000</v>
      </c>
      <c r="BT30" s="20">
        <f t="shared" si="13"/>
        <v>0.98297777066873693</v>
      </c>
      <c r="BU30" s="27">
        <v>0</v>
      </c>
      <c r="BV30" s="27">
        <v>0</v>
      </c>
      <c r="BW30" s="27">
        <v>0</v>
      </c>
      <c r="BX30" s="27">
        <v>0</v>
      </c>
      <c r="BY30" s="28" t="str">
        <f t="shared" si="14"/>
        <v/>
      </c>
      <c r="BZ30" s="27">
        <v>1000000000</v>
      </c>
      <c r="CA30" s="20">
        <v>0</v>
      </c>
      <c r="CB30" s="29">
        <v>0</v>
      </c>
      <c r="CC30" s="29">
        <v>0</v>
      </c>
      <c r="CD30" s="29">
        <v>1000000000</v>
      </c>
    </row>
    <row r="31" spans="1:82" ht="54" customHeight="1">
      <c r="A31" s="12" t="s">
        <v>95</v>
      </c>
      <c r="B31" s="13">
        <v>0.23499999999999999</v>
      </c>
      <c r="C31" s="12"/>
      <c r="D31" s="14">
        <v>40</v>
      </c>
      <c r="E31" s="16">
        <v>4003</v>
      </c>
      <c r="F31" s="14">
        <v>5</v>
      </c>
      <c r="G31" s="14" t="s">
        <v>208</v>
      </c>
      <c r="H31" s="14">
        <v>1400</v>
      </c>
      <c r="I31" s="14">
        <v>5.0999999999999996</v>
      </c>
      <c r="J31" s="14" t="s">
        <v>209</v>
      </c>
      <c r="K31" s="14" t="s">
        <v>210</v>
      </c>
      <c r="L31" s="14" t="s">
        <v>211</v>
      </c>
      <c r="M31" s="14" t="s">
        <v>212</v>
      </c>
      <c r="N31" s="14" t="s">
        <v>213</v>
      </c>
      <c r="O31" s="16">
        <v>4003053</v>
      </c>
      <c r="P31" s="17">
        <v>2024257990005</v>
      </c>
      <c r="Q31" s="14" t="s">
        <v>214</v>
      </c>
      <c r="R31" s="18">
        <v>30</v>
      </c>
      <c r="S31" s="14" t="s">
        <v>237</v>
      </c>
      <c r="T31" s="20">
        <v>0.8</v>
      </c>
      <c r="U31" s="14" t="s">
        <v>109</v>
      </c>
      <c r="V31" s="14" t="s">
        <v>89</v>
      </c>
      <c r="W31" s="14" t="s">
        <v>238</v>
      </c>
      <c r="X31" s="14" t="s">
        <v>206</v>
      </c>
      <c r="Y31" s="19" t="s">
        <v>124</v>
      </c>
      <c r="Z31" s="24">
        <f>SUM(AF31:AI31)/4</f>
        <v>1</v>
      </c>
      <c r="AA31" s="20">
        <f t="shared" si="1"/>
        <v>1</v>
      </c>
      <c r="AB31" s="20">
        <f t="shared" si="2"/>
        <v>1</v>
      </c>
      <c r="AC31" s="21"/>
      <c r="AD31" s="21"/>
      <c r="AE31" s="21">
        <f t="shared" si="3"/>
        <v>0.5</v>
      </c>
      <c r="AF31" s="24">
        <v>1</v>
      </c>
      <c r="AG31" s="24">
        <v>1</v>
      </c>
      <c r="AH31" s="24">
        <v>1</v>
      </c>
      <c r="AI31" s="24">
        <v>1</v>
      </c>
      <c r="AJ31" s="26"/>
      <c r="AK31" s="26"/>
      <c r="AL31" s="26"/>
      <c r="AM31" s="26"/>
      <c r="AN31" s="24">
        <v>0.1</v>
      </c>
      <c r="AO31" s="24">
        <v>0.1</v>
      </c>
      <c r="AP31" s="24">
        <v>0.9</v>
      </c>
      <c r="AQ31" s="24">
        <v>0.9</v>
      </c>
      <c r="AR31" s="24">
        <f t="shared" ref="AR31:AS31" si="112">(AJ31+AL31+AN31+AP31)</f>
        <v>1</v>
      </c>
      <c r="AS31" s="24">
        <f t="shared" si="112"/>
        <v>1</v>
      </c>
      <c r="AT31" s="24">
        <f t="shared" si="104"/>
        <v>1</v>
      </c>
      <c r="AU31" s="23" t="str">
        <f t="shared" si="105"/>
        <v>100%</v>
      </c>
      <c r="AV31" s="24">
        <f t="shared" si="7"/>
        <v>1</v>
      </c>
      <c r="AW31" s="14" t="s">
        <v>92</v>
      </c>
      <c r="AX31" s="30" t="s">
        <v>239</v>
      </c>
      <c r="AY31" s="26">
        <v>0</v>
      </c>
      <c r="AZ31" s="26">
        <v>0</v>
      </c>
      <c r="BA31" s="24">
        <v>0.05</v>
      </c>
      <c r="BB31" s="24">
        <v>0.05</v>
      </c>
      <c r="BC31" s="24">
        <v>0.05</v>
      </c>
      <c r="BD31" s="24">
        <v>0.05</v>
      </c>
      <c r="BE31" s="24">
        <v>0</v>
      </c>
      <c r="BF31" s="26"/>
      <c r="BG31" s="22">
        <f t="shared" ref="BG31:BH31" si="113">(AY31+BA31+BC31+BE31)</f>
        <v>0.1</v>
      </c>
      <c r="BH31" s="22">
        <f t="shared" si="113"/>
        <v>0.1</v>
      </c>
      <c r="BI31" s="22">
        <f t="shared" ref="BI31:BI32" si="114">BH31/BG31</f>
        <v>1</v>
      </c>
      <c r="BJ31" s="23" t="str">
        <f t="shared" ref="BJ31:BJ32" si="115">MIN((BG31 /BG31) * 100, 100) &amp; "%"</f>
        <v>100%</v>
      </c>
      <c r="BK31" s="24">
        <f t="shared" ref="BK31:BK32" si="116">IF(BG31=0, 0, BH31/BG31)</f>
        <v>1</v>
      </c>
      <c r="BL31" s="22" t="s">
        <v>92</v>
      </c>
      <c r="BM31" s="25" t="s">
        <v>240</v>
      </c>
      <c r="BN31" s="27">
        <v>400000000</v>
      </c>
      <c r="BO31" s="27">
        <v>0</v>
      </c>
      <c r="BP31" s="27">
        <v>1100000000</v>
      </c>
      <c r="BQ31" s="27">
        <v>1100000000</v>
      </c>
      <c r="BR31" s="27">
        <f t="shared" ref="BR31:BS31" si="117">+BN31+BP31</f>
        <v>1500000000</v>
      </c>
      <c r="BS31" s="27">
        <f t="shared" si="117"/>
        <v>1100000000</v>
      </c>
      <c r="BT31" s="20">
        <f t="shared" si="13"/>
        <v>0.73333333333333328</v>
      </c>
      <c r="BU31" s="27">
        <v>400000000</v>
      </c>
      <c r="BV31" s="27">
        <v>420780404</v>
      </c>
      <c r="BW31" s="27">
        <v>0</v>
      </c>
      <c r="BX31" s="27">
        <v>0</v>
      </c>
      <c r="BY31" s="28">
        <f t="shared" si="14"/>
        <v>0</v>
      </c>
      <c r="BZ31" s="27">
        <v>60000000</v>
      </c>
      <c r="CA31" s="20">
        <v>0</v>
      </c>
      <c r="CB31" s="29">
        <v>0</v>
      </c>
      <c r="CC31" s="29">
        <v>0</v>
      </c>
      <c r="CD31" s="29">
        <v>60000000</v>
      </c>
    </row>
    <row r="32" spans="1:82" ht="54" customHeight="1">
      <c r="A32" s="12" t="s">
        <v>95</v>
      </c>
      <c r="B32" s="13">
        <v>0.23499999999999999</v>
      </c>
      <c r="C32" s="12"/>
      <c r="D32" s="14">
        <v>40</v>
      </c>
      <c r="E32" s="16">
        <v>4003</v>
      </c>
      <c r="F32" s="14">
        <v>5</v>
      </c>
      <c r="G32" s="14" t="s">
        <v>208</v>
      </c>
      <c r="H32" s="14">
        <v>1400</v>
      </c>
      <c r="I32" s="14">
        <v>5.0999999999999996</v>
      </c>
      <c r="J32" s="14" t="s">
        <v>209</v>
      </c>
      <c r="K32" s="14" t="s">
        <v>210</v>
      </c>
      <c r="L32" s="14" t="s">
        <v>211</v>
      </c>
      <c r="M32" s="14" t="s">
        <v>212</v>
      </c>
      <c r="N32" s="14" t="s">
        <v>213</v>
      </c>
      <c r="O32" s="16">
        <v>4003017</v>
      </c>
      <c r="P32" s="17">
        <v>2024257990005</v>
      </c>
      <c r="Q32" s="14" t="s">
        <v>214</v>
      </c>
      <c r="R32" s="18">
        <v>31</v>
      </c>
      <c r="S32" s="14" t="s">
        <v>241</v>
      </c>
      <c r="T32" s="14">
        <v>0</v>
      </c>
      <c r="U32" s="14" t="s">
        <v>109</v>
      </c>
      <c r="V32" s="14" t="s">
        <v>89</v>
      </c>
      <c r="W32" s="14" t="s">
        <v>242</v>
      </c>
      <c r="X32" s="14" t="s">
        <v>206</v>
      </c>
      <c r="Y32" s="19" t="s">
        <v>124</v>
      </c>
      <c r="Z32" s="20">
        <f t="shared" ref="Z32:Z35" si="118">SUM(AF32:AI32)</f>
        <v>0.6</v>
      </c>
      <c r="AA32" s="20">
        <f t="shared" si="1"/>
        <v>0</v>
      </c>
      <c r="AB32" s="20">
        <f t="shared" si="2"/>
        <v>1.6666666666666667</v>
      </c>
      <c r="AC32" s="21"/>
      <c r="AD32" s="21"/>
      <c r="AE32" s="21">
        <f t="shared" si="3"/>
        <v>0.58333333333333337</v>
      </c>
      <c r="AF32" s="26">
        <v>0</v>
      </c>
      <c r="AG32" s="24">
        <v>0.1</v>
      </c>
      <c r="AH32" s="24">
        <v>0.4</v>
      </c>
      <c r="AI32" s="24">
        <v>0.1</v>
      </c>
      <c r="AJ32" s="26"/>
      <c r="AK32" s="26"/>
      <c r="AL32" s="26"/>
      <c r="AM32" s="26"/>
      <c r="AN32" s="34">
        <v>0</v>
      </c>
      <c r="AO32" s="34">
        <v>0</v>
      </c>
      <c r="AP32" s="34">
        <v>0</v>
      </c>
      <c r="AQ32" s="34">
        <v>0</v>
      </c>
      <c r="AR32" s="34">
        <v>0</v>
      </c>
      <c r="AS32" s="34">
        <f>(AK32+AM32+AO32+AQ32)/2</f>
        <v>0</v>
      </c>
      <c r="AT32" s="24">
        <f>IF(AQ32=0, 0, AR32/AQ32)</f>
        <v>0</v>
      </c>
      <c r="AU32" s="23" t="str">
        <f>IF(AR32&gt; 1, IF(AR32 = AS32, "100%", AR32 &amp; "%"), IF(AR32 &lt;= 0.01, "0%", AR32 * 100 &amp; "%"))</f>
        <v>0%</v>
      </c>
      <c r="AV32" s="24">
        <f t="shared" si="7"/>
        <v>0</v>
      </c>
      <c r="AW32" s="26" t="s">
        <v>192</v>
      </c>
      <c r="AX32" s="26"/>
      <c r="AY32" s="24">
        <v>0</v>
      </c>
      <c r="AZ32" s="26">
        <v>0</v>
      </c>
      <c r="BA32" s="24">
        <v>0.03</v>
      </c>
      <c r="BB32" s="24">
        <v>0.03</v>
      </c>
      <c r="BC32" s="24">
        <v>7.0000000000000007E-2</v>
      </c>
      <c r="BD32" s="24">
        <v>7.0000000000000007E-2</v>
      </c>
      <c r="BE32" s="24">
        <v>0</v>
      </c>
      <c r="BF32" s="26"/>
      <c r="BG32" s="20">
        <f t="shared" ref="BG32:BH32" si="119">(AY32+BA32+BC32+BE32)</f>
        <v>0.1</v>
      </c>
      <c r="BH32" s="20">
        <f t="shared" si="119"/>
        <v>0.1</v>
      </c>
      <c r="BI32" s="20">
        <f t="shared" si="114"/>
        <v>1</v>
      </c>
      <c r="BJ32" s="23" t="str">
        <f t="shared" si="115"/>
        <v>100%</v>
      </c>
      <c r="BK32" s="24">
        <f t="shared" si="116"/>
        <v>1</v>
      </c>
      <c r="BL32" s="22" t="s">
        <v>92</v>
      </c>
      <c r="BM32" s="25" t="s">
        <v>243</v>
      </c>
      <c r="BN32" s="27">
        <v>300000000</v>
      </c>
      <c r="BO32" s="27">
        <v>0</v>
      </c>
      <c r="BP32" s="27">
        <v>0</v>
      </c>
      <c r="BQ32" s="27">
        <v>0</v>
      </c>
      <c r="BR32" s="27">
        <f t="shared" ref="BR32:BS32" si="120">+BN32+BP32</f>
        <v>300000000</v>
      </c>
      <c r="BS32" s="27">
        <f t="shared" si="120"/>
        <v>0</v>
      </c>
      <c r="BT32" s="20">
        <f t="shared" si="13"/>
        <v>0</v>
      </c>
      <c r="BU32" s="27">
        <v>300000000</v>
      </c>
      <c r="BV32" s="27">
        <v>300000000</v>
      </c>
      <c r="BW32" s="27">
        <v>0</v>
      </c>
      <c r="BX32" s="27">
        <v>0</v>
      </c>
      <c r="BY32" s="28">
        <f t="shared" si="14"/>
        <v>0</v>
      </c>
      <c r="BZ32" s="27">
        <v>200000000</v>
      </c>
      <c r="CA32" s="20">
        <v>204000000</v>
      </c>
      <c r="CB32" s="29">
        <v>200000000</v>
      </c>
      <c r="CC32" s="29">
        <v>206000000</v>
      </c>
      <c r="CD32" s="29">
        <v>810000000</v>
      </c>
    </row>
    <row r="33" spans="1:82" ht="54" customHeight="1">
      <c r="A33" s="12" t="s">
        <v>95</v>
      </c>
      <c r="B33" s="13">
        <v>0.23499999999999999</v>
      </c>
      <c r="C33" s="12"/>
      <c r="D33" s="14">
        <v>40</v>
      </c>
      <c r="E33" s="16">
        <v>4003</v>
      </c>
      <c r="F33" s="14">
        <v>5</v>
      </c>
      <c r="G33" s="14" t="s">
        <v>208</v>
      </c>
      <c r="H33" s="14">
        <v>1400</v>
      </c>
      <c r="I33" s="14">
        <v>5.0999999999999996</v>
      </c>
      <c r="J33" s="14" t="s">
        <v>209</v>
      </c>
      <c r="K33" s="14" t="s">
        <v>210</v>
      </c>
      <c r="L33" s="14" t="s">
        <v>211</v>
      </c>
      <c r="M33" s="14" t="s">
        <v>212</v>
      </c>
      <c r="N33" s="14" t="s">
        <v>213</v>
      </c>
      <c r="O33" s="16">
        <v>4003038</v>
      </c>
      <c r="P33" s="17">
        <v>2024257990005</v>
      </c>
      <c r="Q33" s="14" t="s">
        <v>214</v>
      </c>
      <c r="R33" s="18">
        <v>32</v>
      </c>
      <c r="S33" s="14" t="s">
        <v>244</v>
      </c>
      <c r="T33" s="14">
        <v>1</v>
      </c>
      <c r="U33" s="14" t="s">
        <v>88</v>
      </c>
      <c r="V33" s="14" t="s">
        <v>114</v>
      </c>
      <c r="W33" s="14" t="s">
        <v>245</v>
      </c>
      <c r="X33" s="14" t="s">
        <v>206</v>
      </c>
      <c r="Y33" s="19" t="s">
        <v>124</v>
      </c>
      <c r="Z33" s="14">
        <f t="shared" si="118"/>
        <v>1</v>
      </c>
      <c r="AA33" s="20">
        <f t="shared" si="1"/>
        <v>0.30000000000000004</v>
      </c>
      <c r="AB33" s="20">
        <f t="shared" si="2"/>
        <v>0</v>
      </c>
      <c r="AC33" s="21"/>
      <c r="AD33" s="21"/>
      <c r="AE33" s="21">
        <f t="shared" si="3"/>
        <v>4.5000000000000005E-2</v>
      </c>
      <c r="AF33" s="26">
        <v>0.3</v>
      </c>
      <c r="AG33" s="26">
        <v>0.7</v>
      </c>
      <c r="AH33" s="26">
        <v>0</v>
      </c>
      <c r="AI33" s="26">
        <v>0</v>
      </c>
      <c r="AJ33" s="26"/>
      <c r="AK33" s="26"/>
      <c r="AL33" s="26"/>
      <c r="AM33" s="26"/>
      <c r="AN33" s="26">
        <v>0.2</v>
      </c>
      <c r="AO33" s="26">
        <v>0.2</v>
      </c>
      <c r="AP33" s="26">
        <v>0.8</v>
      </c>
      <c r="AQ33" s="26">
        <v>0.1</v>
      </c>
      <c r="AR33" s="22">
        <f t="shared" ref="AR33:AS33" si="121">(AJ33+AL33+AN33+AP33)</f>
        <v>1</v>
      </c>
      <c r="AS33" s="22">
        <f t="shared" si="121"/>
        <v>0.30000000000000004</v>
      </c>
      <c r="AT33" s="22">
        <f t="shared" ref="AT33:AT39" si="122">AS33/AR33</f>
        <v>0.30000000000000004</v>
      </c>
      <c r="AU33" s="23" t="str">
        <f t="shared" ref="AU33:AU35" si="123">MIN((AR33 /AR33) * 100, 100) &amp; "%"</f>
        <v>100%</v>
      </c>
      <c r="AV33" s="24">
        <f t="shared" si="7"/>
        <v>0.30000000000000004</v>
      </c>
      <c r="AW33" s="14" t="s">
        <v>92</v>
      </c>
      <c r="AX33" s="30" t="s">
        <v>246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/>
      <c r="BE33" s="26">
        <v>0</v>
      </c>
      <c r="BF33" s="26"/>
      <c r="BG33" s="36">
        <f t="shared" ref="BG33:BH33" si="124">(AY33+BA33+BC33+BE33)</f>
        <v>0</v>
      </c>
      <c r="BH33" s="36">
        <f t="shared" si="124"/>
        <v>0</v>
      </c>
      <c r="BI33" s="37" t="str">
        <f>IF(BF33&gt; 1, IF(BF33 = BG33, "100%", BF33 &amp; "%"), IF(BF33 &lt;= 0.01, "0%", BF33 * 100 &amp; "%"))</f>
        <v>0%</v>
      </c>
      <c r="BJ33" s="38">
        <f t="shared" ref="BJ33:BK33" si="125">IF(BF33=0, 0, BG33/BF33)</f>
        <v>0</v>
      </c>
      <c r="BK33" s="38">
        <f t="shared" si="125"/>
        <v>0</v>
      </c>
      <c r="BL33" s="26" t="s">
        <v>192</v>
      </c>
      <c r="BM33" s="25" t="s">
        <v>247</v>
      </c>
      <c r="BN33" s="27">
        <v>0</v>
      </c>
      <c r="BO33" s="27">
        <v>0</v>
      </c>
      <c r="BP33" s="27">
        <v>1300000000</v>
      </c>
      <c r="BQ33" s="27">
        <v>1300000000</v>
      </c>
      <c r="BR33" s="27">
        <f t="shared" ref="BR33:BS33" si="126">+BN33+BP33</f>
        <v>1300000000</v>
      </c>
      <c r="BS33" s="27">
        <f t="shared" si="126"/>
        <v>1300000000</v>
      </c>
      <c r="BT33" s="20">
        <f t="shared" si="13"/>
        <v>1</v>
      </c>
      <c r="BU33" s="27">
        <v>0</v>
      </c>
      <c r="BV33" s="27">
        <v>0</v>
      </c>
      <c r="BW33" s="27">
        <v>0</v>
      </c>
      <c r="BX33" s="27">
        <v>0</v>
      </c>
      <c r="BY33" s="28" t="str">
        <f t="shared" si="14"/>
        <v/>
      </c>
      <c r="BZ33" s="27">
        <v>800000000</v>
      </c>
      <c r="CA33" s="20">
        <v>0</v>
      </c>
      <c r="CB33" s="29">
        <v>0</v>
      </c>
      <c r="CC33" s="29">
        <v>0</v>
      </c>
      <c r="CD33" s="29">
        <v>800000000</v>
      </c>
    </row>
    <row r="34" spans="1:82" ht="54" customHeight="1">
      <c r="A34" s="12" t="s">
        <v>95</v>
      </c>
      <c r="B34" s="13">
        <v>0.23499999999999999</v>
      </c>
      <c r="C34" s="12"/>
      <c r="D34" s="14">
        <v>40</v>
      </c>
      <c r="E34" s="16">
        <v>4003</v>
      </c>
      <c r="F34" s="14">
        <v>5</v>
      </c>
      <c r="G34" s="14" t="s">
        <v>208</v>
      </c>
      <c r="H34" s="14">
        <v>1400</v>
      </c>
      <c r="I34" s="14">
        <v>5.0999999999999996</v>
      </c>
      <c r="J34" s="14" t="s">
        <v>209</v>
      </c>
      <c r="K34" s="14" t="s">
        <v>210</v>
      </c>
      <c r="L34" s="14" t="s">
        <v>211</v>
      </c>
      <c r="M34" s="14" t="s">
        <v>212</v>
      </c>
      <c r="N34" s="14" t="s">
        <v>213</v>
      </c>
      <c r="O34" s="16">
        <v>4003016</v>
      </c>
      <c r="P34" s="17">
        <v>2024257990005</v>
      </c>
      <c r="Q34" s="14" t="s">
        <v>214</v>
      </c>
      <c r="R34" s="18">
        <v>33</v>
      </c>
      <c r="S34" s="14" t="s">
        <v>248</v>
      </c>
      <c r="T34" s="14" t="s">
        <v>249</v>
      </c>
      <c r="U34" s="14" t="s">
        <v>250</v>
      </c>
      <c r="V34" s="14" t="s">
        <v>89</v>
      </c>
      <c r="W34" s="14" t="s">
        <v>251</v>
      </c>
      <c r="X34" s="14" t="s">
        <v>206</v>
      </c>
      <c r="Y34" s="19" t="s">
        <v>124</v>
      </c>
      <c r="Z34" s="18">
        <f t="shared" si="118"/>
        <v>4000</v>
      </c>
      <c r="AA34" s="20">
        <f t="shared" si="1"/>
        <v>7.4999999999999997E-2</v>
      </c>
      <c r="AB34" s="20">
        <f t="shared" si="2"/>
        <v>2.5000000000000001E-4</v>
      </c>
      <c r="AC34" s="21"/>
      <c r="AD34" s="21"/>
      <c r="AE34" s="21">
        <f t="shared" si="3"/>
        <v>1.13375E-2</v>
      </c>
      <c r="AF34" s="29">
        <v>1000</v>
      </c>
      <c r="AG34" s="29">
        <v>1000</v>
      </c>
      <c r="AH34" s="29">
        <v>1000</v>
      </c>
      <c r="AI34" s="29">
        <v>1000</v>
      </c>
      <c r="AJ34" s="26"/>
      <c r="AK34" s="26"/>
      <c r="AL34" s="26"/>
      <c r="AM34" s="26"/>
      <c r="AN34" s="26">
        <v>200</v>
      </c>
      <c r="AO34" s="26">
        <v>200</v>
      </c>
      <c r="AP34" s="26">
        <v>1000</v>
      </c>
      <c r="AQ34" s="26">
        <v>100</v>
      </c>
      <c r="AR34" s="22">
        <f t="shared" ref="AR34:AS34" si="127">(AJ34+AL34+AN34+AP34)</f>
        <v>1200</v>
      </c>
      <c r="AS34" s="22">
        <f t="shared" si="127"/>
        <v>300</v>
      </c>
      <c r="AT34" s="22">
        <f t="shared" si="122"/>
        <v>0.25</v>
      </c>
      <c r="AU34" s="23" t="str">
        <f t="shared" si="123"/>
        <v>100%</v>
      </c>
      <c r="AV34" s="24">
        <f t="shared" si="7"/>
        <v>0.25</v>
      </c>
      <c r="AW34" s="14" t="s">
        <v>92</v>
      </c>
      <c r="AX34" s="30" t="s">
        <v>252</v>
      </c>
      <c r="AY34" s="26">
        <v>0</v>
      </c>
      <c r="AZ34" s="26">
        <v>0</v>
      </c>
      <c r="BA34" s="26">
        <v>0</v>
      </c>
      <c r="BB34" s="26">
        <v>0</v>
      </c>
      <c r="BC34" s="26">
        <v>100</v>
      </c>
      <c r="BD34" s="26">
        <v>100</v>
      </c>
      <c r="BE34" s="26">
        <v>0</v>
      </c>
      <c r="BF34" s="26"/>
      <c r="BG34" s="22">
        <f t="shared" ref="BG34:BH34" si="128">(AY34+BA34+BC34+BE34)*0.1</f>
        <v>10</v>
      </c>
      <c r="BH34" s="22">
        <f t="shared" si="128"/>
        <v>10</v>
      </c>
      <c r="BI34" s="22">
        <f t="shared" ref="BI34:BI47" si="129">BH34/BG34</f>
        <v>1</v>
      </c>
      <c r="BJ34" s="23" t="str">
        <f t="shared" ref="BJ34:BJ47" si="130">MIN((BG34 /BG34) * 100, 100) &amp; "%"</f>
        <v>100%</v>
      </c>
      <c r="BK34" s="24">
        <f t="shared" ref="BK34:BK47" si="131">IF(BG34=0, 0, BH34/BG34)</f>
        <v>1</v>
      </c>
      <c r="BL34" s="22" t="s">
        <v>92</v>
      </c>
      <c r="BM34" s="25" t="s">
        <v>253</v>
      </c>
      <c r="BN34" s="27">
        <v>300000000</v>
      </c>
      <c r="BO34" s="27">
        <v>0</v>
      </c>
      <c r="BP34" s="27">
        <v>159200788</v>
      </c>
      <c r="BQ34" s="27">
        <v>159200788</v>
      </c>
      <c r="BR34" s="27">
        <f t="shared" ref="BR34:BS34" si="132">+BN34+BP34</f>
        <v>459200788</v>
      </c>
      <c r="BS34" s="27">
        <f t="shared" si="132"/>
        <v>159200788</v>
      </c>
      <c r="BT34" s="20">
        <f t="shared" si="13"/>
        <v>0.34669101656680956</v>
      </c>
      <c r="BU34" s="27">
        <v>300000000</v>
      </c>
      <c r="BV34" s="27">
        <v>300000000</v>
      </c>
      <c r="BW34" s="27">
        <v>0</v>
      </c>
      <c r="BX34" s="27">
        <v>0</v>
      </c>
      <c r="BY34" s="28">
        <f t="shared" si="14"/>
        <v>0</v>
      </c>
      <c r="BZ34" s="27">
        <v>500000000</v>
      </c>
      <c r="CA34" s="20">
        <v>394325070</v>
      </c>
      <c r="CB34" s="29">
        <v>417174986</v>
      </c>
      <c r="CC34" s="29">
        <v>0</v>
      </c>
      <c r="CD34" s="29">
        <v>1311500055</v>
      </c>
    </row>
    <row r="35" spans="1:82" ht="54" customHeight="1">
      <c r="A35" s="12" t="s">
        <v>95</v>
      </c>
      <c r="B35" s="13">
        <v>0.23499999999999999</v>
      </c>
      <c r="C35" s="12"/>
      <c r="D35" s="14">
        <v>40</v>
      </c>
      <c r="E35" s="16">
        <v>4003</v>
      </c>
      <c r="F35" s="14">
        <v>5</v>
      </c>
      <c r="G35" s="14" t="s">
        <v>208</v>
      </c>
      <c r="H35" s="14">
        <v>1400</v>
      </c>
      <c r="I35" s="14">
        <v>5.0999999999999996</v>
      </c>
      <c r="J35" s="14" t="s">
        <v>209</v>
      </c>
      <c r="K35" s="14" t="s">
        <v>210</v>
      </c>
      <c r="L35" s="14" t="s">
        <v>211</v>
      </c>
      <c r="M35" s="14" t="s">
        <v>212</v>
      </c>
      <c r="N35" s="14" t="s">
        <v>213</v>
      </c>
      <c r="O35" s="16">
        <v>4003048</v>
      </c>
      <c r="P35" s="17">
        <v>2024257990005</v>
      </c>
      <c r="Q35" s="14" t="s">
        <v>214</v>
      </c>
      <c r="R35" s="18">
        <v>34</v>
      </c>
      <c r="S35" s="14" t="s">
        <v>254</v>
      </c>
      <c r="T35" s="14">
        <v>0</v>
      </c>
      <c r="U35" s="14" t="s">
        <v>88</v>
      </c>
      <c r="V35" s="14" t="s">
        <v>89</v>
      </c>
      <c r="W35" s="14" t="s">
        <v>255</v>
      </c>
      <c r="X35" s="14" t="s">
        <v>206</v>
      </c>
      <c r="Y35" s="19" t="s">
        <v>124</v>
      </c>
      <c r="Z35" s="14">
        <f t="shared" si="118"/>
        <v>1</v>
      </c>
      <c r="AA35" s="20">
        <f t="shared" si="1"/>
        <v>1</v>
      </c>
      <c r="AB35" s="20">
        <f t="shared" si="2"/>
        <v>1</v>
      </c>
      <c r="AC35" s="21"/>
      <c r="AD35" s="21"/>
      <c r="AE35" s="21">
        <f t="shared" si="3"/>
        <v>0.5</v>
      </c>
      <c r="AF35" s="26">
        <v>0.5</v>
      </c>
      <c r="AG35" s="26">
        <v>0.5</v>
      </c>
      <c r="AH35" s="29">
        <v>0</v>
      </c>
      <c r="AI35" s="29">
        <v>0</v>
      </c>
      <c r="AJ35" s="26"/>
      <c r="AK35" s="26"/>
      <c r="AL35" s="26"/>
      <c r="AM35" s="26"/>
      <c r="AN35" s="26">
        <v>0.1</v>
      </c>
      <c r="AO35" s="26">
        <v>0.1</v>
      </c>
      <c r="AP35" s="26">
        <v>0.9</v>
      </c>
      <c r="AQ35" s="26">
        <v>0.9</v>
      </c>
      <c r="AR35" s="24">
        <f t="shared" ref="AR35:AS35" si="133">(AJ35+AL35+AN35+AP35)</f>
        <v>1</v>
      </c>
      <c r="AS35" s="24">
        <f t="shared" si="133"/>
        <v>1</v>
      </c>
      <c r="AT35" s="24">
        <f t="shared" si="122"/>
        <v>1</v>
      </c>
      <c r="AU35" s="23" t="str">
        <f t="shared" si="123"/>
        <v>100%</v>
      </c>
      <c r="AV35" s="24">
        <f t="shared" si="7"/>
        <v>1</v>
      </c>
      <c r="AW35" s="14" t="s">
        <v>92</v>
      </c>
      <c r="AX35" s="30" t="s">
        <v>256</v>
      </c>
      <c r="AY35" s="26">
        <v>0</v>
      </c>
      <c r="AZ35" s="26">
        <v>0</v>
      </c>
      <c r="BA35" s="26">
        <v>0.01</v>
      </c>
      <c r="BB35" s="26">
        <v>0.01</v>
      </c>
      <c r="BC35" s="26">
        <v>0.01</v>
      </c>
      <c r="BD35" s="26">
        <v>0.01</v>
      </c>
      <c r="BE35" s="26">
        <v>0.02</v>
      </c>
      <c r="BF35" s="26">
        <v>0.02</v>
      </c>
      <c r="BG35" s="22">
        <f t="shared" ref="BG35:BH35" si="134">(AY35+BA35+BC35+BE35)</f>
        <v>0.04</v>
      </c>
      <c r="BH35" s="22">
        <f t="shared" si="134"/>
        <v>0.04</v>
      </c>
      <c r="BI35" s="22">
        <f t="shared" si="129"/>
        <v>1</v>
      </c>
      <c r="BJ35" s="23" t="str">
        <f t="shared" si="130"/>
        <v>100%</v>
      </c>
      <c r="BK35" s="24">
        <f t="shared" si="131"/>
        <v>1</v>
      </c>
      <c r="BL35" s="22" t="s">
        <v>92</v>
      </c>
      <c r="BM35" s="25" t="s">
        <v>257</v>
      </c>
      <c r="BN35" s="27">
        <v>130000000</v>
      </c>
      <c r="BO35" s="27">
        <v>0</v>
      </c>
      <c r="BP35" s="27">
        <v>824441743</v>
      </c>
      <c r="BQ35" s="27">
        <v>824441743</v>
      </c>
      <c r="BR35" s="27">
        <f t="shared" ref="BR35:BS35" si="135">+BN35+BP35</f>
        <v>954441743</v>
      </c>
      <c r="BS35" s="27">
        <f t="shared" si="135"/>
        <v>824441743</v>
      </c>
      <c r="BT35" s="20">
        <f t="shared" si="13"/>
        <v>0.86379472508045996</v>
      </c>
      <c r="BU35" s="27">
        <v>130000000</v>
      </c>
      <c r="BV35" s="27">
        <v>130000000</v>
      </c>
      <c r="BW35" s="27">
        <v>0</v>
      </c>
      <c r="BX35" s="27">
        <v>0</v>
      </c>
      <c r="BY35" s="28">
        <f t="shared" si="14"/>
        <v>0</v>
      </c>
      <c r="BZ35" s="27">
        <v>700000000</v>
      </c>
      <c r="CA35" s="20"/>
      <c r="CB35" s="29"/>
      <c r="CC35" s="29">
        <v>0</v>
      </c>
      <c r="CD35" s="29">
        <v>700000000</v>
      </c>
    </row>
    <row r="36" spans="1:82" ht="54" customHeight="1">
      <c r="A36" s="12" t="s">
        <v>95</v>
      </c>
      <c r="B36" s="13">
        <v>0.23499999999999999</v>
      </c>
      <c r="C36" s="12"/>
      <c r="D36" s="14">
        <v>40</v>
      </c>
      <c r="E36" s="16">
        <v>4003</v>
      </c>
      <c r="F36" s="14">
        <v>5</v>
      </c>
      <c r="G36" s="14" t="s">
        <v>208</v>
      </c>
      <c r="H36" s="14">
        <v>1400</v>
      </c>
      <c r="I36" s="14">
        <v>5.0999999999999996</v>
      </c>
      <c r="J36" s="14" t="s">
        <v>209</v>
      </c>
      <c r="K36" s="14" t="s">
        <v>258</v>
      </c>
      <c r="L36" s="14" t="s">
        <v>259</v>
      </c>
      <c r="M36" s="14" t="s">
        <v>260</v>
      </c>
      <c r="N36" s="14">
        <v>0.91</v>
      </c>
      <c r="O36" s="16">
        <v>4003009</v>
      </c>
      <c r="P36" s="17">
        <v>2024257990005</v>
      </c>
      <c r="Q36" s="14" t="s">
        <v>214</v>
      </c>
      <c r="R36" s="18">
        <v>35</v>
      </c>
      <c r="S36" s="14" t="s">
        <v>261</v>
      </c>
      <c r="T36" s="20">
        <v>1</v>
      </c>
      <c r="U36" s="14" t="s">
        <v>109</v>
      </c>
      <c r="V36" s="14" t="s">
        <v>114</v>
      </c>
      <c r="W36" s="14" t="s">
        <v>262</v>
      </c>
      <c r="X36" s="14" t="s">
        <v>263</v>
      </c>
      <c r="Y36" s="19" t="s">
        <v>124</v>
      </c>
      <c r="Z36" s="24">
        <f>SUM(AF36:AI36)/4</f>
        <v>1</v>
      </c>
      <c r="AA36" s="20">
        <f t="shared" si="1"/>
        <v>0.97499999999999998</v>
      </c>
      <c r="AB36" s="20">
        <f t="shared" si="2"/>
        <v>0.44999999999999996</v>
      </c>
      <c r="AC36" s="21"/>
      <c r="AD36" s="21"/>
      <c r="AE36" s="21">
        <f t="shared" si="3"/>
        <v>0.30374999999999996</v>
      </c>
      <c r="AF36" s="24">
        <v>1</v>
      </c>
      <c r="AG36" s="24">
        <v>1</v>
      </c>
      <c r="AH36" s="24">
        <v>1</v>
      </c>
      <c r="AI36" s="24">
        <v>1</v>
      </c>
      <c r="AJ36" s="26"/>
      <c r="AK36" s="26"/>
      <c r="AL36" s="26"/>
      <c r="AM36" s="26"/>
      <c r="AN36" s="24">
        <v>1</v>
      </c>
      <c r="AO36" s="24">
        <v>1</v>
      </c>
      <c r="AP36" s="24">
        <v>1</v>
      </c>
      <c r="AQ36" s="24">
        <v>0.95</v>
      </c>
      <c r="AR36" s="22">
        <f t="shared" ref="AR36:AS36" si="136">(AJ36+AL36+AN36+AP36)/2</f>
        <v>1</v>
      </c>
      <c r="AS36" s="22">
        <f t="shared" si="136"/>
        <v>0.97499999999999998</v>
      </c>
      <c r="AT36" s="22">
        <f t="shared" si="122"/>
        <v>0.97499999999999998</v>
      </c>
      <c r="AU36" s="23" t="str">
        <f t="shared" ref="AU36:AU38" si="137">IF(AR36&gt; 1, IF(AR36 = AS36, "100%", AR36 &amp; "%"), IF(AR36 &lt;= 0.01, "0%", AR36 * 100 &amp; "%"))</f>
        <v>100%</v>
      </c>
      <c r="AV36" s="24">
        <f t="shared" si="7"/>
        <v>0.97499999999999998</v>
      </c>
      <c r="AW36" s="14" t="s">
        <v>92</v>
      </c>
      <c r="AX36" s="30" t="s">
        <v>264</v>
      </c>
      <c r="AY36" s="24">
        <v>0.15</v>
      </c>
      <c r="AZ36" s="24">
        <v>0.15</v>
      </c>
      <c r="BA36" s="24">
        <v>0.3</v>
      </c>
      <c r="BB36" s="24">
        <v>0.3</v>
      </c>
      <c r="BC36" s="24">
        <v>0.3</v>
      </c>
      <c r="BD36" s="26"/>
      <c r="BE36" s="24">
        <v>0.25</v>
      </c>
      <c r="BF36" s="26"/>
      <c r="BG36" s="20">
        <f t="shared" ref="BG36:BH36" si="138">(AY36+BA36+BC36+BE36)</f>
        <v>1</v>
      </c>
      <c r="BH36" s="20">
        <f t="shared" si="138"/>
        <v>0.44999999999999996</v>
      </c>
      <c r="BI36" s="20">
        <f t="shared" si="129"/>
        <v>0.44999999999999996</v>
      </c>
      <c r="BJ36" s="23" t="str">
        <f t="shared" si="130"/>
        <v>100%</v>
      </c>
      <c r="BK36" s="24">
        <f t="shared" si="131"/>
        <v>0.44999999999999996</v>
      </c>
      <c r="BL36" s="26" t="s">
        <v>92</v>
      </c>
      <c r="BM36" s="25" t="s">
        <v>265</v>
      </c>
      <c r="BN36" s="27">
        <v>0</v>
      </c>
      <c r="BO36" s="27">
        <v>0</v>
      </c>
      <c r="BP36" s="27">
        <v>0</v>
      </c>
      <c r="BQ36" s="27">
        <v>0</v>
      </c>
      <c r="BR36" s="27">
        <f t="shared" ref="BR36:BS36" si="139">+BN36+BP36</f>
        <v>0</v>
      </c>
      <c r="BS36" s="27">
        <f t="shared" si="139"/>
        <v>0</v>
      </c>
      <c r="BT36" s="20" t="str">
        <f t="shared" si="13"/>
        <v/>
      </c>
      <c r="BU36" s="27">
        <v>0</v>
      </c>
      <c r="BV36" s="27">
        <v>0</v>
      </c>
      <c r="BW36" s="27">
        <v>0</v>
      </c>
      <c r="BX36" s="27">
        <v>0</v>
      </c>
      <c r="BY36" s="28" t="str">
        <f t="shared" si="14"/>
        <v/>
      </c>
      <c r="BZ36" s="27">
        <v>0</v>
      </c>
      <c r="CA36" s="20">
        <v>90000000</v>
      </c>
      <c r="CB36" s="29">
        <v>91800000</v>
      </c>
      <c r="CC36" s="29">
        <v>94554000</v>
      </c>
      <c r="CD36" s="29">
        <v>276354000</v>
      </c>
    </row>
    <row r="37" spans="1:82" ht="54" customHeight="1">
      <c r="A37" s="12" t="s">
        <v>95</v>
      </c>
      <c r="B37" s="13">
        <v>0.23499999999999999</v>
      </c>
      <c r="C37" s="12"/>
      <c r="D37" s="14">
        <v>40</v>
      </c>
      <c r="E37" s="16">
        <v>4003</v>
      </c>
      <c r="F37" s="14">
        <v>5</v>
      </c>
      <c r="G37" s="14" t="s">
        <v>208</v>
      </c>
      <c r="H37" s="14">
        <v>1400</v>
      </c>
      <c r="I37" s="14">
        <v>5.0999999999999996</v>
      </c>
      <c r="J37" s="14" t="s">
        <v>209</v>
      </c>
      <c r="K37" s="14" t="s">
        <v>258</v>
      </c>
      <c r="L37" s="14" t="s">
        <v>259</v>
      </c>
      <c r="M37" s="14" t="s">
        <v>260</v>
      </c>
      <c r="N37" s="14">
        <v>0.91</v>
      </c>
      <c r="O37" s="16">
        <v>4003009</v>
      </c>
      <c r="P37" s="17">
        <v>2024257990005</v>
      </c>
      <c r="Q37" s="14" t="s">
        <v>214</v>
      </c>
      <c r="R37" s="18">
        <v>36</v>
      </c>
      <c r="S37" s="14" t="s">
        <v>266</v>
      </c>
      <c r="T37" s="20">
        <v>0.2</v>
      </c>
      <c r="U37" s="14" t="s">
        <v>109</v>
      </c>
      <c r="V37" s="14" t="s">
        <v>89</v>
      </c>
      <c r="W37" s="14" t="s">
        <v>267</v>
      </c>
      <c r="X37" s="14" t="s">
        <v>263</v>
      </c>
      <c r="Y37" s="19" t="s">
        <v>124</v>
      </c>
      <c r="Z37" s="20">
        <f>SUM(AF37:AI37)</f>
        <v>0.4</v>
      </c>
      <c r="AA37" s="20">
        <f t="shared" si="1"/>
        <v>0.19999999999999998</v>
      </c>
      <c r="AB37" s="20">
        <f t="shared" si="2"/>
        <v>0.24999999999999997</v>
      </c>
      <c r="AC37" s="21"/>
      <c r="AD37" s="21"/>
      <c r="AE37" s="21">
        <f t="shared" si="3"/>
        <v>0.11749999999999998</v>
      </c>
      <c r="AF37" s="24">
        <v>0.1</v>
      </c>
      <c r="AG37" s="24">
        <v>0.1</v>
      </c>
      <c r="AH37" s="24">
        <v>0.1</v>
      </c>
      <c r="AI37" s="24">
        <v>0.1</v>
      </c>
      <c r="AJ37" s="26"/>
      <c r="AK37" s="26"/>
      <c r="AL37" s="26"/>
      <c r="AM37" s="26"/>
      <c r="AN37" s="26">
        <v>0.03</v>
      </c>
      <c r="AO37" s="26">
        <v>0.03</v>
      </c>
      <c r="AP37" s="26">
        <v>7.0000000000000007E-2</v>
      </c>
      <c r="AQ37" s="26">
        <v>0.05</v>
      </c>
      <c r="AR37" s="22">
        <f t="shared" ref="AR37:AS37" si="140">(AJ37+AL37+AN37+AP37)</f>
        <v>0.1</v>
      </c>
      <c r="AS37" s="22">
        <f t="shared" si="140"/>
        <v>0.08</v>
      </c>
      <c r="AT37" s="22">
        <f t="shared" si="122"/>
        <v>0.79999999999999993</v>
      </c>
      <c r="AU37" s="23" t="str">
        <f t="shared" si="137"/>
        <v>10%</v>
      </c>
      <c r="AV37" s="24">
        <f t="shared" si="7"/>
        <v>0.79999999999999993</v>
      </c>
      <c r="AW37" s="14" t="s">
        <v>92</v>
      </c>
      <c r="AX37" s="30" t="s">
        <v>268</v>
      </c>
      <c r="AY37" s="24">
        <v>0</v>
      </c>
      <c r="AZ37" s="24">
        <v>0</v>
      </c>
      <c r="BA37" s="24">
        <v>0.03</v>
      </c>
      <c r="BB37" s="24">
        <v>0.01</v>
      </c>
      <c r="BC37" s="24">
        <v>0.02</v>
      </c>
      <c r="BD37" s="24">
        <v>0</v>
      </c>
      <c r="BE37" s="24">
        <v>0.05</v>
      </c>
      <c r="BF37" s="24"/>
      <c r="BG37" s="20">
        <f t="shared" ref="BG37:BH37" si="141">(AY37+BA37+BC37+BE37)</f>
        <v>0.1</v>
      </c>
      <c r="BH37" s="20">
        <f t="shared" si="141"/>
        <v>0.01</v>
      </c>
      <c r="BI37" s="22">
        <f t="shared" si="129"/>
        <v>9.9999999999999992E-2</v>
      </c>
      <c r="BJ37" s="23" t="str">
        <f t="shared" si="130"/>
        <v>100%</v>
      </c>
      <c r="BK37" s="24">
        <f t="shared" si="131"/>
        <v>9.9999999999999992E-2</v>
      </c>
      <c r="BL37" s="26" t="s">
        <v>92</v>
      </c>
      <c r="BM37" s="25" t="s">
        <v>269</v>
      </c>
      <c r="BN37" s="27">
        <v>60000000</v>
      </c>
      <c r="BO37" s="27">
        <v>0</v>
      </c>
      <c r="BP37" s="27">
        <v>60000000</v>
      </c>
      <c r="BQ37" s="27">
        <v>60000000</v>
      </c>
      <c r="BR37" s="27">
        <f t="shared" ref="BR37:BS37" si="142">+BN37+BP37</f>
        <v>120000000</v>
      </c>
      <c r="BS37" s="27">
        <f t="shared" si="142"/>
        <v>60000000</v>
      </c>
      <c r="BT37" s="20">
        <f t="shared" si="13"/>
        <v>0.5</v>
      </c>
      <c r="BU37" s="27">
        <v>60000000</v>
      </c>
      <c r="BV37" s="27">
        <v>60000000</v>
      </c>
      <c r="BW37" s="27">
        <v>0</v>
      </c>
      <c r="BX37" s="27">
        <v>0</v>
      </c>
      <c r="BY37" s="28">
        <f t="shared" si="14"/>
        <v>0</v>
      </c>
      <c r="BZ37" s="27">
        <v>55000000</v>
      </c>
      <c r="CA37" s="20">
        <v>60000000</v>
      </c>
      <c r="CB37" s="29">
        <v>62000000</v>
      </c>
      <c r="CC37" s="29">
        <v>65000000</v>
      </c>
      <c r="CD37" s="29">
        <v>242000000</v>
      </c>
    </row>
    <row r="38" spans="1:82" ht="54" customHeight="1">
      <c r="A38" s="12" t="s">
        <v>95</v>
      </c>
      <c r="B38" s="13">
        <v>0.23499999999999999</v>
      </c>
      <c r="C38" s="12"/>
      <c r="D38" s="14">
        <v>40</v>
      </c>
      <c r="E38" s="16">
        <v>4003</v>
      </c>
      <c r="F38" s="14">
        <v>5</v>
      </c>
      <c r="G38" s="14" t="s">
        <v>208</v>
      </c>
      <c r="H38" s="14">
        <v>1400</v>
      </c>
      <c r="I38" s="14">
        <v>5.0999999999999996</v>
      </c>
      <c r="J38" s="14" t="s">
        <v>209</v>
      </c>
      <c r="K38" s="14" t="s">
        <v>258</v>
      </c>
      <c r="L38" s="14" t="s">
        <v>259</v>
      </c>
      <c r="M38" s="14" t="s">
        <v>260</v>
      </c>
      <c r="N38" s="14">
        <v>0.91</v>
      </c>
      <c r="O38" s="16">
        <v>4003029</v>
      </c>
      <c r="P38" s="17">
        <v>2024257990005</v>
      </c>
      <c r="Q38" s="14" t="s">
        <v>214</v>
      </c>
      <c r="R38" s="18">
        <v>37</v>
      </c>
      <c r="S38" s="14" t="s">
        <v>270</v>
      </c>
      <c r="T38" s="14" t="s">
        <v>271</v>
      </c>
      <c r="U38" s="14" t="s">
        <v>88</v>
      </c>
      <c r="V38" s="14" t="s">
        <v>114</v>
      </c>
      <c r="W38" s="14" t="s">
        <v>272</v>
      </c>
      <c r="X38" s="14" t="s">
        <v>263</v>
      </c>
      <c r="Y38" s="19" t="s">
        <v>124</v>
      </c>
      <c r="Z38" s="24">
        <f t="shared" ref="Z38:Z39" si="143">SUM(AF38:AI38)/4</f>
        <v>1</v>
      </c>
      <c r="AA38" s="20">
        <f t="shared" si="1"/>
        <v>0.95</v>
      </c>
      <c r="AB38" s="20">
        <f t="shared" si="2"/>
        <v>2</v>
      </c>
      <c r="AC38" s="21"/>
      <c r="AD38" s="21"/>
      <c r="AE38" s="21">
        <f t="shared" si="3"/>
        <v>0.84249999999999992</v>
      </c>
      <c r="AF38" s="24">
        <v>1</v>
      </c>
      <c r="AG38" s="24">
        <v>1</v>
      </c>
      <c r="AH38" s="24">
        <v>1</v>
      </c>
      <c r="AI38" s="24">
        <v>1</v>
      </c>
      <c r="AJ38" s="26"/>
      <c r="AK38" s="26"/>
      <c r="AL38" s="26"/>
      <c r="AM38" s="26"/>
      <c r="AN38" s="24">
        <v>1</v>
      </c>
      <c r="AO38" s="24">
        <v>1</v>
      </c>
      <c r="AP38" s="24">
        <v>1</v>
      </c>
      <c r="AQ38" s="24">
        <v>0.9</v>
      </c>
      <c r="AR38" s="24">
        <f t="shared" ref="AR38:AS38" si="144">(AJ38+AL38+AN38+AP38)/2</f>
        <v>1</v>
      </c>
      <c r="AS38" s="24">
        <f t="shared" si="144"/>
        <v>0.95</v>
      </c>
      <c r="AT38" s="22">
        <f t="shared" si="122"/>
        <v>0.95</v>
      </c>
      <c r="AU38" s="23" t="str">
        <f t="shared" si="137"/>
        <v>100%</v>
      </c>
      <c r="AV38" s="24">
        <f t="shared" si="7"/>
        <v>0.95</v>
      </c>
      <c r="AW38" s="14" t="s">
        <v>92</v>
      </c>
      <c r="AX38" s="30" t="s">
        <v>273</v>
      </c>
      <c r="AY38" s="24">
        <v>1</v>
      </c>
      <c r="AZ38" s="24">
        <v>1</v>
      </c>
      <c r="BA38" s="24">
        <v>1</v>
      </c>
      <c r="BB38" s="24">
        <v>1</v>
      </c>
      <c r="BC38" s="24">
        <v>1</v>
      </c>
      <c r="BD38" s="26"/>
      <c r="BE38" s="24">
        <v>1</v>
      </c>
      <c r="BF38" s="26"/>
      <c r="BG38" s="20">
        <f>(AY38+BA38+BC38+BE38)/4</f>
        <v>1</v>
      </c>
      <c r="BH38" s="20">
        <f>(AZ38+BB38+BD38+BF38)</f>
        <v>2</v>
      </c>
      <c r="BI38" s="20">
        <f t="shared" si="129"/>
        <v>2</v>
      </c>
      <c r="BJ38" s="23" t="str">
        <f t="shared" si="130"/>
        <v>100%</v>
      </c>
      <c r="BK38" s="24">
        <f t="shared" si="131"/>
        <v>2</v>
      </c>
      <c r="BL38" s="26" t="s">
        <v>92</v>
      </c>
      <c r="BM38" s="25" t="s">
        <v>274</v>
      </c>
      <c r="BN38" s="27">
        <v>10000000</v>
      </c>
      <c r="BO38" s="27">
        <v>0</v>
      </c>
      <c r="BP38" s="27">
        <v>0</v>
      </c>
      <c r="BQ38" s="27">
        <v>0</v>
      </c>
      <c r="BR38" s="27">
        <f t="shared" ref="BR38:BS38" si="145">+BN38+BP38</f>
        <v>10000000</v>
      </c>
      <c r="BS38" s="27">
        <f t="shared" si="145"/>
        <v>0</v>
      </c>
      <c r="BT38" s="20">
        <f t="shared" si="13"/>
        <v>0</v>
      </c>
      <c r="BU38" s="27">
        <v>10000000</v>
      </c>
      <c r="BV38" s="27">
        <v>10000000</v>
      </c>
      <c r="BW38" s="27">
        <v>0</v>
      </c>
      <c r="BX38" s="27">
        <v>0</v>
      </c>
      <c r="BY38" s="28">
        <f>IFERROR(BW35/BV35, "")</f>
        <v>0</v>
      </c>
      <c r="BZ38" s="27">
        <v>10000000</v>
      </c>
      <c r="CA38" s="20">
        <v>10000000</v>
      </c>
      <c r="CB38" s="29">
        <v>10000000</v>
      </c>
      <c r="CC38" s="29">
        <v>10000000</v>
      </c>
      <c r="CD38" s="29">
        <v>40000000</v>
      </c>
    </row>
    <row r="39" spans="1:82" ht="54" customHeight="1">
      <c r="A39" s="12" t="s">
        <v>95</v>
      </c>
      <c r="B39" s="13">
        <v>0.23499999999999999</v>
      </c>
      <c r="C39" s="12"/>
      <c r="D39" s="14">
        <v>40</v>
      </c>
      <c r="E39" s="16">
        <v>4003</v>
      </c>
      <c r="F39" s="14">
        <v>5</v>
      </c>
      <c r="G39" s="14" t="s">
        <v>208</v>
      </c>
      <c r="H39" s="14">
        <v>1400</v>
      </c>
      <c r="I39" s="14">
        <v>5.0999999999999996</v>
      </c>
      <c r="J39" s="14" t="s">
        <v>209</v>
      </c>
      <c r="K39" s="14" t="s">
        <v>258</v>
      </c>
      <c r="L39" s="14" t="s">
        <v>259</v>
      </c>
      <c r="M39" s="14" t="s">
        <v>260</v>
      </c>
      <c r="N39" s="14">
        <v>0.91</v>
      </c>
      <c r="O39" s="16">
        <v>4003029</v>
      </c>
      <c r="P39" s="17">
        <v>2024257990005</v>
      </c>
      <c r="Q39" s="14" t="s">
        <v>214</v>
      </c>
      <c r="R39" s="18">
        <v>38</v>
      </c>
      <c r="S39" s="14" t="s">
        <v>275</v>
      </c>
      <c r="T39" s="20">
        <v>1</v>
      </c>
      <c r="U39" s="14" t="s">
        <v>109</v>
      </c>
      <c r="V39" s="14" t="s">
        <v>114</v>
      </c>
      <c r="W39" s="14" t="s">
        <v>276</v>
      </c>
      <c r="X39" s="14" t="s">
        <v>135</v>
      </c>
      <c r="Y39" s="19" t="s">
        <v>124</v>
      </c>
      <c r="Z39" s="24">
        <f t="shared" si="143"/>
        <v>1</v>
      </c>
      <c r="AA39" s="20">
        <f t="shared" si="1"/>
        <v>1</v>
      </c>
      <c r="AB39" s="20">
        <f t="shared" si="2"/>
        <v>0.95</v>
      </c>
      <c r="AC39" s="21"/>
      <c r="AD39" s="21"/>
      <c r="AE39" s="21">
        <f t="shared" si="3"/>
        <v>0.48249999999999993</v>
      </c>
      <c r="AF39" s="20">
        <v>1</v>
      </c>
      <c r="AG39" s="20">
        <v>1</v>
      </c>
      <c r="AH39" s="20">
        <v>1</v>
      </c>
      <c r="AI39" s="20">
        <v>1</v>
      </c>
      <c r="AJ39" s="26"/>
      <c r="AK39" s="26"/>
      <c r="AL39" s="26"/>
      <c r="AM39" s="26"/>
      <c r="AN39" s="24">
        <v>0.7</v>
      </c>
      <c r="AO39" s="24">
        <v>0.7</v>
      </c>
      <c r="AP39" s="24">
        <v>0.3</v>
      </c>
      <c r="AQ39" s="24">
        <v>0.3</v>
      </c>
      <c r="AR39" s="24">
        <f t="shared" ref="AR39:AS39" si="146">(AJ39+AL39+AN39+AP39)</f>
        <v>1</v>
      </c>
      <c r="AS39" s="24">
        <f t="shared" si="146"/>
        <v>1</v>
      </c>
      <c r="AT39" s="24">
        <f t="shared" si="122"/>
        <v>1</v>
      </c>
      <c r="AU39" s="23" t="str">
        <f>MIN((AR39 /AR39) * 100, 100) &amp; "%"</f>
        <v>100%</v>
      </c>
      <c r="AV39" s="24">
        <f t="shared" si="7"/>
        <v>1</v>
      </c>
      <c r="AW39" s="14" t="s">
        <v>92</v>
      </c>
      <c r="AX39" s="30" t="s">
        <v>277</v>
      </c>
      <c r="AY39" s="24">
        <v>0.4</v>
      </c>
      <c r="AZ39" s="24">
        <v>0.4</v>
      </c>
      <c r="BA39" s="24">
        <v>0.3</v>
      </c>
      <c r="BB39" s="24">
        <v>0.3</v>
      </c>
      <c r="BC39" s="24">
        <v>0.25</v>
      </c>
      <c r="BD39" s="24">
        <v>0.25</v>
      </c>
      <c r="BE39" s="24">
        <v>0.05</v>
      </c>
      <c r="BF39" s="26"/>
      <c r="BG39" s="20">
        <f t="shared" ref="BG39:BH39" si="147">(AY39+BA39+BC39+BE39)</f>
        <v>1</v>
      </c>
      <c r="BH39" s="20">
        <f t="shared" si="147"/>
        <v>0.95</v>
      </c>
      <c r="BI39" s="20">
        <f t="shared" si="129"/>
        <v>0.95</v>
      </c>
      <c r="BJ39" s="23" t="str">
        <f t="shared" si="130"/>
        <v>100%</v>
      </c>
      <c r="BK39" s="24">
        <f t="shared" si="131"/>
        <v>0.95</v>
      </c>
      <c r="BL39" s="22" t="s">
        <v>92</v>
      </c>
      <c r="BM39" s="25" t="s">
        <v>277</v>
      </c>
      <c r="BN39" s="27">
        <v>36000000</v>
      </c>
      <c r="BO39" s="27">
        <v>35000000</v>
      </c>
      <c r="BP39" s="27">
        <v>6800000</v>
      </c>
      <c r="BQ39" s="27">
        <v>6800000</v>
      </c>
      <c r="BR39" s="27">
        <f t="shared" ref="BR39:BS39" si="148">+BN39+BP39</f>
        <v>42800000</v>
      </c>
      <c r="BS39" s="27">
        <f t="shared" si="148"/>
        <v>41800000</v>
      </c>
      <c r="BT39" s="20">
        <f t="shared" si="13"/>
        <v>0.97663551401869164</v>
      </c>
      <c r="BU39" s="27">
        <v>36000000</v>
      </c>
      <c r="BV39" s="27">
        <v>36000000</v>
      </c>
      <c r="BW39" s="27">
        <v>35000000</v>
      </c>
      <c r="BX39" s="27">
        <v>26716666</v>
      </c>
      <c r="BY39" s="28">
        <f t="shared" ref="BY39:BY293" si="149">IFERROR(BW39/BV39, "")</f>
        <v>0.97222222222222221</v>
      </c>
      <c r="BZ39" s="27">
        <v>30000000</v>
      </c>
      <c r="CA39" s="20">
        <v>30600000</v>
      </c>
      <c r="CB39" s="29">
        <v>31212000</v>
      </c>
      <c r="CC39" s="29">
        <v>32148360</v>
      </c>
      <c r="CD39" s="29">
        <v>123960360</v>
      </c>
    </row>
    <row r="40" spans="1:82" ht="54" customHeight="1">
      <c r="A40" s="12" t="s">
        <v>95</v>
      </c>
      <c r="B40" s="13">
        <v>0.23499999999999999</v>
      </c>
      <c r="C40" s="12"/>
      <c r="D40" s="14">
        <v>40</v>
      </c>
      <c r="E40" s="16">
        <v>4003</v>
      </c>
      <c r="F40" s="14">
        <v>5</v>
      </c>
      <c r="G40" s="14" t="s">
        <v>208</v>
      </c>
      <c r="H40" s="14">
        <v>1400</v>
      </c>
      <c r="I40" s="14">
        <v>5.0999999999999996</v>
      </c>
      <c r="J40" s="14" t="s">
        <v>209</v>
      </c>
      <c r="K40" s="14" t="s">
        <v>258</v>
      </c>
      <c r="L40" s="14" t="s">
        <v>259</v>
      </c>
      <c r="M40" s="14" t="s">
        <v>260</v>
      </c>
      <c r="N40" s="14">
        <v>0.91</v>
      </c>
      <c r="O40" s="16">
        <v>4003009</v>
      </c>
      <c r="P40" s="17">
        <v>2024257990005</v>
      </c>
      <c r="Q40" s="14" t="s">
        <v>214</v>
      </c>
      <c r="R40" s="18">
        <v>39</v>
      </c>
      <c r="S40" s="14" t="s">
        <v>278</v>
      </c>
      <c r="T40" s="14" t="s">
        <v>279</v>
      </c>
      <c r="U40" s="14" t="s">
        <v>88</v>
      </c>
      <c r="V40" s="14" t="s">
        <v>89</v>
      </c>
      <c r="W40" s="14" t="s">
        <v>280</v>
      </c>
      <c r="X40" s="14" t="s">
        <v>206</v>
      </c>
      <c r="Y40" s="19" t="s">
        <v>124</v>
      </c>
      <c r="Z40" s="20">
        <f>SUM(AF40:AI40)</f>
        <v>0.8</v>
      </c>
      <c r="AA40" s="20">
        <f t="shared" si="1"/>
        <v>0</v>
      </c>
      <c r="AB40" s="20">
        <f t="shared" si="2"/>
        <v>1.25</v>
      </c>
      <c r="AC40" s="21"/>
      <c r="AD40" s="21"/>
      <c r="AE40" s="21">
        <f t="shared" si="3"/>
        <v>0.4375</v>
      </c>
      <c r="AF40" s="24">
        <v>0.1</v>
      </c>
      <c r="AG40" s="24">
        <v>0.1</v>
      </c>
      <c r="AH40" s="24">
        <v>0.4</v>
      </c>
      <c r="AI40" s="24">
        <v>0.2</v>
      </c>
      <c r="AJ40" s="26"/>
      <c r="AK40" s="26"/>
      <c r="AL40" s="26"/>
      <c r="AM40" s="26"/>
      <c r="AN40" s="26">
        <v>0</v>
      </c>
      <c r="AO40" s="26">
        <v>0</v>
      </c>
      <c r="AP40" s="26">
        <v>0</v>
      </c>
      <c r="AQ40" s="26"/>
      <c r="AR40" s="26">
        <v>0</v>
      </c>
      <c r="AS40" s="26">
        <v>0</v>
      </c>
      <c r="AT40" s="26">
        <v>0</v>
      </c>
      <c r="AU40" s="23" t="str">
        <f>IF(AR40&gt; 1, IF(AR40 = AS40, "100%", AR40 &amp; "%"), IF(AR40 &lt;= 0.01, "0%", AR40 * 100 &amp; "%"))</f>
        <v>0%</v>
      </c>
      <c r="AV40" s="24">
        <f t="shared" si="7"/>
        <v>0</v>
      </c>
      <c r="AW40" s="26" t="s">
        <v>192</v>
      </c>
      <c r="AX40" s="26"/>
      <c r="AY40" s="24">
        <v>0</v>
      </c>
      <c r="AZ40" s="26">
        <v>0</v>
      </c>
      <c r="BA40" s="24">
        <v>0</v>
      </c>
      <c r="BB40" s="26">
        <v>0</v>
      </c>
      <c r="BC40" s="24">
        <v>0</v>
      </c>
      <c r="BD40" s="24">
        <v>0</v>
      </c>
      <c r="BE40" s="24">
        <v>0.1</v>
      </c>
      <c r="BF40" s="24">
        <v>0.1</v>
      </c>
      <c r="BG40" s="20">
        <f t="shared" ref="BG40:BH40" si="150">(AY40+BA40+BC40+BE40)</f>
        <v>0.1</v>
      </c>
      <c r="BH40" s="20">
        <f t="shared" si="150"/>
        <v>0.1</v>
      </c>
      <c r="BI40" s="20">
        <f t="shared" si="129"/>
        <v>1</v>
      </c>
      <c r="BJ40" s="23" t="str">
        <f t="shared" si="130"/>
        <v>100%</v>
      </c>
      <c r="BK40" s="24">
        <f t="shared" si="131"/>
        <v>1</v>
      </c>
      <c r="BL40" s="22" t="s">
        <v>92</v>
      </c>
      <c r="BM40" s="25" t="s">
        <v>281</v>
      </c>
      <c r="BN40" s="27">
        <v>50000000</v>
      </c>
      <c r="BO40" s="27">
        <v>0</v>
      </c>
      <c r="BP40" s="27">
        <v>120000000</v>
      </c>
      <c r="BQ40" s="27">
        <v>120000000</v>
      </c>
      <c r="BR40" s="27">
        <f t="shared" ref="BR40:BS40" si="151">+BN40+BP40</f>
        <v>170000000</v>
      </c>
      <c r="BS40" s="27">
        <f t="shared" si="151"/>
        <v>120000000</v>
      </c>
      <c r="BT40" s="20">
        <f t="shared" si="13"/>
        <v>0.70588235294117652</v>
      </c>
      <c r="BU40" s="27">
        <v>50000000</v>
      </c>
      <c r="BV40" s="27">
        <v>50000000</v>
      </c>
      <c r="BW40" s="27">
        <v>0</v>
      </c>
      <c r="BX40" s="27">
        <v>0</v>
      </c>
      <c r="BY40" s="28">
        <f t="shared" si="149"/>
        <v>0</v>
      </c>
      <c r="BZ40" s="27">
        <v>0</v>
      </c>
      <c r="CA40" s="20">
        <v>180000000</v>
      </c>
      <c r="CB40" s="29">
        <v>183600000</v>
      </c>
      <c r="CC40" s="29">
        <v>189108000</v>
      </c>
      <c r="CD40" s="29">
        <v>552708000</v>
      </c>
    </row>
    <row r="41" spans="1:82" ht="54" customHeight="1">
      <c r="A41" s="12" t="s">
        <v>95</v>
      </c>
      <c r="B41" s="13">
        <v>0.23499999999999999</v>
      </c>
      <c r="C41" s="12"/>
      <c r="D41" s="14">
        <v>40</v>
      </c>
      <c r="E41" s="16">
        <v>4003</v>
      </c>
      <c r="F41" s="14">
        <v>5</v>
      </c>
      <c r="G41" s="14" t="s">
        <v>208</v>
      </c>
      <c r="H41" s="14">
        <v>1400</v>
      </c>
      <c r="I41" s="14">
        <v>5.0999999999999996</v>
      </c>
      <c r="J41" s="14" t="s">
        <v>209</v>
      </c>
      <c r="K41" s="14" t="s">
        <v>282</v>
      </c>
      <c r="L41" s="14" t="s">
        <v>283</v>
      </c>
      <c r="M41" s="14" t="s">
        <v>284</v>
      </c>
      <c r="N41" s="20">
        <v>1</v>
      </c>
      <c r="O41" s="16">
        <v>4003008</v>
      </c>
      <c r="P41" s="17">
        <v>2024257990005</v>
      </c>
      <c r="Q41" s="14" t="s">
        <v>214</v>
      </c>
      <c r="R41" s="18">
        <v>40</v>
      </c>
      <c r="S41" s="14" t="s">
        <v>285</v>
      </c>
      <c r="T41" s="20">
        <v>1</v>
      </c>
      <c r="U41" s="14" t="s">
        <v>109</v>
      </c>
      <c r="V41" s="14" t="s">
        <v>114</v>
      </c>
      <c r="W41" s="14" t="s">
        <v>286</v>
      </c>
      <c r="X41" s="14" t="s">
        <v>206</v>
      </c>
      <c r="Y41" s="19" t="s">
        <v>124</v>
      </c>
      <c r="Z41" s="24">
        <f t="shared" ref="Z41:Z42" si="152">SUM(AF41:AI41)/4</f>
        <v>1</v>
      </c>
      <c r="AA41" s="20">
        <f t="shared" si="1"/>
        <v>2</v>
      </c>
      <c r="AB41" s="20">
        <f t="shared" si="2"/>
        <v>0.4</v>
      </c>
      <c r="AC41" s="21"/>
      <c r="AD41" s="21"/>
      <c r="AE41" s="21">
        <f t="shared" si="3"/>
        <v>0.43999999999999995</v>
      </c>
      <c r="AF41" s="20">
        <v>1</v>
      </c>
      <c r="AG41" s="20">
        <v>1</v>
      </c>
      <c r="AH41" s="20">
        <v>1</v>
      </c>
      <c r="AI41" s="20">
        <v>1</v>
      </c>
      <c r="AJ41" s="26"/>
      <c r="AK41" s="26"/>
      <c r="AL41" s="26"/>
      <c r="AM41" s="26"/>
      <c r="AN41" s="24">
        <v>1</v>
      </c>
      <c r="AO41" s="24">
        <v>1</v>
      </c>
      <c r="AP41" s="24">
        <v>1</v>
      </c>
      <c r="AQ41" s="24">
        <v>1</v>
      </c>
      <c r="AR41" s="24">
        <f>(AJ41+AL41+AN41+AP41)/2</f>
        <v>1</v>
      </c>
      <c r="AS41" s="24">
        <f>(AK41+AM41+AO41+AQ41)</f>
        <v>2</v>
      </c>
      <c r="AT41" s="24">
        <f t="shared" ref="AT41:AT51" si="153">AS41/AR41</f>
        <v>2</v>
      </c>
      <c r="AU41" s="23" t="str">
        <f t="shared" ref="AU41:AU51" si="154">MIN((AR41 /AR41) * 100, 100) &amp; "%"</f>
        <v>100%</v>
      </c>
      <c r="AV41" s="24">
        <f t="shared" si="7"/>
        <v>2</v>
      </c>
      <c r="AW41" s="14" t="s">
        <v>92</v>
      </c>
      <c r="AX41" s="30" t="s">
        <v>287</v>
      </c>
      <c r="AY41" s="24">
        <v>0</v>
      </c>
      <c r="AZ41" s="26">
        <v>0</v>
      </c>
      <c r="BA41" s="24">
        <v>0.4</v>
      </c>
      <c r="BB41" s="24">
        <v>0.4</v>
      </c>
      <c r="BC41" s="24">
        <v>0.3</v>
      </c>
      <c r="BD41" s="26">
        <v>0</v>
      </c>
      <c r="BE41" s="24">
        <v>0.3</v>
      </c>
      <c r="BF41" s="26"/>
      <c r="BG41" s="20">
        <f t="shared" ref="BG41:BH41" si="155">(AY41+BA41+BC41+BE41)</f>
        <v>1</v>
      </c>
      <c r="BH41" s="20">
        <f t="shared" si="155"/>
        <v>0.4</v>
      </c>
      <c r="BI41" s="20">
        <f t="shared" si="129"/>
        <v>0.4</v>
      </c>
      <c r="BJ41" s="23" t="str">
        <f t="shared" si="130"/>
        <v>100%</v>
      </c>
      <c r="BK41" s="24">
        <f t="shared" si="131"/>
        <v>0.4</v>
      </c>
      <c r="BL41" s="22" t="s">
        <v>92</v>
      </c>
      <c r="BM41" s="25" t="s">
        <v>288</v>
      </c>
      <c r="BN41" s="27">
        <v>756666724</v>
      </c>
      <c r="BO41" s="27">
        <v>0</v>
      </c>
      <c r="BP41" s="27">
        <v>717283755</v>
      </c>
      <c r="BQ41" s="27">
        <v>717283755</v>
      </c>
      <c r="BR41" s="27">
        <f t="shared" ref="BR41:BS41" si="156">+BN41+BP41</f>
        <v>1473950479</v>
      </c>
      <c r="BS41" s="27">
        <f t="shared" si="156"/>
        <v>717283755</v>
      </c>
      <c r="BT41" s="20">
        <f t="shared" si="13"/>
        <v>0.48664033508550458</v>
      </c>
      <c r="BU41" s="27">
        <v>717283756</v>
      </c>
      <c r="BV41" s="27">
        <v>756666724</v>
      </c>
      <c r="BW41" s="27">
        <v>0</v>
      </c>
      <c r="BX41" s="27">
        <v>0</v>
      </c>
      <c r="BY41" s="28">
        <f t="shared" si="149"/>
        <v>0</v>
      </c>
      <c r="BZ41" s="27">
        <v>541655315</v>
      </c>
      <c r="CA41" s="20">
        <v>568738082</v>
      </c>
      <c r="CB41" s="29">
        <v>597174986</v>
      </c>
      <c r="CC41" s="29">
        <v>627033735</v>
      </c>
      <c r="CD41" s="29">
        <v>2334602117</v>
      </c>
    </row>
    <row r="42" spans="1:82" ht="54" customHeight="1">
      <c r="A42" s="12" t="s">
        <v>95</v>
      </c>
      <c r="B42" s="13">
        <v>0.23499999999999999</v>
      </c>
      <c r="C42" s="12"/>
      <c r="D42" s="14">
        <v>40</v>
      </c>
      <c r="E42" s="16">
        <v>4003</v>
      </c>
      <c r="F42" s="14">
        <v>5</v>
      </c>
      <c r="G42" s="14" t="s">
        <v>208</v>
      </c>
      <c r="H42" s="14">
        <v>1400</v>
      </c>
      <c r="I42" s="14">
        <v>5.0999999999999996</v>
      </c>
      <c r="J42" s="14" t="s">
        <v>209</v>
      </c>
      <c r="K42" s="14" t="s">
        <v>282</v>
      </c>
      <c r="L42" s="14" t="s">
        <v>283</v>
      </c>
      <c r="M42" s="14" t="s">
        <v>284</v>
      </c>
      <c r="N42" s="20">
        <v>1</v>
      </c>
      <c r="O42" s="16">
        <v>4003047</v>
      </c>
      <c r="P42" s="17">
        <v>2024257990005</v>
      </c>
      <c r="Q42" s="14" t="s">
        <v>214</v>
      </c>
      <c r="R42" s="18">
        <v>41</v>
      </c>
      <c r="S42" s="14" t="s">
        <v>289</v>
      </c>
      <c r="T42" s="20">
        <v>1</v>
      </c>
      <c r="U42" s="14" t="s">
        <v>109</v>
      </c>
      <c r="V42" s="14" t="s">
        <v>114</v>
      </c>
      <c r="W42" s="14" t="s">
        <v>286</v>
      </c>
      <c r="X42" s="14" t="s">
        <v>135</v>
      </c>
      <c r="Y42" s="19" t="s">
        <v>124</v>
      </c>
      <c r="Z42" s="24">
        <f t="shared" si="152"/>
        <v>1</v>
      </c>
      <c r="AA42" s="20">
        <f t="shared" si="1"/>
        <v>1</v>
      </c>
      <c r="AB42" s="20">
        <f t="shared" si="2"/>
        <v>0.7</v>
      </c>
      <c r="AC42" s="21"/>
      <c r="AD42" s="21"/>
      <c r="AE42" s="21">
        <f t="shared" si="3"/>
        <v>0.39499999999999996</v>
      </c>
      <c r="AF42" s="20">
        <v>1</v>
      </c>
      <c r="AG42" s="20">
        <v>1</v>
      </c>
      <c r="AH42" s="20">
        <v>1</v>
      </c>
      <c r="AI42" s="20">
        <v>1</v>
      </c>
      <c r="AJ42" s="26"/>
      <c r="AK42" s="26"/>
      <c r="AL42" s="26"/>
      <c r="AM42" s="26"/>
      <c r="AN42" s="24">
        <v>0.4</v>
      </c>
      <c r="AO42" s="24">
        <v>0.4</v>
      </c>
      <c r="AP42" s="24">
        <v>0.6</v>
      </c>
      <c r="AQ42" s="24">
        <v>0.6</v>
      </c>
      <c r="AR42" s="24">
        <f t="shared" ref="AR42:AS42" si="157">(AJ42+AL42+AN42+AP42)</f>
        <v>1</v>
      </c>
      <c r="AS42" s="24">
        <f t="shared" si="157"/>
        <v>1</v>
      </c>
      <c r="AT42" s="24">
        <f t="shared" si="153"/>
        <v>1</v>
      </c>
      <c r="AU42" s="23" t="str">
        <f t="shared" si="154"/>
        <v>100%</v>
      </c>
      <c r="AV42" s="24">
        <f t="shared" si="7"/>
        <v>1</v>
      </c>
      <c r="AW42" s="14" t="s">
        <v>92</v>
      </c>
      <c r="AX42" s="30" t="s">
        <v>290</v>
      </c>
      <c r="AY42" s="24">
        <v>0.05</v>
      </c>
      <c r="AZ42" s="24">
        <v>0.05</v>
      </c>
      <c r="BA42" s="24">
        <v>0.3</v>
      </c>
      <c r="BB42" s="24">
        <v>0.3</v>
      </c>
      <c r="BC42" s="24">
        <v>0.35</v>
      </c>
      <c r="BD42" s="24">
        <v>0.35</v>
      </c>
      <c r="BE42" s="24">
        <v>0.3</v>
      </c>
      <c r="BF42" s="26"/>
      <c r="BG42" s="20">
        <f t="shared" ref="BG42:BH42" si="158">(AY42+BA42+BC42+BE42)</f>
        <v>1</v>
      </c>
      <c r="BH42" s="20">
        <f t="shared" si="158"/>
        <v>0.7</v>
      </c>
      <c r="BI42" s="20">
        <f t="shared" si="129"/>
        <v>0.7</v>
      </c>
      <c r="BJ42" s="23" t="str">
        <f t="shared" si="130"/>
        <v>100%</v>
      </c>
      <c r="BK42" s="24">
        <f t="shared" si="131"/>
        <v>0.7</v>
      </c>
      <c r="BL42" s="22" t="s">
        <v>92</v>
      </c>
      <c r="BM42" s="25" t="s">
        <v>290</v>
      </c>
      <c r="BN42" s="27">
        <v>8178228371</v>
      </c>
      <c r="BO42" s="27">
        <v>2240818101</v>
      </c>
      <c r="BP42" s="27">
        <v>410021624</v>
      </c>
      <c r="BQ42" s="27">
        <v>410021624</v>
      </c>
      <c r="BR42" s="27">
        <f t="shared" ref="BR42:BS42" si="159">+BN42+BP42</f>
        <v>8588249995</v>
      </c>
      <c r="BS42" s="27">
        <f t="shared" si="159"/>
        <v>2650839725</v>
      </c>
      <c r="BT42" s="20">
        <f t="shared" si="13"/>
        <v>0.30865889168844579</v>
      </c>
      <c r="BU42" s="27">
        <v>2240818101</v>
      </c>
      <c r="BV42" s="27">
        <v>8178228371</v>
      </c>
      <c r="BW42" s="27">
        <v>2240818101</v>
      </c>
      <c r="BX42" s="27">
        <v>492843745</v>
      </c>
      <c r="BY42" s="28">
        <f t="shared" si="149"/>
        <v>0.27399798579187901</v>
      </c>
      <c r="BZ42" s="27">
        <v>2724894363</v>
      </c>
      <c r="CA42" s="20">
        <v>2864930668</v>
      </c>
      <c r="CB42" s="29">
        <v>3005043539</v>
      </c>
      <c r="CC42" s="29">
        <v>3156295716</v>
      </c>
      <c r="CD42" s="29">
        <v>11751164285</v>
      </c>
    </row>
    <row r="43" spans="1:82" ht="54" customHeight="1">
      <c r="A43" s="12" t="s">
        <v>95</v>
      </c>
      <c r="B43" s="13">
        <v>0.23499999999999999</v>
      </c>
      <c r="C43" s="12"/>
      <c r="D43" s="14">
        <v>40</v>
      </c>
      <c r="E43" s="16">
        <v>4003</v>
      </c>
      <c r="F43" s="14">
        <v>5</v>
      </c>
      <c r="G43" s="14" t="s">
        <v>208</v>
      </c>
      <c r="H43" s="14">
        <v>1400</v>
      </c>
      <c r="I43" s="14">
        <v>5.2</v>
      </c>
      <c r="J43" s="14" t="s">
        <v>291</v>
      </c>
      <c r="K43" s="14" t="s">
        <v>292</v>
      </c>
      <c r="L43" s="14" t="s">
        <v>293</v>
      </c>
      <c r="M43" s="14" t="s">
        <v>294</v>
      </c>
      <c r="N43" s="39" t="s">
        <v>295</v>
      </c>
      <c r="O43" s="16">
        <v>4003040</v>
      </c>
      <c r="P43" s="17">
        <v>2024257990005</v>
      </c>
      <c r="Q43" s="14" t="s">
        <v>214</v>
      </c>
      <c r="R43" s="18">
        <v>42</v>
      </c>
      <c r="S43" s="14" t="s">
        <v>296</v>
      </c>
      <c r="T43" s="14" t="s">
        <v>297</v>
      </c>
      <c r="U43" s="14" t="s">
        <v>298</v>
      </c>
      <c r="V43" s="14" t="s">
        <v>89</v>
      </c>
      <c r="W43" s="14" t="s">
        <v>299</v>
      </c>
      <c r="X43" s="14" t="s">
        <v>206</v>
      </c>
      <c r="Y43" s="19" t="s">
        <v>124</v>
      </c>
      <c r="Z43" s="14">
        <f t="shared" ref="Z43:Z49" si="160">SUM(AF43:AI43)</f>
        <v>40</v>
      </c>
      <c r="AA43" s="20">
        <f t="shared" si="1"/>
        <v>5.4999999999999997E-3</v>
      </c>
      <c r="AB43" s="20">
        <f t="shared" si="2"/>
        <v>2.5000000000000001E-2</v>
      </c>
      <c r="AC43" s="21"/>
      <c r="AD43" s="21"/>
      <c r="AE43" s="21">
        <f t="shared" si="3"/>
        <v>9.5749999999999984E-3</v>
      </c>
      <c r="AF43" s="26">
        <v>4</v>
      </c>
      <c r="AG43" s="26">
        <v>16</v>
      </c>
      <c r="AH43" s="26">
        <v>16</v>
      </c>
      <c r="AI43" s="22">
        <v>4</v>
      </c>
      <c r="AJ43" s="26"/>
      <c r="AK43" s="26"/>
      <c r="AL43" s="26"/>
      <c r="AM43" s="26"/>
      <c r="AN43" s="26">
        <v>0.02</v>
      </c>
      <c r="AO43" s="26">
        <v>0.02</v>
      </c>
      <c r="AP43" s="26">
        <v>0.2</v>
      </c>
      <c r="AQ43" s="26">
        <v>0.2</v>
      </c>
      <c r="AR43" s="22">
        <f t="shared" ref="AR43:AS43" si="161">(AJ43+AL43+AN43+AP43)</f>
        <v>0.22</v>
      </c>
      <c r="AS43" s="22">
        <f t="shared" si="161"/>
        <v>0.22</v>
      </c>
      <c r="AT43" s="22">
        <f t="shared" si="153"/>
        <v>1</v>
      </c>
      <c r="AU43" s="23" t="str">
        <f t="shared" si="154"/>
        <v>100%</v>
      </c>
      <c r="AV43" s="24">
        <f t="shared" si="7"/>
        <v>1</v>
      </c>
      <c r="AW43" s="14" t="s">
        <v>92</v>
      </c>
      <c r="AX43" s="30" t="s">
        <v>300</v>
      </c>
      <c r="AY43" s="26">
        <v>0</v>
      </c>
      <c r="AZ43" s="26">
        <v>0</v>
      </c>
      <c r="BA43" s="26">
        <v>0</v>
      </c>
      <c r="BB43" s="26">
        <v>0</v>
      </c>
      <c r="BC43" s="26">
        <v>3</v>
      </c>
      <c r="BD43" s="26">
        <v>3</v>
      </c>
      <c r="BE43" s="26">
        <v>13</v>
      </c>
      <c r="BF43" s="26">
        <v>13</v>
      </c>
      <c r="BG43" s="22">
        <f t="shared" ref="BG43:BH43" si="162">(AY43+BA43+BC43+BE43)</f>
        <v>16</v>
      </c>
      <c r="BH43" s="22">
        <f t="shared" si="162"/>
        <v>16</v>
      </c>
      <c r="BI43" s="22">
        <f t="shared" si="129"/>
        <v>1</v>
      </c>
      <c r="BJ43" s="23" t="str">
        <f t="shared" si="130"/>
        <v>100%</v>
      </c>
      <c r="BK43" s="24">
        <f t="shared" si="131"/>
        <v>1</v>
      </c>
      <c r="BL43" s="22" t="s">
        <v>92</v>
      </c>
      <c r="BM43" s="25" t="s">
        <v>301</v>
      </c>
      <c r="BN43" s="27">
        <v>500000000</v>
      </c>
      <c r="BO43" s="27">
        <v>0</v>
      </c>
      <c r="BP43" s="27">
        <v>0</v>
      </c>
      <c r="BQ43" s="27">
        <v>0</v>
      </c>
      <c r="BR43" s="27">
        <f t="shared" ref="BR43:BS43" si="163">+BN43+BP43</f>
        <v>500000000</v>
      </c>
      <c r="BS43" s="27">
        <f t="shared" si="163"/>
        <v>0</v>
      </c>
      <c r="BT43" s="20">
        <f t="shared" si="13"/>
        <v>0</v>
      </c>
      <c r="BU43" s="27">
        <v>500000000</v>
      </c>
      <c r="BV43" s="27">
        <v>500000000</v>
      </c>
      <c r="BW43" s="27">
        <v>0</v>
      </c>
      <c r="BX43" s="27">
        <v>0</v>
      </c>
      <c r="BY43" s="28">
        <f t="shared" si="149"/>
        <v>0</v>
      </c>
      <c r="BZ43" s="27">
        <v>2000000000</v>
      </c>
      <c r="CA43" s="20">
        <v>0</v>
      </c>
      <c r="CB43" s="29">
        <v>0</v>
      </c>
      <c r="CC43" s="29">
        <v>0</v>
      </c>
      <c r="CD43" s="29">
        <v>2000000000</v>
      </c>
    </row>
    <row r="44" spans="1:82" ht="75" customHeight="1">
      <c r="A44" s="12" t="s">
        <v>95</v>
      </c>
      <c r="B44" s="13">
        <v>0.23499999999999999</v>
      </c>
      <c r="C44" s="12"/>
      <c r="D44" s="14">
        <v>40</v>
      </c>
      <c r="E44" s="16">
        <v>4003</v>
      </c>
      <c r="F44" s="14">
        <v>5</v>
      </c>
      <c r="G44" s="14" t="s">
        <v>208</v>
      </c>
      <c r="H44" s="14">
        <v>1400</v>
      </c>
      <c r="I44" s="14">
        <v>5.2</v>
      </c>
      <c r="J44" s="14" t="s">
        <v>291</v>
      </c>
      <c r="K44" s="14" t="s">
        <v>292</v>
      </c>
      <c r="L44" s="14" t="s">
        <v>293</v>
      </c>
      <c r="M44" s="14" t="s">
        <v>294</v>
      </c>
      <c r="N44" s="39" t="s">
        <v>302</v>
      </c>
      <c r="O44" s="16">
        <v>4003020</v>
      </c>
      <c r="P44" s="17">
        <v>2024257990005</v>
      </c>
      <c r="Q44" s="14" t="s">
        <v>214</v>
      </c>
      <c r="R44" s="18">
        <v>43</v>
      </c>
      <c r="S44" s="14" t="s">
        <v>303</v>
      </c>
      <c r="T44" s="14" t="s">
        <v>304</v>
      </c>
      <c r="U44" s="14" t="s">
        <v>109</v>
      </c>
      <c r="V44" s="14" t="s">
        <v>89</v>
      </c>
      <c r="W44" s="14" t="s">
        <v>305</v>
      </c>
      <c r="X44" s="14" t="s">
        <v>206</v>
      </c>
      <c r="Y44" s="19" t="s">
        <v>124</v>
      </c>
      <c r="Z44" s="40">
        <f t="shared" si="160"/>
        <v>14.86</v>
      </c>
      <c r="AA44" s="20">
        <f t="shared" si="1"/>
        <v>0.30282637954239572</v>
      </c>
      <c r="AB44" s="20">
        <f t="shared" si="2"/>
        <v>6.7294751009421274E-3</v>
      </c>
      <c r="AC44" s="21"/>
      <c r="AD44" s="21"/>
      <c r="AE44" s="21">
        <f t="shared" si="3"/>
        <v>4.7779273216689101E-2</v>
      </c>
      <c r="AF44" s="22">
        <v>0</v>
      </c>
      <c r="AG44" s="22">
        <v>5</v>
      </c>
      <c r="AH44" s="22">
        <v>7.36</v>
      </c>
      <c r="AI44" s="22">
        <v>2.5</v>
      </c>
      <c r="AJ44" s="26"/>
      <c r="AK44" s="26"/>
      <c r="AL44" s="26"/>
      <c r="AM44" s="26"/>
      <c r="AN44" s="26">
        <v>0.01</v>
      </c>
      <c r="AO44" s="26">
        <v>0</v>
      </c>
      <c r="AP44" s="26">
        <v>4.5</v>
      </c>
      <c r="AQ44" s="26">
        <v>4.5</v>
      </c>
      <c r="AR44" s="22">
        <f t="shared" ref="AR44:AS44" si="164">(AJ44+AL44+AN44+AP44)</f>
        <v>4.51</v>
      </c>
      <c r="AS44" s="22">
        <f t="shared" si="164"/>
        <v>4.5</v>
      </c>
      <c r="AT44" s="22">
        <f t="shared" si="153"/>
        <v>0.99778270509977829</v>
      </c>
      <c r="AU44" s="23" t="str">
        <f t="shared" si="154"/>
        <v>100%</v>
      </c>
      <c r="AV44" s="24">
        <f t="shared" si="7"/>
        <v>0.99778270509977829</v>
      </c>
      <c r="AW44" s="14" t="s">
        <v>92</v>
      </c>
      <c r="AX44" s="30" t="s">
        <v>306</v>
      </c>
      <c r="AY44" s="26">
        <v>0</v>
      </c>
      <c r="AZ44" s="26">
        <v>0</v>
      </c>
      <c r="BA44" s="26">
        <v>0</v>
      </c>
      <c r="BB44" s="26">
        <v>0</v>
      </c>
      <c r="BC44" s="26">
        <v>2</v>
      </c>
      <c r="BD44" s="26">
        <v>0.5</v>
      </c>
      <c r="BE44" s="26">
        <v>3</v>
      </c>
      <c r="BF44" s="26"/>
      <c r="BG44" s="22">
        <f t="shared" ref="BG44:BH44" si="165">(AY44+BA44+BC44+BE44)</f>
        <v>5</v>
      </c>
      <c r="BH44" s="22">
        <f t="shared" si="165"/>
        <v>0.5</v>
      </c>
      <c r="BI44" s="22">
        <f t="shared" si="129"/>
        <v>0.1</v>
      </c>
      <c r="BJ44" s="23" t="str">
        <f t="shared" si="130"/>
        <v>100%</v>
      </c>
      <c r="BK44" s="24">
        <f t="shared" si="131"/>
        <v>0.1</v>
      </c>
      <c r="BL44" s="22" t="s">
        <v>92</v>
      </c>
      <c r="BM44" s="25" t="s">
        <v>307</v>
      </c>
      <c r="BN44" s="27">
        <v>525624066</v>
      </c>
      <c r="BO44" s="27">
        <v>0</v>
      </c>
      <c r="BP44" s="27">
        <v>4333333</v>
      </c>
      <c r="BQ44" s="27">
        <v>4333333</v>
      </c>
      <c r="BR44" s="27">
        <f t="shared" ref="BR44:BS44" si="166">+BN44+BP44</f>
        <v>529957399</v>
      </c>
      <c r="BS44" s="27">
        <f t="shared" si="166"/>
        <v>4333333</v>
      </c>
      <c r="BT44" s="20">
        <f t="shared" si="13"/>
        <v>8.1767572415759396E-3</v>
      </c>
      <c r="BU44" s="27">
        <v>502098629</v>
      </c>
      <c r="BV44" s="27">
        <v>525624066</v>
      </c>
      <c r="BW44" s="27">
        <v>0</v>
      </c>
      <c r="BX44" s="27">
        <v>0</v>
      </c>
      <c r="BY44" s="28">
        <f t="shared" si="149"/>
        <v>0</v>
      </c>
      <c r="BZ44" s="27">
        <v>0</v>
      </c>
      <c r="CA44" s="20">
        <v>750000000</v>
      </c>
      <c r="CB44" s="29">
        <v>0</v>
      </c>
      <c r="CC44" s="29">
        <v>0</v>
      </c>
      <c r="CD44" s="29">
        <v>750000000</v>
      </c>
    </row>
    <row r="45" spans="1:82" ht="54" customHeight="1">
      <c r="A45" s="12" t="s">
        <v>95</v>
      </c>
      <c r="B45" s="13">
        <v>0.23499999999999999</v>
      </c>
      <c r="C45" s="12"/>
      <c r="D45" s="14">
        <v>40</v>
      </c>
      <c r="E45" s="16">
        <v>4003</v>
      </c>
      <c r="F45" s="14">
        <v>5</v>
      </c>
      <c r="G45" s="14" t="s">
        <v>208</v>
      </c>
      <c r="H45" s="14">
        <v>1400</v>
      </c>
      <c r="I45" s="14">
        <v>5.2</v>
      </c>
      <c r="J45" s="14" t="s">
        <v>291</v>
      </c>
      <c r="K45" s="14" t="s">
        <v>292</v>
      </c>
      <c r="L45" s="14" t="s">
        <v>293</v>
      </c>
      <c r="M45" s="14" t="s">
        <v>294</v>
      </c>
      <c r="N45" s="39" t="s">
        <v>308</v>
      </c>
      <c r="O45" s="16">
        <v>4003020</v>
      </c>
      <c r="P45" s="17">
        <v>2024257990005</v>
      </c>
      <c r="Q45" s="14" t="s">
        <v>214</v>
      </c>
      <c r="R45" s="18">
        <v>44</v>
      </c>
      <c r="S45" s="14" t="s">
        <v>309</v>
      </c>
      <c r="T45" s="14">
        <v>0</v>
      </c>
      <c r="U45" s="14" t="s">
        <v>88</v>
      </c>
      <c r="V45" s="14" t="s">
        <v>89</v>
      </c>
      <c r="W45" s="14" t="s">
        <v>310</v>
      </c>
      <c r="X45" s="14" t="s">
        <v>206</v>
      </c>
      <c r="Y45" s="19" t="s">
        <v>124</v>
      </c>
      <c r="Z45" s="41">
        <f t="shared" si="160"/>
        <v>2</v>
      </c>
      <c r="AA45" s="20">
        <f t="shared" si="1"/>
        <v>4.9999999999999996E-2</v>
      </c>
      <c r="AB45" s="20">
        <f t="shared" si="2"/>
        <v>0.25</v>
      </c>
      <c r="AC45" s="21"/>
      <c r="AD45" s="21"/>
      <c r="AE45" s="21">
        <f t="shared" si="3"/>
        <v>9.4999999999999987E-2</v>
      </c>
      <c r="AF45" s="33">
        <v>0.1</v>
      </c>
      <c r="AG45" s="22">
        <v>0.9</v>
      </c>
      <c r="AH45" s="33">
        <v>0.5</v>
      </c>
      <c r="AI45" s="33">
        <v>0.5</v>
      </c>
      <c r="AJ45" s="26"/>
      <c r="AK45" s="26"/>
      <c r="AL45" s="26"/>
      <c r="AM45" s="26"/>
      <c r="AN45" s="26">
        <v>0.01</v>
      </c>
      <c r="AO45" s="26">
        <v>0.01</v>
      </c>
      <c r="AP45" s="26">
        <v>0.09</v>
      </c>
      <c r="AQ45" s="26">
        <v>0.09</v>
      </c>
      <c r="AR45" s="22">
        <f t="shared" ref="AR45:AS45" si="167">(AJ45+AL45+AN45+AP45)</f>
        <v>9.9999999999999992E-2</v>
      </c>
      <c r="AS45" s="22">
        <f t="shared" si="167"/>
        <v>9.9999999999999992E-2</v>
      </c>
      <c r="AT45" s="22">
        <f t="shared" si="153"/>
        <v>1</v>
      </c>
      <c r="AU45" s="23" t="str">
        <f t="shared" si="154"/>
        <v>100%</v>
      </c>
      <c r="AV45" s="24">
        <f t="shared" si="7"/>
        <v>1</v>
      </c>
      <c r="AW45" s="14" t="s">
        <v>92</v>
      </c>
      <c r="AX45" s="30" t="s">
        <v>311</v>
      </c>
      <c r="AY45" s="26">
        <v>0</v>
      </c>
      <c r="AZ45" s="26">
        <v>0</v>
      </c>
      <c r="BA45" s="26">
        <v>0.3</v>
      </c>
      <c r="BB45" s="26">
        <v>0.3</v>
      </c>
      <c r="BC45" s="26">
        <v>0.1</v>
      </c>
      <c r="BD45" s="26">
        <v>0.1</v>
      </c>
      <c r="BE45" s="26">
        <v>0.4</v>
      </c>
      <c r="BF45" s="26"/>
      <c r="BG45" s="22">
        <f t="shared" ref="BG45:BH45" si="168">(AY45+BA45+BC45+BE45)</f>
        <v>0.8</v>
      </c>
      <c r="BH45" s="22">
        <f t="shared" si="168"/>
        <v>0.4</v>
      </c>
      <c r="BI45" s="22">
        <f t="shared" si="129"/>
        <v>0.5</v>
      </c>
      <c r="BJ45" s="23" t="str">
        <f t="shared" si="130"/>
        <v>100%</v>
      </c>
      <c r="BK45" s="24">
        <f t="shared" si="131"/>
        <v>0.5</v>
      </c>
      <c r="BL45" s="22" t="s">
        <v>92</v>
      </c>
      <c r="BM45" s="25" t="s">
        <v>312</v>
      </c>
      <c r="BN45" s="27">
        <v>300000000</v>
      </c>
      <c r="BO45" s="27">
        <v>0</v>
      </c>
      <c r="BP45" s="27">
        <v>2683307320</v>
      </c>
      <c r="BQ45" s="27">
        <v>2683307320</v>
      </c>
      <c r="BR45" s="27">
        <f t="shared" ref="BR45:BS45" si="169">+BN45+BP45</f>
        <v>2983307320</v>
      </c>
      <c r="BS45" s="27">
        <f t="shared" si="169"/>
        <v>2683307320</v>
      </c>
      <c r="BT45" s="20">
        <f t="shared" si="13"/>
        <v>0.89944046394791133</v>
      </c>
      <c r="BU45" s="27">
        <v>300000000</v>
      </c>
      <c r="BV45" s="27">
        <v>300000000</v>
      </c>
      <c r="BW45" s="27">
        <v>182930950</v>
      </c>
      <c r="BX45" s="27">
        <v>179847070</v>
      </c>
      <c r="BY45" s="28">
        <f t="shared" si="149"/>
        <v>0.60976983333333334</v>
      </c>
      <c r="BZ45" s="27">
        <v>2400000000</v>
      </c>
      <c r="CA45" s="20">
        <v>0</v>
      </c>
      <c r="CB45" s="29">
        <v>0</v>
      </c>
      <c r="CC45" s="29">
        <v>0</v>
      </c>
      <c r="CD45" s="29">
        <v>2400000000</v>
      </c>
    </row>
    <row r="46" spans="1:82" ht="54" customHeight="1">
      <c r="A46" s="12" t="s">
        <v>95</v>
      </c>
      <c r="B46" s="13">
        <v>0.23499999999999999</v>
      </c>
      <c r="C46" s="12"/>
      <c r="D46" s="14">
        <v>40</v>
      </c>
      <c r="E46" s="16">
        <v>4003</v>
      </c>
      <c r="F46" s="14">
        <v>5</v>
      </c>
      <c r="G46" s="14" t="s">
        <v>208</v>
      </c>
      <c r="H46" s="14">
        <v>1400</v>
      </c>
      <c r="I46" s="14">
        <v>5.3</v>
      </c>
      <c r="J46" s="14" t="s">
        <v>313</v>
      </c>
      <c r="K46" s="14" t="s">
        <v>314</v>
      </c>
      <c r="L46" s="14" t="s">
        <v>315</v>
      </c>
      <c r="M46" s="14" t="s">
        <v>316</v>
      </c>
      <c r="N46" s="14" t="s">
        <v>317</v>
      </c>
      <c r="O46" s="16">
        <v>4003022</v>
      </c>
      <c r="P46" s="17">
        <v>2024257990005</v>
      </c>
      <c r="Q46" s="14" t="s">
        <v>214</v>
      </c>
      <c r="R46" s="18">
        <v>45</v>
      </c>
      <c r="S46" s="14" t="s">
        <v>318</v>
      </c>
      <c r="T46" s="14" t="s">
        <v>319</v>
      </c>
      <c r="U46" s="14" t="s">
        <v>109</v>
      </c>
      <c r="V46" s="14" t="s">
        <v>89</v>
      </c>
      <c r="W46" s="14" t="s">
        <v>320</v>
      </c>
      <c r="X46" s="14" t="s">
        <v>91</v>
      </c>
      <c r="Y46" s="19" t="s">
        <v>124</v>
      </c>
      <c r="Z46" s="20">
        <f t="shared" si="160"/>
        <v>0.4</v>
      </c>
      <c r="AA46" s="20">
        <f t="shared" si="1"/>
        <v>0.19999999999999998</v>
      </c>
      <c r="AB46" s="20">
        <f t="shared" si="2"/>
        <v>2.125</v>
      </c>
      <c r="AC46" s="21"/>
      <c r="AD46" s="21"/>
      <c r="AE46" s="21">
        <f t="shared" si="3"/>
        <v>0.77374999999999994</v>
      </c>
      <c r="AF46" s="24">
        <v>0.08</v>
      </c>
      <c r="AG46" s="24">
        <v>0.2</v>
      </c>
      <c r="AH46" s="24">
        <v>0.06</v>
      </c>
      <c r="AI46" s="24">
        <v>0.06</v>
      </c>
      <c r="AJ46" s="26"/>
      <c r="AK46" s="26"/>
      <c r="AL46" s="26"/>
      <c r="AM46" s="26"/>
      <c r="AN46" s="24">
        <v>0.08</v>
      </c>
      <c r="AO46" s="24">
        <v>0.08</v>
      </c>
      <c r="AP46" s="24">
        <v>0.08</v>
      </c>
      <c r="AQ46" s="24">
        <v>0.08</v>
      </c>
      <c r="AR46" s="24">
        <f t="shared" ref="AR46:AS46" si="170">(AJ46+AL46+AN46+AP46)/2</f>
        <v>0.08</v>
      </c>
      <c r="AS46" s="24">
        <f t="shared" si="170"/>
        <v>0.08</v>
      </c>
      <c r="AT46" s="24">
        <f t="shared" si="153"/>
        <v>1</v>
      </c>
      <c r="AU46" s="23" t="str">
        <f t="shared" si="154"/>
        <v>100%</v>
      </c>
      <c r="AV46" s="24">
        <f t="shared" si="7"/>
        <v>1</v>
      </c>
      <c r="AW46" s="14" t="s">
        <v>92</v>
      </c>
      <c r="AX46" s="30" t="s">
        <v>321</v>
      </c>
      <c r="AY46" s="24">
        <v>0</v>
      </c>
      <c r="AZ46" s="24">
        <v>0</v>
      </c>
      <c r="BA46" s="24">
        <v>0.05</v>
      </c>
      <c r="BB46" s="24">
        <v>0.05</v>
      </c>
      <c r="BC46" s="24">
        <v>0.12</v>
      </c>
      <c r="BD46" s="24">
        <v>0.12</v>
      </c>
      <c r="BE46" s="24">
        <v>0.03</v>
      </c>
      <c r="BF46" s="26"/>
      <c r="BG46" s="20">
        <f t="shared" ref="BG46:BH46" si="171">(AY46+BA46+BC46+BE46)</f>
        <v>0.19999999999999998</v>
      </c>
      <c r="BH46" s="20">
        <f t="shared" si="171"/>
        <v>0.16999999999999998</v>
      </c>
      <c r="BI46" s="20">
        <f t="shared" si="129"/>
        <v>0.85</v>
      </c>
      <c r="BJ46" s="23" t="str">
        <f t="shared" si="130"/>
        <v>100%</v>
      </c>
      <c r="BK46" s="24">
        <f t="shared" si="131"/>
        <v>0.85</v>
      </c>
      <c r="BL46" s="22" t="s">
        <v>92</v>
      </c>
      <c r="BM46" s="25" t="s">
        <v>322</v>
      </c>
      <c r="BN46" s="27">
        <v>485262909</v>
      </c>
      <c r="BO46" s="27">
        <v>0</v>
      </c>
      <c r="BP46" s="27">
        <v>0</v>
      </c>
      <c r="BQ46" s="27">
        <v>0</v>
      </c>
      <c r="BR46" s="27">
        <f t="shared" ref="BR46:BS46" si="172">+BN46+BP46</f>
        <v>485262909</v>
      </c>
      <c r="BS46" s="27">
        <f t="shared" si="172"/>
        <v>0</v>
      </c>
      <c r="BT46" s="20">
        <f t="shared" si="13"/>
        <v>0</v>
      </c>
      <c r="BU46" s="27">
        <v>416660695</v>
      </c>
      <c r="BV46" s="27">
        <v>485262909</v>
      </c>
      <c r="BW46" s="27">
        <v>399999400</v>
      </c>
      <c r="BX46" s="27">
        <v>399999400</v>
      </c>
      <c r="BY46" s="28">
        <f t="shared" si="149"/>
        <v>0.82429419718950747</v>
      </c>
      <c r="BZ46" s="27">
        <v>350000000</v>
      </c>
      <c r="CA46" s="20">
        <v>350048275</v>
      </c>
      <c r="CB46" s="29">
        <v>357080688</v>
      </c>
      <c r="CC46" s="29">
        <v>367815123</v>
      </c>
      <c r="CD46" s="29">
        <v>1424944086</v>
      </c>
    </row>
    <row r="47" spans="1:82" ht="54" customHeight="1">
      <c r="A47" s="12" t="s">
        <v>95</v>
      </c>
      <c r="B47" s="13">
        <v>0.23499999999999999</v>
      </c>
      <c r="C47" s="12"/>
      <c r="D47" s="14">
        <v>40</v>
      </c>
      <c r="E47" s="16">
        <v>4003</v>
      </c>
      <c r="F47" s="14">
        <v>5</v>
      </c>
      <c r="G47" s="14" t="s">
        <v>208</v>
      </c>
      <c r="H47" s="14">
        <v>1400</v>
      </c>
      <c r="I47" s="14">
        <v>5.3</v>
      </c>
      <c r="J47" s="14" t="s">
        <v>313</v>
      </c>
      <c r="K47" s="14" t="s">
        <v>314</v>
      </c>
      <c r="L47" s="14" t="s">
        <v>315</v>
      </c>
      <c r="M47" s="14" t="s">
        <v>316</v>
      </c>
      <c r="N47" s="14" t="s">
        <v>317</v>
      </c>
      <c r="O47" s="16">
        <v>4003022</v>
      </c>
      <c r="P47" s="17">
        <v>2024257990005</v>
      </c>
      <c r="Q47" s="14" t="s">
        <v>214</v>
      </c>
      <c r="R47" s="18">
        <v>46</v>
      </c>
      <c r="S47" s="14" t="s">
        <v>323</v>
      </c>
      <c r="T47" s="14">
        <v>0</v>
      </c>
      <c r="U47" s="14" t="s">
        <v>88</v>
      </c>
      <c r="V47" s="14" t="s">
        <v>89</v>
      </c>
      <c r="W47" s="14" t="s">
        <v>324</v>
      </c>
      <c r="X47" s="14" t="s">
        <v>206</v>
      </c>
      <c r="Y47" s="19" t="s">
        <v>124</v>
      </c>
      <c r="Z47" s="18">
        <f t="shared" si="160"/>
        <v>3</v>
      </c>
      <c r="AA47" s="20">
        <f t="shared" si="1"/>
        <v>0.33</v>
      </c>
      <c r="AB47" s="20">
        <f t="shared" si="2"/>
        <v>0.33333333333333331</v>
      </c>
      <c r="AC47" s="21"/>
      <c r="AD47" s="21"/>
      <c r="AE47" s="21">
        <f t="shared" si="3"/>
        <v>0.16616666666666666</v>
      </c>
      <c r="AF47" s="29">
        <v>1</v>
      </c>
      <c r="AG47" s="29">
        <v>1</v>
      </c>
      <c r="AH47" s="29">
        <v>1</v>
      </c>
      <c r="AI47" s="29">
        <v>0</v>
      </c>
      <c r="AJ47" s="26"/>
      <c r="AK47" s="26"/>
      <c r="AL47" s="26"/>
      <c r="AM47" s="26"/>
      <c r="AN47" s="26">
        <v>0.2</v>
      </c>
      <c r="AO47" s="26">
        <v>0.2</v>
      </c>
      <c r="AP47" s="26">
        <v>0.8</v>
      </c>
      <c r="AQ47" s="26">
        <v>0.79</v>
      </c>
      <c r="AR47" s="22">
        <f t="shared" ref="AR47:AS47" si="173">(AJ47+AL47+AN47+AP47)</f>
        <v>1</v>
      </c>
      <c r="AS47" s="22">
        <f t="shared" si="173"/>
        <v>0.99</v>
      </c>
      <c r="AT47" s="22">
        <f t="shared" si="153"/>
        <v>0.99</v>
      </c>
      <c r="AU47" s="23" t="str">
        <f t="shared" si="154"/>
        <v>100%</v>
      </c>
      <c r="AV47" s="24">
        <f t="shared" si="7"/>
        <v>0.99</v>
      </c>
      <c r="AW47" s="14" t="s">
        <v>92</v>
      </c>
      <c r="AX47" s="30" t="s">
        <v>325</v>
      </c>
      <c r="AY47" s="14">
        <v>0.1</v>
      </c>
      <c r="AZ47" s="14">
        <v>0.1</v>
      </c>
      <c r="BA47" s="14">
        <v>0.9</v>
      </c>
      <c r="BB47" s="26">
        <v>0.9</v>
      </c>
      <c r="BC47" s="14">
        <v>0</v>
      </c>
      <c r="BD47" s="26">
        <v>0</v>
      </c>
      <c r="BE47" s="14">
        <v>0</v>
      </c>
      <c r="BF47" s="26"/>
      <c r="BG47" s="22">
        <f t="shared" ref="BG47:BH47" si="174">(AY47+BA47+BC47+BE47)</f>
        <v>1</v>
      </c>
      <c r="BH47" s="22">
        <f t="shared" si="174"/>
        <v>1</v>
      </c>
      <c r="BI47" s="22">
        <f t="shared" si="129"/>
        <v>1</v>
      </c>
      <c r="BJ47" s="23" t="str">
        <f t="shared" si="130"/>
        <v>100%</v>
      </c>
      <c r="BK47" s="24">
        <f t="shared" si="131"/>
        <v>1</v>
      </c>
      <c r="BL47" s="22" t="s">
        <v>92</v>
      </c>
      <c r="BM47" s="25" t="s">
        <v>326</v>
      </c>
      <c r="BN47" s="27">
        <v>200000000</v>
      </c>
      <c r="BO47" s="27">
        <v>0</v>
      </c>
      <c r="BP47" s="27">
        <v>300631997</v>
      </c>
      <c r="BQ47" s="27">
        <v>300631997</v>
      </c>
      <c r="BR47" s="27">
        <f t="shared" ref="BR47:BS47" si="175">+BN47+BP47</f>
        <v>500631997</v>
      </c>
      <c r="BS47" s="27">
        <f t="shared" si="175"/>
        <v>300631997</v>
      </c>
      <c r="BT47" s="20">
        <f t="shared" si="13"/>
        <v>0.60050495933443104</v>
      </c>
      <c r="BU47" s="27">
        <v>200000000</v>
      </c>
      <c r="BV47" s="27">
        <v>0</v>
      </c>
      <c r="BW47" s="27">
        <v>0</v>
      </c>
      <c r="BX47" s="27">
        <v>0</v>
      </c>
      <c r="BY47" s="28" t="str">
        <f t="shared" si="149"/>
        <v/>
      </c>
      <c r="BZ47" s="27">
        <v>300000000</v>
      </c>
      <c r="CA47" s="20">
        <v>0</v>
      </c>
      <c r="CB47" s="29">
        <v>0</v>
      </c>
      <c r="CC47" s="29">
        <v>0</v>
      </c>
      <c r="CD47" s="29">
        <v>300000000</v>
      </c>
    </row>
    <row r="48" spans="1:82" ht="54" customHeight="1">
      <c r="A48" s="12" t="s">
        <v>95</v>
      </c>
      <c r="B48" s="13">
        <v>0.23499999999999999</v>
      </c>
      <c r="C48" s="12"/>
      <c r="D48" s="14">
        <v>21</v>
      </c>
      <c r="E48" s="16">
        <v>2102</v>
      </c>
      <c r="F48" s="14">
        <v>6</v>
      </c>
      <c r="G48" s="14" t="s">
        <v>327</v>
      </c>
      <c r="H48" s="14">
        <v>1900</v>
      </c>
      <c r="I48" s="14">
        <v>6.1</v>
      </c>
      <c r="J48" s="14" t="s">
        <v>328</v>
      </c>
      <c r="K48" s="14" t="s">
        <v>329</v>
      </c>
      <c r="L48" s="14" t="s">
        <v>330</v>
      </c>
      <c r="M48" s="14" t="s">
        <v>331</v>
      </c>
      <c r="N48" s="14">
        <v>0</v>
      </c>
      <c r="O48" s="16">
        <v>2102010</v>
      </c>
      <c r="P48" s="17">
        <v>2024257990006</v>
      </c>
      <c r="Q48" s="14" t="s">
        <v>332</v>
      </c>
      <c r="R48" s="18">
        <v>47</v>
      </c>
      <c r="S48" s="14" t="s">
        <v>333</v>
      </c>
      <c r="T48" s="14">
        <v>0</v>
      </c>
      <c r="U48" s="14" t="s">
        <v>88</v>
      </c>
      <c r="V48" s="14" t="s">
        <v>89</v>
      </c>
      <c r="W48" s="14" t="s">
        <v>334</v>
      </c>
      <c r="X48" s="14" t="s">
        <v>206</v>
      </c>
      <c r="Y48" s="19" t="s">
        <v>124</v>
      </c>
      <c r="Z48" s="40">
        <f t="shared" si="160"/>
        <v>5000</v>
      </c>
      <c r="AA48" s="20">
        <f t="shared" si="1"/>
        <v>0.74819999999999998</v>
      </c>
      <c r="AB48" s="20">
        <f t="shared" si="2"/>
        <v>0</v>
      </c>
      <c r="AC48" s="21"/>
      <c r="AD48" s="21"/>
      <c r="AE48" s="21">
        <f t="shared" si="3"/>
        <v>0.11223</v>
      </c>
      <c r="AF48" s="22">
        <v>5000</v>
      </c>
      <c r="AG48" s="22">
        <v>0</v>
      </c>
      <c r="AH48" s="22">
        <v>0</v>
      </c>
      <c r="AI48" s="22">
        <v>0</v>
      </c>
      <c r="AJ48" s="26"/>
      <c r="AK48" s="26"/>
      <c r="AL48" s="26"/>
      <c r="AM48" s="26"/>
      <c r="AN48" s="26">
        <v>3245</v>
      </c>
      <c r="AO48" s="26">
        <v>3245</v>
      </c>
      <c r="AP48" s="26">
        <v>496</v>
      </c>
      <c r="AQ48" s="26">
        <v>496</v>
      </c>
      <c r="AR48" s="22">
        <f t="shared" ref="AR48:AS48" si="176">(AJ48+AL48+AN48+AP48)</f>
        <v>3741</v>
      </c>
      <c r="AS48" s="22">
        <f t="shared" si="176"/>
        <v>3741</v>
      </c>
      <c r="AT48" s="22">
        <f t="shared" si="153"/>
        <v>1</v>
      </c>
      <c r="AU48" s="23" t="str">
        <f t="shared" si="154"/>
        <v>100%</v>
      </c>
      <c r="AV48" s="24">
        <f t="shared" si="7"/>
        <v>1</v>
      </c>
      <c r="AW48" s="14" t="s">
        <v>92</v>
      </c>
      <c r="AX48" s="30" t="s">
        <v>335</v>
      </c>
      <c r="AY48" s="32">
        <v>0</v>
      </c>
      <c r="AZ48" s="32"/>
      <c r="BA48" s="32">
        <v>0</v>
      </c>
      <c r="BB48" s="32"/>
      <c r="BC48" s="32">
        <v>0</v>
      </c>
      <c r="BD48" s="32"/>
      <c r="BE48" s="32">
        <v>0</v>
      </c>
      <c r="BF48" s="32"/>
      <c r="BG48" s="22">
        <f t="shared" ref="BG48:BH48" si="177">(AY48+BA48+BC48+BE48)</f>
        <v>0</v>
      </c>
      <c r="BH48" s="22">
        <f t="shared" si="177"/>
        <v>0</v>
      </c>
      <c r="BI48" s="23" t="str">
        <f t="shared" ref="BI48:BI49" si="178">IF(BF48&gt; 1, IF(BF48 = BG48, "100%", BF48 &amp; "%"), IF(BF48 &lt;= 0.01, "0%", BF48 * 100 &amp; "%"))</f>
        <v>0%</v>
      </c>
      <c r="BJ48" s="24">
        <f t="shared" ref="BJ48:BK48" si="179">IF(BF48=0, 0, BG48/BF48)</f>
        <v>0</v>
      </c>
      <c r="BK48" s="24">
        <f t="shared" si="179"/>
        <v>0</v>
      </c>
      <c r="BL48" s="26" t="s">
        <v>192</v>
      </c>
      <c r="BM48" s="25" t="s">
        <v>336</v>
      </c>
      <c r="BN48" s="42">
        <v>0</v>
      </c>
      <c r="BO48" s="42">
        <v>0</v>
      </c>
      <c r="BP48" s="42">
        <v>0</v>
      </c>
      <c r="BQ48" s="42">
        <v>0</v>
      </c>
      <c r="BR48" s="27">
        <f t="shared" ref="BR48:BS48" si="180">+BN48+BP48</f>
        <v>0</v>
      </c>
      <c r="BS48" s="27">
        <f t="shared" si="180"/>
        <v>0</v>
      </c>
      <c r="BT48" s="43" t="str">
        <f t="shared" si="13"/>
        <v/>
      </c>
      <c r="BU48" s="27">
        <v>0</v>
      </c>
      <c r="BV48" s="27">
        <v>0</v>
      </c>
      <c r="BW48" s="27">
        <v>0</v>
      </c>
      <c r="BX48" s="27">
        <v>0</v>
      </c>
      <c r="BY48" s="28" t="str">
        <f t="shared" si="149"/>
        <v/>
      </c>
      <c r="BZ48" s="27">
        <v>6700000</v>
      </c>
      <c r="CA48" s="20">
        <v>6834000</v>
      </c>
      <c r="CB48" s="29">
        <v>6970680</v>
      </c>
      <c r="CC48" s="29">
        <v>7179800</v>
      </c>
      <c r="CD48" s="29">
        <v>27684480</v>
      </c>
    </row>
    <row r="49" spans="1:82" ht="54" customHeight="1">
      <c r="A49" s="12" t="s">
        <v>95</v>
      </c>
      <c r="B49" s="13">
        <v>0.23499999999999999</v>
      </c>
      <c r="C49" s="12"/>
      <c r="D49" s="14">
        <v>21</v>
      </c>
      <c r="E49" s="16">
        <v>2102</v>
      </c>
      <c r="F49" s="14">
        <v>6</v>
      </c>
      <c r="G49" s="14" t="s">
        <v>327</v>
      </c>
      <c r="H49" s="14">
        <v>1900</v>
      </c>
      <c r="I49" s="14">
        <v>6.1</v>
      </c>
      <c r="J49" s="14" t="s">
        <v>328</v>
      </c>
      <c r="K49" s="14" t="s">
        <v>329</v>
      </c>
      <c r="L49" s="14" t="s">
        <v>330</v>
      </c>
      <c r="M49" s="14" t="s">
        <v>331</v>
      </c>
      <c r="N49" s="14">
        <v>0</v>
      </c>
      <c r="O49" s="16">
        <v>2102010</v>
      </c>
      <c r="P49" s="17">
        <v>2024257990006</v>
      </c>
      <c r="Q49" s="14" t="s">
        <v>332</v>
      </c>
      <c r="R49" s="18">
        <v>48</v>
      </c>
      <c r="S49" s="14" t="s">
        <v>337</v>
      </c>
      <c r="T49" s="14">
        <v>0</v>
      </c>
      <c r="U49" s="14" t="s">
        <v>88</v>
      </c>
      <c r="V49" s="14" t="s">
        <v>89</v>
      </c>
      <c r="W49" s="14" t="s">
        <v>338</v>
      </c>
      <c r="X49" s="14" t="s">
        <v>206</v>
      </c>
      <c r="Y49" s="19"/>
      <c r="Z49" s="14">
        <f t="shared" si="160"/>
        <v>15</v>
      </c>
      <c r="AA49" s="20">
        <f t="shared" si="1"/>
        <v>0.13333333333333333</v>
      </c>
      <c r="AB49" s="20">
        <f t="shared" si="2"/>
        <v>0</v>
      </c>
      <c r="AC49" s="21"/>
      <c r="AD49" s="21"/>
      <c r="AE49" s="21">
        <f t="shared" si="3"/>
        <v>0.02</v>
      </c>
      <c r="AF49" s="26">
        <v>2</v>
      </c>
      <c r="AG49" s="26">
        <v>7</v>
      </c>
      <c r="AH49" s="26">
        <v>4</v>
      </c>
      <c r="AI49" s="26">
        <v>2</v>
      </c>
      <c r="AJ49" s="26"/>
      <c r="AK49" s="26"/>
      <c r="AL49" s="26"/>
      <c r="AM49" s="26"/>
      <c r="AN49" s="26">
        <v>2</v>
      </c>
      <c r="AO49" s="26">
        <v>2</v>
      </c>
      <c r="AP49" s="26">
        <v>0</v>
      </c>
      <c r="AQ49" s="26">
        <v>0</v>
      </c>
      <c r="AR49" s="22">
        <f t="shared" ref="AR49:AS49" si="181">(AJ49+AL49+AN49+AP49)</f>
        <v>2</v>
      </c>
      <c r="AS49" s="22">
        <f t="shared" si="181"/>
        <v>2</v>
      </c>
      <c r="AT49" s="22">
        <f t="shared" si="153"/>
        <v>1</v>
      </c>
      <c r="AU49" s="23" t="str">
        <f t="shared" si="154"/>
        <v>100%</v>
      </c>
      <c r="AV49" s="24">
        <f t="shared" si="7"/>
        <v>1</v>
      </c>
      <c r="AW49" s="14" t="s">
        <v>92</v>
      </c>
      <c r="AX49" s="25" t="s">
        <v>339</v>
      </c>
      <c r="AY49" s="32">
        <v>0</v>
      </c>
      <c r="AZ49" s="32"/>
      <c r="BA49" s="32">
        <v>0</v>
      </c>
      <c r="BB49" s="32"/>
      <c r="BC49" s="32">
        <v>0</v>
      </c>
      <c r="BD49" s="32"/>
      <c r="BE49" s="32">
        <v>0</v>
      </c>
      <c r="BF49" s="32"/>
      <c r="BG49" s="22">
        <f t="shared" ref="BG49:BH49" si="182">(AY49+BA49+BC49+BE49)</f>
        <v>0</v>
      </c>
      <c r="BH49" s="22">
        <f t="shared" si="182"/>
        <v>0</v>
      </c>
      <c r="BI49" s="23" t="str">
        <f t="shared" si="178"/>
        <v>0%</v>
      </c>
      <c r="BJ49" s="24">
        <f t="shared" ref="BJ49:BK49" si="183">IF(BF49=0, 0, BG49/BF49)</f>
        <v>0</v>
      </c>
      <c r="BK49" s="24">
        <f t="shared" si="183"/>
        <v>0</v>
      </c>
      <c r="BL49" s="26" t="s">
        <v>192</v>
      </c>
      <c r="BM49" s="25" t="s">
        <v>340</v>
      </c>
      <c r="BN49" s="42">
        <v>0</v>
      </c>
      <c r="BO49" s="42">
        <v>0</v>
      </c>
      <c r="BP49" s="42">
        <v>0</v>
      </c>
      <c r="BQ49" s="42">
        <v>0</v>
      </c>
      <c r="BR49" s="27">
        <f t="shared" ref="BR49:BS49" si="184">+BN49+BP49</f>
        <v>0</v>
      </c>
      <c r="BS49" s="27">
        <f t="shared" si="184"/>
        <v>0</v>
      </c>
      <c r="BT49" s="43" t="str">
        <f t="shared" si="13"/>
        <v/>
      </c>
      <c r="BU49" s="27">
        <v>0</v>
      </c>
      <c r="BV49" s="27">
        <v>0</v>
      </c>
      <c r="BW49" s="27">
        <v>0</v>
      </c>
      <c r="BX49" s="27">
        <v>0</v>
      </c>
      <c r="BY49" s="28" t="str">
        <f t="shared" si="149"/>
        <v/>
      </c>
      <c r="BZ49" s="27">
        <v>0</v>
      </c>
      <c r="CA49" s="20">
        <v>0</v>
      </c>
      <c r="CB49" s="29">
        <v>0</v>
      </c>
      <c r="CC49" s="29">
        <v>0</v>
      </c>
      <c r="CD49" s="29">
        <v>0</v>
      </c>
    </row>
    <row r="50" spans="1:82" ht="54" customHeight="1">
      <c r="A50" s="12" t="s">
        <v>95</v>
      </c>
      <c r="B50" s="13">
        <v>0.23499999999999999</v>
      </c>
      <c r="C50" s="12"/>
      <c r="D50" s="14">
        <v>21</v>
      </c>
      <c r="E50" s="16">
        <v>2102</v>
      </c>
      <c r="F50" s="14">
        <v>6</v>
      </c>
      <c r="G50" s="14" t="s">
        <v>327</v>
      </c>
      <c r="H50" s="14">
        <v>1900</v>
      </c>
      <c r="I50" s="14">
        <v>6.1</v>
      </c>
      <c r="J50" s="14" t="s">
        <v>328</v>
      </c>
      <c r="K50" s="14" t="s">
        <v>329</v>
      </c>
      <c r="L50" s="14" t="s">
        <v>330</v>
      </c>
      <c r="M50" s="14" t="s">
        <v>331</v>
      </c>
      <c r="N50" s="14">
        <v>0</v>
      </c>
      <c r="O50" s="16">
        <v>2102011</v>
      </c>
      <c r="P50" s="17">
        <v>2024257990006</v>
      </c>
      <c r="Q50" s="14" t="s">
        <v>332</v>
      </c>
      <c r="R50" s="18">
        <v>49</v>
      </c>
      <c r="S50" s="14" t="s">
        <v>341</v>
      </c>
      <c r="T50" s="14">
        <v>0</v>
      </c>
      <c r="U50" s="14" t="s">
        <v>109</v>
      </c>
      <c r="V50" s="14" t="s">
        <v>89</v>
      </c>
      <c r="W50" s="14" t="s">
        <v>342</v>
      </c>
      <c r="X50" s="14" t="s">
        <v>206</v>
      </c>
      <c r="Y50" s="19"/>
      <c r="Z50" s="24">
        <f t="shared" ref="Z50:Z51" si="185">SUM(AF50:AI50)/4</f>
        <v>1</v>
      </c>
      <c r="AA50" s="20">
        <f t="shared" si="1"/>
        <v>1</v>
      </c>
      <c r="AB50" s="20">
        <f t="shared" si="2"/>
        <v>0.4</v>
      </c>
      <c r="AC50" s="21"/>
      <c r="AD50" s="21"/>
      <c r="AE50" s="21">
        <f t="shared" si="3"/>
        <v>0.28999999999999998</v>
      </c>
      <c r="AF50" s="20">
        <v>1</v>
      </c>
      <c r="AG50" s="20">
        <v>1</v>
      </c>
      <c r="AH50" s="20">
        <v>1</v>
      </c>
      <c r="AI50" s="20">
        <v>1</v>
      </c>
      <c r="AJ50" s="26"/>
      <c r="AK50" s="26"/>
      <c r="AL50" s="26"/>
      <c r="AM50" s="26"/>
      <c r="AN50" s="24">
        <v>1</v>
      </c>
      <c r="AO50" s="24">
        <v>1</v>
      </c>
      <c r="AP50" s="24">
        <v>1</v>
      </c>
      <c r="AQ50" s="24">
        <v>1</v>
      </c>
      <c r="AR50" s="24">
        <f t="shared" ref="AR50:AS50" si="186">(AJ50+AL50+AN50+AP50)/2</f>
        <v>1</v>
      </c>
      <c r="AS50" s="24">
        <f t="shared" si="186"/>
        <v>1</v>
      </c>
      <c r="AT50" s="24">
        <f t="shared" si="153"/>
        <v>1</v>
      </c>
      <c r="AU50" s="23" t="str">
        <f t="shared" si="154"/>
        <v>100%</v>
      </c>
      <c r="AV50" s="24">
        <f t="shared" si="7"/>
        <v>1</v>
      </c>
      <c r="AW50" s="14" t="s">
        <v>92</v>
      </c>
      <c r="AX50" s="30" t="s">
        <v>343</v>
      </c>
      <c r="AY50" s="24">
        <v>0</v>
      </c>
      <c r="AZ50" s="24">
        <v>0</v>
      </c>
      <c r="BA50" s="24">
        <v>0.5</v>
      </c>
      <c r="BB50" s="24">
        <v>0.4</v>
      </c>
      <c r="BC50" s="24">
        <v>0.3</v>
      </c>
      <c r="BD50" s="26">
        <v>0</v>
      </c>
      <c r="BE50" s="24">
        <v>0.2</v>
      </c>
      <c r="BF50" s="26"/>
      <c r="BG50" s="20">
        <f t="shared" ref="BG50:BH50" si="187">(AY50+BA50+BC50+BE50)</f>
        <v>1</v>
      </c>
      <c r="BH50" s="20">
        <f t="shared" si="187"/>
        <v>0.4</v>
      </c>
      <c r="BI50" s="20">
        <f t="shared" ref="BI50:BI51" si="188">BH50/BG50</f>
        <v>0.4</v>
      </c>
      <c r="BJ50" s="23" t="str">
        <f t="shared" ref="BJ50:BJ51" si="189">MIN((BG50 /BG50) * 100, 100) &amp; "%"</f>
        <v>100%</v>
      </c>
      <c r="BK50" s="24">
        <f t="shared" ref="BK50:BK51" si="190">IF(BG50=0, 0, BH50/BG50)</f>
        <v>0.4</v>
      </c>
      <c r="BL50" s="26" t="s">
        <v>92</v>
      </c>
      <c r="BM50" s="25" t="s">
        <v>344</v>
      </c>
      <c r="BN50" s="27">
        <v>3251611798</v>
      </c>
      <c r="BO50" s="27">
        <v>0</v>
      </c>
      <c r="BP50" s="27">
        <v>1503082651</v>
      </c>
      <c r="BQ50" s="27">
        <v>1503082651</v>
      </c>
      <c r="BR50" s="27">
        <f t="shared" ref="BR50:BS50" si="191">+BN50+BP50</f>
        <v>4754694449</v>
      </c>
      <c r="BS50" s="27">
        <f t="shared" si="191"/>
        <v>1503082651</v>
      </c>
      <c r="BT50" s="20">
        <f t="shared" si="13"/>
        <v>0.3161260238954211</v>
      </c>
      <c r="BU50" s="27">
        <v>1400000000</v>
      </c>
      <c r="BV50" s="27">
        <v>3251611798</v>
      </c>
      <c r="BW50" s="27">
        <v>1975578209</v>
      </c>
      <c r="BX50" s="27">
        <v>1975578209</v>
      </c>
      <c r="BY50" s="28">
        <f t="shared" si="149"/>
        <v>0.60756890174132649</v>
      </c>
      <c r="BZ50" s="27">
        <v>2302503603</v>
      </c>
      <c r="CA50" s="20">
        <v>2417628783</v>
      </c>
      <c r="CB50" s="29">
        <v>2538510222</v>
      </c>
      <c r="CC50" s="29">
        <v>2665435733</v>
      </c>
      <c r="CD50" s="29">
        <v>9924078341</v>
      </c>
    </row>
    <row r="51" spans="1:82" ht="54" customHeight="1">
      <c r="A51" s="12" t="s">
        <v>95</v>
      </c>
      <c r="B51" s="13">
        <v>0.23499999999999999</v>
      </c>
      <c r="C51" s="12"/>
      <c r="D51" s="14">
        <v>21</v>
      </c>
      <c r="E51" s="16">
        <v>2102</v>
      </c>
      <c r="F51" s="14">
        <v>6</v>
      </c>
      <c r="G51" s="14" t="s">
        <v>327</v>
      </c>
      <c r="H51" s="14">
        <v>1900</v>
      </c>
      <c r="I51" s="14">
        <v>6.1</v>
      </c>
      <c r="J51" s="14" t="s">
        <v>328</v>
      </c>
      <c r="K51" s="14" t="s">
        <v>329</v>
      </c>
      <c r="L51" s="14" t="s">
        <v>330</v>
      </c>
      <c r="M51" s="14" t="s">
        <v>331</v>
      </c>
      <c r="N51" s="14">
        <v>0</v>
      </c>
      <c r="O51" s="16">
        <v>2102069</v>
      </c>
      <c r="P51" s="17">
        <v>2024257990006</v>
      </c>
      <c r="Q51" s="14" t="s">
        <v>332</v>
      </c>
      <c r="R51" s="18">
        <v>50</v>
      </c>
      <c r="S51" s="14" t="s">
        <v>345</v>
      </c>
      <c r="T51" s="14">
        <v>1</v>
      </c>
      <c r="U51" s="14" t="s">
        <v>109</v>
      </c>
      <c r="V51" s="14" t="s">
        <v>114</v>
      </c>
      <c r="W51" s="14" t="s">
        <v>346</v>
      </c>
      <c r="X51" s="14" t="s">
        <v>206</v>
      </c>
      <c r="Y51" s="19"/>
      <c r="Z51" s="24">
        <f t="shared" si="185"/>
        <v>1</v>
      </c>
      <c r="AA51" s="20">
        <f t="shared" si="1"/>
        <v>1</v>
      </c>
      <c r="AB51" s="20">
        <f t="shared" si="2"/>
        <v>1</v>
      </c>
      <c r="AC51" s="21"/>
      <c r="AD51" s="21"/>
      <c r="AE51" s="21">
        <f t="shared" si="3"/>
        <v>0.5</v>
      </c>
      <c r="AF51" s="20">
        <v>1</v>
      </c>
      <c r="AG51" s="20">
        <v>1</v>
      </c>
      <c r="AH51" s="20">
        <v>1</v>
      </c>
      <c r="AI51" s="20">
        <v>1</v>
      </c>
      <c r="AJ51" s="26"/>
      <c r="AK51" s="26"/>
      <c r="AL51" s="26"/>
      <c r="AM51" s="26"/>
      <c r="AN51" s="29">
        <v>1E-3</v>
      </c>
      <c r="AO51" s="26">
        <v>0</v>
      </c>
      <c r="AP51" s="24">
        <v>1</v>
      </c>
      <c r="AQ51" s="24">
        <v>1</v>
      </c>
      <c r="AR51" s="24">
        <f t="shared" ref="AR51:AS51" si="192">(AJ51+AL51+AN51+AP51)</f>
        <v>1.0009999999999999</v>
      </c>
      <c r="AS51" s="24">
        <f t="shared" si="192"/>
        <v>1</v>
      </c>
      <c r="AT51" s="24">
        <f t="shared" si="153"/>
        <v>0.99900099900099915</v>
      </c>
      <c r="AU51" s="23" t="str">
        <f t="shared" si="154"/>
        <v>100%</v>
      </c>
      <c r="AV51" s="24">
        <f t="shared" si="7"/>
        <v>0.99900099900099915</v>
      </c>
      <c r="AW51" s="14" t="s">
        <v>92</v>
      </c>
      <c r="AX51" s="30" t="s">
        <v>347</v>
      </c>
      <c r="AY51" s="24">
        <v>1</v>
      </c>
      <c r="AZ51" s="24">
        <v>1</v>
      </c>
      <c r="BA51" s="24">
        <v>1</v>
      </c>
      <c r="BB51" s="24">
        <v>1</v>
      </c>
      <c r="BC51" s="24">
        <v>1</v>
      </c>
      <c r="BD51" s="24">
        <v>1</v>
      </c>
      <c r="BE51" s="24">
        <v>1</v>
      </c>
      <c r="BF51" s="26"/>
      <c r="BG51" s="20">
        <f>(AY51+BA51+BC51+BE51)/4</f>
        <v>1</v>
      </c>
      <c r="BH51" s="20">
        <f>(AZ51+BB51+BD51+BF51)/3</f>
        <v>1</v>
      </c>
      <c r="BI51" s="20">
        <f t="shared" si="188"/>
        <v>1</v>
      </c>
      <c r="BJ51" s="23" t="str">
        <f t="shared" si="189"/>
        <v>100%</v>
      </c>
      <c r="BK51" s="24">
        <f t="shared" si="190"/>
        <v>1</v>
      </c>
      <c r="BL51" s="26" t="s">
        <v>92</v>
      </c>
      <c r="BM51" s="25" t="s">
        <v>348</v>
      </c>
      <c r="BN51" s="27">
        <v>2300000000</v>
      </c>
      <c r="BO51" s="27">
        <v>0</v>
      </c>
      <c r="BP51" s="27">
        <v>0</v>
      </c>
      <c r="BQ51" s="27">
        <v>0</v>
      </c>
      <c r="BR51" s="27">
        <f t="shared" ref="BR51:BS51" si="193">+BN51+BP51</f>
        <v>2300000000</v>
      </c>
      <c r="BS51" s="27">
        <f t="shared" si="193"/>
        <v>0</v>
      </c>
      <c r="BT51" s="20">
        <f t="shared" si="13"/>
        <v>0</v>
      </c>
      <c r="BU51" s="27">
        <v>2300000000</v>
      </c>
      <c r="BV51" s="27">
        <v>2300000000</v>
      </c>
      <c r="BW51" s="27">
        <v>761853887</v>
      </c>
      <c r="BX51" s="27">
        <v>761853887</v>
      </c>
      <c r="BY51" s="28">
        <f t="shared" si="149"/>
        <v>0.33124082043478259</v>
      </c>
      <c r="BZ51" s="27">
        <v>1000000000</v>
      </c>
      <c r="CA51" s="20">
        <v>500000000</v>
      </c>
      <c r="CB51" s="29">
        <v>500000000</v>
      </c>
      <c r="CC51" s="29">
        <v>515000000</v>
      </c>
      <c r="CD51" s="29">
        <v>2515000000</v>
      </c>
    </row>
    <row r="52" spans="1:82" ht="54" customHeight="1">
      <c r="A52" s="12" t="s">
        <v>95</v>
      </c>
      <c r="B52" s="13">
        <v>0.23499999999999999</v>
      </c>
      <c r="C52" s="12"/>
      <c r="D52" s="14">
        <v>21</v>
      </c>
      <c r="E52" s="16">
        <v>2102</v>
      </c>
      <c r="F52" s="14">
        <v>6</v>
      </c>
      <c r="G52" s="14" t="s">
        <v>327</v>
      </c>
      <c r="H52" s="14">
        <v>1900</v>
      </c>
      <c r="I52" s="14">
        <v>6.1</v>
      </c>
      <c r="J52" s="14" t="s">
        <v>328</v>
      </c>
      <c r="K52" s="14" t="s">
        <v>329</v>
      </c>
      <c r="L52" s="14" t="s">
        <v>330</v>
      </c>
      <c r="M52" s="14" t="s">
        <v>331</v>
      </c>
      <c r="N52" s="14">
        <v>0</v>
      </c>
      <c r="O52" s="16">
        <v>2102069</v>
      </c>
      <c r="P52" s="17">
        <v>2024257990006</v>
      </c>
      <c r="Q52" s="14" t="s">
        <v>332</v>
      </c>
      <c r="R52" s="18">
        <v>51</v>
      </c>
      <c r="S52" s="14" t="s">
        <v>349</v>
      </c>
      <c r="T52" s="14">
        <v>0</v>
      </c>
      <c r="U52" s="14" t="s">
        <v>88</v>
      </c>
      <c r="V52" s="14" t="s">
        <v>89</v>
      </c>
      <c r="W52" s="14" t="s">
        <v>350</v>
      </c>
      <c r="X52" s="14" t="s">
        <v>206</v>
      </c>
      <c r="Y52" s="19"/>
      <c r="Z52" s="14">
        <f t="shared" ref="Z52:Z54" si="194">SUM(AF52:AI52)</f>
        <v>1</v>
      </c>
      <c r="AA52" s="20">
        <f t="shared" si="1"/>
        <v>0</v>
      </c>
      <c r="AB52" s="20">
        <f t="shared" si="2"/>
        <v>0</v>
      </c>
      <c r="AC52" s="21"/>
      <c r="AD52" s="21"/>
      <c r="AE52" s="21">
        <f t="shared" si="3"/>
        <v>0</v>
      </c>
      <c r="AF52" s="14">
        <v>0</v>
      </c>
      <c r="AG52" s="14">
        <v>0</v>
      </c>
      <c r="AH52" s="14">
        <v>1</v>
      </c>
      <c r="AI52" s="14">
        <v>0</v>
      </c>
      <c r="AJ52" s="26"/>
      <c r="AK52" s="26"/>
      <c r="AL52" s="26"/>
      <c r="AM52" s="26"/>
      <c r="AN52" s="34">
        <v>0</v>
      </c>
      <c r="AO52" s="34">
        <v>0</v>
      </c>
      <c r="AP52" s="34">
        <v>0</v>
      </c>
      <c r="AQ52" s="34">
        <v>0</v>
      </c>
      <c r="AR52" s="34">
        <v>0</v>
      </c>
      <c r="AS52" s="34">
        <f>(AK52+AM52+AO52+AQ52)/2</f>
        <v>0</v>
      </c>
      <c r="AT52" s="24">
        <f>IF(AQ52=0, 0, AR52/AQ52)</f>
        <v>0</v>
      </c>
      <c r="AU52" s="24" t="str">
        <f>IF(AR52&lt;= 0.01, "0%", IF(AR52 &gt; 1, AR52, AR52 * 100) &amp; "%")</f>
        <v>0%</v>
      </c>
      <c r="AV52" s="24">
        <f t="shared" si="7"/>
        <v>0</v>
      </c>
      <c r="AW52" s="26" t="s">
        <v>192</v>
      </c>
      <c r="AX52" s="26"/>
      <c r="AY52" s="32">
        <v>0</v>
      </c>
      <c r="AZ52" s="32"/>
      <c r="BA52" s="32">
        <v>0</v>
      </c>
      <c r="BB52" s="32"/>
      <c r="BC52" s="32">
        <v>0</v>
      </c>
      <c r="BD52" s="32"/>
      <c r="BE52" s="32">
        <v>0</v>
      </c>
      <c r="BF52" s="32"/>
      <c r="BG52" s="22">
        <f t="shared" ref="BG52:BH52" si="195">(AY52+BA52+BC52+BE52)</f>
        <v>0</v>
      </c>
      <c r="BH52" s="22">
        <f t="shared" si="195"/>
        <v>0</v>
      </c>
      <c r="BI52" s="23" t="str">
        <f t="shared" ref="BI52:BI53" si="196">IF(BF52&gt; 1, IF(BF52 = BG52, "100%", BF52 &amp; "%"), IF(BF52 &lt;= 0.01, "0%", BF52 * 100 &amp; "%"))</f>
        <v>0%</v>
      </c>
      <c r="BJ52" s="24">
        <f t="shared" ref="BJ52:BK52" si="197">IF(BF52=0, 0, BG52/BF52)</f>
        <v>0</v>
      </c>
      <c r="BK52" s="24">
        <f t="shared" si="197"/>
        <v>0</v>
      </c>
      <c r="BL52" s="26" t="s">
        <v>192</v>
      </c>
      <c r="BM52" s="25" t="s">
        <v>351</v>
      </c>
      <c r="BN52" s="27">
        <v>0</v>
      </c>
      <c r="BO52" s="27">
        <v>0</v>
      </c>
      <c r="BP52" s="27">
        <v>0</v>
      </c>
      <c r="BQ52" s="27">
        <v>0</v>
      </c>
      <c r="BR52" s="27">
        <f t="shared" ref="BR52:BS52" si="198">+BN52+BP52</f>
        <v>0</v>
      </c>
      <c r="BS52" s="27">
        <f t="shared" si="198"/>
        <v>0</v>
      </c>
      <c r="BT52" s="20" t="str">
        <f t="shared" si="13"/>
        <v/>
      </c>
      <c r="BU52" s="27">
        <v>0</v>
      </c>
      <c r="BV52" s="27">
        <v>0</v>
      </c>
      <c r="BW52" s="27">
        <v>0</v>
      </c>
      <c r="BX52" s="27">
        <v>0</v>
      </c>
      <c r="BY52" s="28" t="str">
        <f t="shared" si="149"/>
        <v/>
      </c>
      <c r="BZ52" s="27">
        <v>0</v>
      </c>
      <c r="CA52" s="20">
        <v>0</v>
      </c>
      <c r="CB52" s="29">
        <v>300000000</v>
      </c>
      <c r="CC52" s="29">
        <v>0</v>
      </c>
      <c r="CD52" s="29">
        <v>300000000</v>
      </c>
    </row>
    <row r="53" spans="1:82" ht="54" customHeight="1">
      <c r="A53" s="12" t="s">
        <v>95</v>
      </c>
      <c r="B53" s="13">
        <v>0.23499999999999999</v>
      </c>
      <c r="C53" s="12"/>
      <c r="D53" s="14">
        <v>21</v>
      </c>
      <c r="E53" s="16">
        <v>2102</v>
      </c>
      <c r="F53" s="14">
        <v>6</v>
      </c>
      <c r="G53" s="14" t="s">
        <v>327</v>
      </c>
      <c r="H53" s="14">
        <v>1900</v>
      </c>
      <c r="I53" s="14">
        <v>6.1</v>
      </c>
      <c r="J53" s="14" t="s">
        <v>328</v>
      </c>
      <c r="K53" s="14" t="s">
        <v>352</v>
      </c>
      <c r="L53" s="14" t="s">
        <v>353</v>
      </c>
      <c r="M53" s="14" t="s">
        <v>354</v>
      </c>
      <c r="N53" s="14" t="s">
        <v>355</v>
      </c>
      <c r="O53" s="16">
        <v>2102071</v>
      </c>
      <c r="P53" s="17">
        <v>2024257990006</v>
      </c>
      <c r="Q53" s="14" t="s">
        <v>332</v>
      </c>
      <c r="R53" s="18">
        <v>52</v>
      </c>
      <c r="S53" s="14" t="s">
        <v>356</v>
      </c>
      <c r="T53" s="14" t="s">
        <v>357</v>
      </c>
      <c r="U53" s="14" t="s">
        <v>88</v>
      </c>
      <c r="V53" s="14" t="s">
        <v>89</v>
      </c>
      <c r="W53" s="14" t="s">
        <v>358</v>
      </c>
      <c r="X53" s="14" t="s">
        <v>206</v>
      </c>
      <c r="Y53" s="19"/>
      <c r="Z53" s="14">
        <f t="shared" si="194"/>
        <v>151</v>
      </c>
      <c r="AA53" s="20">
        <f t="shared" si="1"/>
        <v>0.86092715231788075</v>
      </c>
      <c r="AB53" s="20">
        <f t="shared" si="2"/>
        <v>0</v>
      </c>
      <c r="AC53" s="21"/>
      <c r="AD53" s="21"/>
      <c r="AE53" s="21">
        <f t="shared" si="3"/>
        <v>0.12913907284768211</v>
      </c>
      <c r="AF53" s="26">
        <v>130</v>
      </c>
      <c r="AG53" s="26">
        <v>21</v>
      </c>
      <c r="AH53" s="26">
        <v>0</v>
      </c>
      <c r="AI53" s="26">
        <v>0</v>
      </c>
      <c r="AJ53" s="26"/>
      <c r="AK53" s="26"/>
      <c r="AL53" s="26"/>
      <c r="AM53" s="26"/>
      <c r="AN53" s="29">
        <v>1E-3</v>
      </c>
      <c r="AO53" s="26">
        <v>0</v>
      </c>
      <c r="AP53" s="26">
        <v>130</v>
      </c>
      <c r="AQ53" s="26">
        <v>130</v>
      </c>
      <c r="AR53" s="22">
        <f t="shared" ref="AR53:AS53" si="199">(AJ53+AL53+AN53+AP53)</f>
        <v>130.001</v>
      </c>
      <c r="AS53" s="22">
        <f t="shared" si="199"/>
        <v>130</v>
      </c>
      <c r="AT53" s="22">
        <f t="shared" ref="AT53:AT56" si="200">AS53/AR53</f>
        <v>0.99999230775147885</v>
      </c>
      <c r="AU53" s="23" t="str">
        <f t="shared" ref="AU53:AU56" si="201">MIN((AR53 /AR53) * 100, 100) &amp; "%"</f>
        <v>100%</v>
      </c>
      <c r="AV53" s="24">
        <f t="shared" si="7"/>
        <v>0.99999230775147885</v>
      </c>
      <c r="AW53" s="14" t="s">
        <v>92</v>
      </c>
      <c r="AX53" s="30" t="s">
        <v>359</v>
      </c>
      <c r="AY53" s="32">
        <v>0</v>
      </c>
      <c r="AZ53" s="32"/>
      <c r="BA53" s="32">
        <v>0</v>
      </c>
      <c r="BB53" s="32"/>
      <c r="BC53" s="32">
        <v>0</v>
      </c>
      <c r="BD53" s="32"/>
      <c r="BE53" s="32">
        <v>0</v>
      </c>
      <c r="BF53" s="32"/>
      <c r="BG53" s="36">
        <f t="shared" ref="BG53:BH53" si="202">(AY53+BA53+BC53+BE53)</f>
        <v>0</v>
      </c>
      <c r="BH53" s="36">
        <f t="shared" si="202"/>
        <v>0</v>
      </c>
      <c r="BI53" s="37" t="str">
        <f t="shared" si="196"/>
        <v>0%</v>
      </c>
      <c r="BJ53" s="38">
        <f t="shared" ref="BJ53:BK53" si="203">IF(BF53=0, 0, BG53/BF53)</f>
        <v>0</v>
      </c>
      <c r="BK53" s="38">
        <f t="shared" si="203"/>
        <v>0</v>
      </c>
      <c r="BL53" s="26" t="s">
        <v>192</v>
      </c>
      <c r="BM53" s="25" t="s">
        <v>360</v>
      </c>
      <c r="BN53" s="27">
        <v>30500000</v>
      </c>
      <c r="BO53" s="27">
        <v>0</v>
      </c>
      <c r="BP53" s="27">
        <v>114000000</v>
      </c>
      <c r="BQ53" s="27">
        <v>114000000</v>
      </c>
      <c r="BR53" s="27">
        <f t="shared" ref="BR53:BS53" si="204">+BN53+BP53</f>
        <v>144500000</v>
      </c>
      <c r="BS53" s="27">
        <f t="shared" si="204"/>
        <v>114000000</v>
      </c>
      <c r="BT53" s="20">
        <f t="shared" si="13"/>
        <v>0.78892733564013839</v>
      </c>
      <c r="BU53" s="27">
        <v>30500000</v>
      </c>
      <c r="BV53" s="27">
        <v>0</v>
      </c>
      <c r="BW53" s="27">
        <v>0</v>
      </c>
      <c r="BX53" s="27">
        <v>0</v>
      </c>
      <c r="BY53" s="28" t="str">
        <f t="shared" si="149"/>
        <v/>
      </c>
      <c r="BZ53" s="27">
        <v>114000000</v>
      </c>
      <c r="CA53" s="20">
        <v>0</v>
      </c>
      <c r="CB53" s="29">
        <v>0</v>
      </c>
      <c r="CC53" s="29">
        <v>0</v>
      </c>
      <c r="CD53" s="29">
        <v>114000000</v>
      </c>
    </row>
    <row r="54" spans="1:82" ht="54" customHeight="1">
      <c r="A54" s="12" t="s">
        <v>95</v>
      </c>
      <c r="B54" s="13">
        <v>0.23499999999999999</v>
      </c>
      <c r="C54" s="12"/>
      <c r="D54" s="14">
        <v>24</v>
      </c>
      <c r="E54" s="16">
        <v>2402</v>
      </c>
      <c r="F54" s="14">
        <v>7</v>
      </c>
      <c r="G54" s="14" t="s">
        <v>361</v>
      </c>
      <c r="H54" s="15" t="s">
        <v>362</v>
      </c>
      <c r="I54" s="14">
        <v>7.1</v>
      </c>
      <c r="J54" s="14" t="s">
        <v>363</v>
      </c>
      <c r="K54" s="14" t="s">
        <v>364</v>
      </c>
      <c r="L54" s="14" t="s">
        <v>365</v>
      </c>
      <c r="M54" s="14" t="s">
        <v>366</v>
      </c>
      <c r="N54" s="14" t="s">
        <v>367</v>
      </c>
      <c r="O54" s="16">
        <v>2402042</v>
      </c>
      <c r="P54" s="17">
        <v>2024257990007</v>
      </c>
      <c r="Q54" s="14" t="s">
        <v>368</v>
      </c>
      <c r="R54" s="18">
        <v>53</v>
      </c>
      <c r="S54" s="14" t="s">
        <v>369</v>
      </c>
      <c r="T54" s="14" t="s">
        <v>370</v>
      </c>
      <c r="U54" s="14" t="s">
        <v>250</v>
      </c>
      <c r="V54" s="14" t="s">
        <v>89</v>
      </c>
      <c r="W54" s="14" t="s">
        <v>371</v>
      </c>
      <c r="X54" s="14" t="s">
        <v>206</v>
      </c>
      <c r="Y54" s="19"/>
      <c r="Z54" s="18">
        <f t="shared" si="194"/>
        <v>2000</v>
      </c>
      <c r="AA54" s="20">
        <f t="shared" si="1"/>
        <v>0.8155</v>
      </c>
      <c r="AB54" s="20">
        <f t="shared" si="2"/>
        <v>1E-4</v>
      </c>
      <c r="AC54" s="21"/>
      <c r="AD54" s="21"/>
      <c r="AE54" s="21">
        <f t="shared" si="3"/>
        <v>0.12235999999999998</v>
      </c>
      <c r="AF54" s="29">
        <v>1500</v>
      </c>
      <c r="AG54" s="29">
        <v>500</v>
      </c>
      <c r="AH54" s="29">
        <v>0</v>
      </c>
      <c r="AI54" s="29">
        <v>0</v>
      </c>
      <c r="AJ54" s="26"/>
      <c r="AK54" s="26"/>
      <c r="AL54" s="26"/>
      <c r="AM54" s="26"/>
      <c r="AN54" s="26">
        <v>1500</v>
      </c>
      <c r="AO54" s="26">
        <v>1631</v>
      </c>
      <c r="AP54" s="26">
        <v>0</v>
      </c>
      <c r="AQ54" s="26">
        <v>0</v>
      </c>
      <c r="AR54" s="22">
        <f t="shared" ref="AR54:AS54" si="205">(AJ54+AL54+AN54+AP54)</f>
        <v>1500</v>
      </c>
      <c r="AS54" s="22">
        <f t="shared" si="205"/>
        <v>1631</v>
      </c>
      <c r="AT54" s="22">
        <f t="shared" si="200"/>
        <v>1.0873333333333333</v>
      </c>
      <c r="AU54" s="23" t="str">
        <f t="shared" si="201"/>
        <v>100%</v>
      </c>
      <c r="AV54" s="24">
        <f t="shared" si="7"/>
        <v>1.0873333333333333</v>
      </c>
      <c r="AW54" s="14" t="s">
        <v>92</v>
      </c>
      <c r="AX54" s="30" t="s">
        <v>372</v>
      </c>
      <c r="AY54" s="26">
        <v>0</v>
      </c>
      <c r="AZ54" s="26">
        <v>0</v>
      </c>
      <c r="BA54" s="26">
        <v>0</v>
      </c>
      <c r="BB54" s="26">
        <v>0</v>
      </c>
      <c r="BC54" s="26">
        <v>200</v>
      </c>
      <c r="BD54" s="26">
        <v>100</v>
      </c>
      <c r="BE54" s="26">
        <v>300</v>
      </c>
      <c r="BF54" s="26"/>
      <c r="BG54" s="22">
        <f t="shared" ref="BG54:BH54" si="206">(AY54+BA54+BC54+BE54)</f>
        <v>500</v>
      </c>
      <c r="BH54" s="22">
        <f t="shared" si="206"/>
        <v>100</v>
      </c>
      <c r="BI54" s="22">
        <f t="shared" ref="BI54:BI57" si="207">BH54/BG54</f>
        <v>0.2</v>
      </c>
      <c r="BJ54" s="23" t="str">
        <f t="shared" ref="BJ54:BJ57" si="208">MIN((BG54 /BG54) * 100, 100) &amp; "%"</f>
        <v>100%</v>
      </c>
      <c r="BK54" s="24">
        <f t="shared" ref="BK54:BK57" si="209">IF(BG54=0, 0, BH54/BG54)</f>
        <v>0.2</v>
      </c>
      <c r="BL54" s="22" t="s">
        <v>92</v>
      </c>
      <c r="BM54" s="25" t="s">
        <v>373</v>
      </c>
      <c r="BN54" s="27">
        <v>500000000</v>
      </c>
      <c r="BO54" s="27">
        <v>20750000</v>
      </c>
      <c r="BP54" s="27">
        <v>10833334</v>
      </c>
      <c r="BQ54" s="27">
        <v>10833334</v>
      </c>
      <c r="BR54" s="27">
        <f t="shared" ref="BR54:BS54" si="210">+BN54+BP54</f>
        <v>510833334</v>
      </c>
      <c r="BS54" s="27">
        <f t="shared" si="210"/>
        <v>31583334</v>
      </c>
      <c r="BT54" s="20">
        <f t="shared" si="13"/>
        <v>6.1827081159116372E-2</v>
      </c>
      <c r="BU54" s="27">
        <v>500000000</v>
      </c>
      <c r="BV54" s="27">
        <v>20750000</v>
      </c>
      <c r="BW54" s="27">
        <v>20750000</v>
      </c>
      <c r="BX54" s="27">
        <v>15219950</v>
      </c>
      <c r="BY54" s="28">
        <f t="shared" si="149"/>
        <v>1</v>
      </c>
      <c r="BZ54" s="27">
        <v>900000000</v>
      </c>
      <c r="CA54" s="20">
        <v>1200000000</v>
      </c>
      <c r="CB54" s="29">
        <v>2300000000</v>
      </c>
      <c r="CC54" s="29">
        <v>1200000000</v>
      </c>
      <c r="CD54" s="29">
        <v>5600000000</v>
      </c>
    </row>
    <row r="55" spans="1:82" ht="54" customHeight="1">
      <c r="A55" s="12" t="s">
        <v>95</v>
      </c>
      <c r="B55" s="13">
        <v>0.23499999999999999</v>
      </c>
      <c r="C55" s="12"/>
      <c r="D55" s="14">
        <v>24</v>
      </c>
      <c r="E55" s="16">
        <v>2402</v>
      </c>
      <c r="F55" s="14">
        <v>7</v>
      </c>
      <c r="G55" s="14" t="s">
        <v>361</v>
      </c>
      <c r="H55" s="15" t="s">
        <v>362</v>
      </c>
      <c r="I55" s="14">
        <v>7.1</v>
      </c>
      <c r="J55" s="14" t="s">
        <v>363</v>
      </c>
      <c r="K55" s="14" t="s">
        <v>364</v>
      </c>
      <c r="L55" s="14" t="s">
        <v>365</v>
      </c>
      <c r="M55" s="14" t="s">
        <v>366</v>
      </c>
      <c r="N55" s="14" t="s">
        <v>367</v>
      </c>
      <c r="O55" s="16">
        <v>2402112</v>
      </c>
      <c r="P55" s="17">
        <v>2024257990007</v>
      </c>
      <c r="Q55" s="14" t="s">
        <v>368</v>
      </c>
      <c r="R55" s="18">
        <v>54</v>
      </c>
      <c r="S55" s="14" t="s">
        <v>374</v>
      </c>
      <c r="T55" s="14" t="s">
        <v>375</v>
      </c>
      <c r="U55" s="14" t="s">
        <v>217</v>
      </c>
      <c r="V55" s="14" t="s">
        <v>89</v>
      </c>
      <c r="W55" s="14" t="s">
        <v>376</v>
      </c>
      <c r="X55" s="14" t="s">
        <v>206</v>
      </c>
      <c r="Y55" s="19"/>
      <c r="Z55" s="14">
        <f>SUM(AF55:AI55)/4</f>
        <v>113</v>
      </c>
      <c r="AA55" s="20">
        <f t="shared" si="1"/>
        <v>0.75221238938053092</v>
      </c>
      <c r="AB55" s="20">
        <f t="shared" si="2"/>
        <v>8.9122092567937988E-3</v>
      </c>
      <c r="AC55" s="21"/>
      <c r="AD55" s="21"/>
      <c r="AE55" s="21">
        <f t="shared" si="3"/>
        <v>0.11595113164695746</v>
      </c>
      <c r="AF55" s="29">
        <v>113</v>
      </c>
      <c r="AG55" s="29">
        <v>113</v>
      </c>
      <c r="AH55" s="29">
        <v>113</v>
      </c>
      <c r="AI55" s="29">
        <v>113</v>
      </c>
      <c r="AJ55" s="26"/>
      <c r="AK55" s="26"/>
      <c r="AL55" s="26"/>
      <c r="AM55" s="26"/>
      <c r="AN55" s="26">
        <v>17</v>
      </c>
      <c r="AO55" s="26">
        <v>17</v>
      </c>
      <c r="AP55" s="26">
        <v>96</v>
      </c>
      <c r="AQ55" s="26">
        <v>68</v>
      </c>
      <c r="AR55" s="22">
        <f t="shared" ref="AR55:AS55" si="211">(AJ55+AL55+AN55+AP55)</f>
        <v>113</v>
      </c>
      <c r="AS55" s="22">
        <f t="shared" si="211"/>
        <v>85</v>
      </c>
      <c r="AT55" s="22">
        <f t="shared" si="200"/>
        <v>0.75221238938053092</v>
      </c>
      <c r="AU55" s="23" t="str">
        <f t="shared" si="201"/>
        <v>100%</v>
      </c>
      <c r="AV55" s="24">
        <f t="shared" si="7"/>
        <v>0.75221238938053092</v>
      </c>
      <c r="AW55" s="14" t="s">
        <v>92</v>
      </c>
      <c r="AX55" s="30" t="s">
        <v>377</v>
      </c>
      <c r="AY55" s="26">
        <v>15</v>
      </c>
      <c r="AZ55" s="26">
        <v>15.8</v>
      </c>
      <c r="BA55" s="26">
        <v>30</v>
      </c>
      <c r="BB55" s="26">
        <v>30</v>
      </c>
      <c r="BC55" s="26">
        <v>68</v>
      </c>
      <c r="BD55" s="26">
        <v>68</v>
      </c>
      <c r="BE55" s="26">
        <v>0</v>
      </c>
      <c r="BF55" s="26"/>
      <c r="BG55" s="22">
        <f t="shared" ref="BG55:BH55" si="212">(AY55+BA55+BC55+BE55)</f>
        <v>113</v>
      </c>
      <c r="BH55" s="22">
        <f t="shared" si="212"/>
        <v>113.8</v>
      </c>
      <c r="BI55" s="22">
        <f t="shared" si="207"/>
        <v>1.0070796460176992</v>
      </c>
      <c r="BJ55" s="23" t="str">
        <f t="shared" si="208"/>
        <v>100%</v>
      </c>
      <c r="BK55" s="24">
        <f t="shared" si="209"/>
        <v>1.0070796460176992</v>
      </c>
      <c r="BL55" s="22" t="s">
        <v>92</v>
      </c>
      <c r="BM55" s="25" t="s">
        <v>378</v>
      </c>
      <c r="BN55" s="27">
        <v>2814425187</v>
      </c>
      <c r="BO55" s="27">
        <v>402705000</v>
      </c>
      <c r="BP55" s="27">
        <v>585161616</v>
      </c>
      <c r="BQ55" s="27">
        <v>585161616</v>
      </c>
      <c r="BR55" s="27">
        <f t="shared" ref="BR55:BS55" si="213">+BN55+BP55</f>
        <v>3399586803</v>
      </c>
      <c r="BS55" s="27">
        <f t="shared" si="213"/>
        <v>987866616</v>
      </c>
      <c r="BT55" s="20">
        <f t="shared" si="13"/>
        <v>0.29058431899083942</v>
      </c>
      <c r="BU55" s="27">
        <v>2214425187</v>
      </c>
      <c r="BV55" s="27">
        <v>2814425187</v>
      </c>
      <c r="BW55" s="27">
        <v>2187255501</v>
      </c>
      <c r="BX55" s="27">
        <v>1206781056</v>
      </c>
      <c r="BY55" s="28">
        <f t="shared" si="149"/>
        <v>0.77715887105582526</v>
      </c>
      <c r="BZ55" s="27">
        <v>2000000000</v>
      </c>
      <c r="CA55" s="20">
        <v>2040000000</v>
      </c>
      <c r="CB55" s="29">
        <v>2080800000</v>
      </c>
      <c r="CC55" s="29">
        <v>2143224000</v>
      </c>
      <c r="CD55" s="29">
        <v>8264024000</v>
      </c>
    </row>
    <row r="56" spans="1:82" ht="54" customHeight="1">
      <c r="A56" s="12" t="s">
        <v>78</v>
      </c>
      <c r="B56" s="13">
        <v>0.23499999999999999</v>
      </c>
      <c r="C56" s="12"/>
      <c r="D56" s="14">
        <v>24</v>
      </c>
      <c r="E56" s="16">
        <v>2402</v>
      </c>
      <c r="F56" s="14">
        <v>7</v>
      </c>
      <c r="G56" s="14" t="s">
        <v>361</v>
      </c>
      <c r="H56" s="15" t="s">
        <v>362</v>
      </c>
      <c r="I56" s="14">
        <v>7.1</v>
      </c>
      <c r="J56" s="14" t="s">
        <v>363</v>
      </c>
      <c r="K56" s="14" t="s">
        <v>364</v>
      </c>
      <c r="L56" s="14" t="s">
        <v>365</v>
      </c>
      <c r="M56" s="14" t="s">
        <v>366</v>
      </c>
      <c r="N56" s="14" t="s">
        <v>367</v>
      </c>
      <c r="O56" s="16">
        <v>2402115</v>
      </c>
      <c r="P56" s="17">
        <v>2024257990007</v>
      </c>
      <c r="Q56" s="14" t="s">
        <v>368</v>
      </c>
      <c r="R56" s="18">
        <v>55</v>
      </c>
      <c r="S56" s="14" t="s">
        <v>379</v>
      </c>
      <c r="T56" s="14" t="s">
        <v>380</v>
      </c>
      <c r="U56" s="14" t="s">
        <v>217</v>
      </c>
      <c r="V56" s="14" t="s">
        <v>89</v>
      </c>
      <c r="W56" s="14" t="s">
        <v>381</v>
      </c>
      <c r="X56" s="14" t="s">
        <v>206</v>
      </c>
      <c r="Y56" s="19"/>
      <c r="Z56" s="18">
        <f t="shared" ref="Z56:Z57" si="214">SUM(AF56:AI56)</f>
        <v>16500</v>
      </c>
      <c r="AA56" s="20">
        <f t="shared" si="1"/>
        <v>7.2727272727272724E-2</v>
      </c>
      <c r="AB56" s="20">
        <f t="shared" si="2"/>
        <v>2.6986849628359064E-5</v>
      </c>
      <c r="AC56" s="21"/>
      <c r="AD56" s="21"/>
      <c r="AE56" s="21">
        <f t="shared" si="3"/>
        <v>1.0918536306460834E-2</v>
      </c>
      <c r="AF56" s="29">
        <v>1200</v>
      </c>
      <c r="AG56" s="29">
        <v>5300</v>
      </c>
      <c r="AH56" s="29">
        <v>8000</v>
      </c>
      <c r="AI56" s="29">
        <v>2000</v>
      </c>
      <c r="AJ56" s="26"/>
      <c r="AK56" s="26"/>
      <c r="AL56" s="26"/>
      <c r="AM56" s="26"/>
      <c r="AN56" s="44">
        <v>1E-3</v>
      </c>
      <c r="AO56" s="26">
        <v>0</v>
      </c>
      <c r="AP56" s="26">
        <v>1200</v>
      </c>
      <c r="AQ56" s="26">
        <v>1200</v>
      </c>
      <c r="AR56" s="22">
        <f t="shared" ref="AR56:AS56" si="215">(AJ56+AL56+AN56+AP56)</f>
        <v>1200.001</v>
      </c>
      <c r="AS56" s="22">
        <f t="shared" si="215"/>
        <v>1200</v>
      </c>
      <c r="AT56" s="22">
        <f t="shared" si="200"/>
        <v>0.99999916666736111</v>
      </c>
      <c r="AU56" s="23" t="str">
        <f t="shared" si="201"/>
        <v>100%</v>
      </c>
      <c r="AV56" s="24">
        <f t="shared" si="7"/>
        <v>0.99999916666736111</v>
      </c>
      <c r="AW56" s="14" t="s">
        <v>92</v>
      </c>
      <c r="AX56" s="30" t="s">
        <v>382</v>
      </c>
      <c r="AY56" s="26">
        <v>0.3</v>
      </c>
      <c r="AZ56" s="26">
        <v>0.36</v>
      </c>
      <c r="BA56" s="26">
        <v>3</v>
      </c>
      <c r="BB56" s="26">
        <v>2</v>
      </c>
      <c r="BC56" s="26">
        <v>1</v>
      </c>
      <c r="BD56" s="26">
        <v>0</v>
      </c>
      <c r="BE56" s="26">
        <v>1</v>
      </c>
      <c r="BF56" s="26"/>
      <c r="BG56" s="22">
        <f t="shared" ref="BG56:BH56" si="216">(AY56+BA56+BC56+BE56)</f>
        <v>5.3</v>
      </c>
      <c r="BH56" s="22">
        <f t="shared" si="216"/>
        <v>2.36</v>
      </c>
      <c r="BI56" s="22">
        <f t="shared" si="207"/>
        <v>0.44528301886792454</v>
      </c>
      <c r="BJ56" s="23" t="str">
        <f t="shared" si="208"/>
        <v>100%</v>
      </c>
      <c r="BK56" s="24">
        <f t="shared" si="209"/>
        <v>0.44528301886792454</v>
      </c>
      <c r="BL56" s="26" t="s">
        <v>92</v>
      </c>
      <c r="BM56" s="25" t="s">
        <v>383</v>
      </c>
      <c r="BN56" s="27">
        <v>720758148</v>
      </c>
      <c r="BO56" s="27">
        <v>53750000</v>
      </c>
      <c r="BP56" s="27">
        <v>12000000</v>
      </c>
      <c r="BQ56" s="27">
        <v>12000000</v>
      </c>
      <c r="BR56" s="27">
        <f t="shared" ref="BR56:BS56" si="217">+BN56+BP56</f>
        <v>732758148</v>
      </c>
      <c r="BS56" s="27">
        <f t="shared" si="217"/>
        <v>65750000</v>
      </c>
      <c r="BT56" s="20">
        <f t="shared" si="13"/>
        <v>8.9729469647603297E-2</v>
      </c>
      <c r="BU56" s="27">
        <v>720758148</v>
      </c>
      <c r="BV56" s="27">
        <v>1469360479</v>
      </c>
      <c r="BW56" s="27">
        <v>1466429358</v>
      </c>
      <c r="BX56" s="27">
        <v>41625000</v>
      </c>
      <c r="BY56" s="28">
        <f t="shared" si="149"/>
        <v>0.99800517228965158</v>
      </c>
      <c r="BZ56" s="27">
        <v>1900108917</v>
      </c>
      <c r="CA56" s="20">
        <v>1941115895</v>
      </c>
      <c r="CB56" s="29">
        <v>1983209903</v>
      </c>
      <c r="CC56" s="29">
        <v>2034496383</v>
      </c>
      <c r="CD56" s="29">
        <v>7858931099</v>
      </c>
    </row>
    <row r="57" spans="1:82" ht="54" customHeight="1">
      <c r="A57" s="12" t="s">
        <v>95</v>
      </c>
      <c r="B57" s="13">
        <v>0.23499999999999999</v>
      </c>
      <c r="C57" s="12"/>
      <c r="D57" s="14">
        <v>24</v>
      </c>
      <c r="E57" s="16">
        <v>2402</v>
      </c>
      <c r="F57" s="14">
        <v>7</v>
      </c>
      <c r="G57" s="14" t="s">
        <v>361</v>
      </c>
      <c r="H57" s="15" t="s">
        <v>362</v>
      </c>
      <c r="I57" s="14">
        <v>7.1</v>
      </c>
      <c r="J57" s="14" t="s">
        <v>363</v>
      </c>
      <c r="K57" s="14" t="s">
        <v>364</v>
      </c>
      <c r="L57" s="14" t="s">
        <v>365</v>
      </c>
      <c r="M57" s="14" t="s">
        <v>366</v>
      </c>
      <c r="N57" s="14" t="s">
        <v>367</v>
      </c>
      <c r="O57" s="16">
        <v>2402113</v>
      </c>
      <c r="P57" s="17">
        <v>2024257990007</v>
      </c>
      <c r="Q57" s="14" t="s">
        <v>368</v>
      </c>
      <c r="R57" s="18">
        <v>56</v>
      </c>
      <c r="S57" s="14" t="s">
        <v>384</v>
      </c>
      <c r="T57" s="14" t="s">
        <v>385</v>
      </c>
      <c r="U57" s="14" t="s">
        <v>250</v>
      </c>
      <c r="V57" s="14" t="s">
        <v>89</v>
      </c>
      <c r="W57" s="14" t="s">
        <v>386</v>
      </c>
      <c r="X57" s="14" t="s">
        <v>206</v>
      </c>
      <c r="Y57" s="19"/>
      <c r="Z57" s="18">
        <f t="shared" si="214"/>
        <v>700</v>
      </c>
      <c r="AA57" s="20">
        <f t="shared" si="1"/>
        <v>0</v>
      </c>
      <c r="AB57" s="20">
        <f t="shared" si="2"/>
        <v>4.2857142857142855E-4</v>
      </c>
      <c r="AC57" s="21"/>
      <c r="AD57" s="21"/>
      <c r="AE57" s="21">
        <f t="shared" si="3"/>
        <v>1.4999999999999999E-4</v>
      </c>
      <c r="AF57" s="29">
        <v>0</v>
      </c>
      <c r="AG57" s="29">
        <v>200</v>
      </c>
      <c r="AH57" s="29">
        <v>300</v>
      </c>
      <c r="AI57" s="29">
        <v>200</v>
      </c>
      <c r="AJ57" s="26"/>
      <c r="AK57" s="26"/>
      <c r="AL57" s="26"/>
      <c r="AM57" s="26"/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f>(AK57+AM57+AO57+AQ57)/2</f>
        <v>0</v>
      </c>
      <c r="AT57" s="24">
        <f t="shared" ref="AT57:AT59" si="218">IF(AQ57=0, 0, AR57/AQ57)</f>
        <v>0</v>
      </c>
      <c r="AU57" s="23" t="str">
        <f t="shared" ref="AU57:AU58" si="219">IF(AR57&gt; 1, IF(AR57 = AS57, "100%", AR57 &amp; "%"), IF(AR57 &lt;= 0.01, "0%", AR57 * 100 &amp; "%"))</f>
        <v>0%</v>
      </c>
      <c r="AV57" s="24">
        <f t="shared" si="7"/>
        <v>0</v>
      </c>
      <c r="AW57" s="26" t="s">
        <v>192</v>
      </c>
      <c r="AX57" s="26"/>
      <c r="AY57" s="26">
        <v>0</v>
      </c>
      <c r="AZ57" s="26">
        <v>0</v>
      </c>
      <c r="BA57" s="26">
        <v>0</v>
      </c>
      <c r="BB57" s="26">
        <v>0</v>
      </c>
      <c r="BC57" s="26">
        <v>100</v>
      </c>
      <c r="BD57" s="26">
        <v>60</v>
      </c>
      <c r="BE57" s="26">
        <v>100</v>
      </c>
      <c r="BF57" s="26"/>
      <c r="BG57" s="22">
        <f t="shared" ref="BG57:BH57" si="220">(AY57+BA57+BC57+BE57)</f>
        <v>200</v>
      </c>
      <c r="BH57" s="22">
        <f t="shared" si="220"/>
        <v>60</v>
      </c>
      <c r="BI57" s="22">
        <f t="shared" si="207"/>
        <v>0.3</v>
      </c>
      <c r="BJ57" s="23" t="str">
        <f t="shared" si="208"/>
        <v>100%</v>
      </c>
      <c r="BK57" s="24">
        <f t="shared" si="209"/>
        <v>0.3</v>
      </c>
      <c r="BL57" s="26" t="s">
        <v>92</v>
      </c>
      <c r="BM57" s="25" t="s">
        <v>387</v>
      </c>
      <c r="BN57" s="27">
        <v>584868720</v>
      </c>
      <c r="BO57" s="27">
        <v>20000000</v>
      </c>
      <c r="BP57" s="27">
        <v>21166667</v>
      </c>
      <c r="BQ57" s="27">
        <v>21166667</v>
      </c>
      <c r="BR57" s="27">
        <f t="shared" ref="BR57:BS57" si="221">+BN57+BP57</f>
        <v>606035387</v>
      </c>
      <c r="BS57" s="27">
        <f t="shared" si="221"/>
        <v>41166667</v>
      </c>
      <c r="BT57" s="20">
        <f t="shared" si="13"/>
        <v>6.7927827125382034E-2</v>
      </c>
      <c r="BU57" s="27">
        <v>584868720</v>
      </c>
      <c r="BV57" s="27">
        <v>1126106501</v>
      </c>
      <c r="BW57" s="27">
        <v>1126106501</v>
      </c>
      <c r="BX57" s="27">
        <v>20000000</v>
      </c>
      <c r="BY57" s="28">
        <f t="shared" si="149"/>
        <v>1</v>
      </c>
      <c r="BZ57" s="27">
        <v>2724545117</v>
      </c>
      <c r="CA57" s="20">
        <v>2520772373</v>
      </c>
      <c r="CB57" s="29">
        <v>2315363237</v>
      </c>
      <c r="CC57" s="29">
        <v>2728414041</v>
      </c>
      <c r="CD57" s="29">
        <v>10289094768</v>
      </c>
    </row>
    <row r="58" spans="1:82" ht="54" customHeight="1">
      <c r="A58" s="12" t="s">
        <v>95</v>
      </c>
      <c r="B58" s="13">
        <v>0.23499999999999999</v>
      </c>
      <c r="C58" s="12"/>
      <c r="D58" s="14">
        <v>24</v>
      </c>
      <c r="E58" s="16">
        <v>2402</v>
      </c>
      <c r="F58" s="14">
        <v>7</v>
      </c>
      <c r="G58" s="14" t="s">
        <v>361</v>
      </c>
      <c r="H58" s="15" t="s">
        <v>362</v>
      </c>
      <c r="I58" s="14">
        <v>7.1</v>
      </c>
      <c r="J58" s="14" t="s">
        <v>363</v>
      </c>
      <c r="K58" s="14" t="s">
        <v>364</v>
      </c>
      <c r="L58" s="14" t="s">
        <v>365</v>
      </c>
      <c r="M58" s="14" t="s">
        <v>366</v>
      </c>
      <c r="N58" s="14" t="s">
        <v>367</v>
      </c>
      <c r="O58" s="16">
        <v>2402041</v>
      </c>
      <c r="P58" s="17">
        <v>2024257990007</v>
      </c>
      <c r="Q58" s="14" t="s">
        <v>368</v>
      </c>
      <c r="R58" s="18">
        <v>57</v>
      </c>
      <c r="S58" s="14" t="s">
        <v>388</v>
      </c>
      <c r="T58" s="14">
        <v>1</v>
      </c>
      <c r="U58" s="14" t="s">
        <v>88</v>
      </c>
      <c r="V58" s="14" t="s">
        <v>89</v>
      </c>
      <c r="W58" s="14" t="s">
        <v>389</v>
      </c>
      <c r="X58" s="14" t="s">
        <v>206</v>
      </c>
      <c r="Y58" s="19"/>
      <c r="Z58" s="18">
        <f>SUM(AF58:AI58)/3</f>
        <v>1</v>
      </c>
      <c r="AA58" s="20">
        <f t="shared" si="1"/>
        <v>0</v>
      </c>
      <c r="AB58" s="20">
        <f t="shared" si="2"/>
        <v>0</v>
      </c>
      <c r="AC58" s="21"/>
      <c r="AD58" s="21"/>
      <c r="AE58" s="21">
        <f t="shared" si="3"/>
        <v>0</v>
      </c>
      <c r="AF58" s="29">
        <v>0</v>
      </c>
      <c r="AG58" s="29">
        <v>1</v>
      </c>
      <c r="AH58" s="29">
        <v>1</v>
      </c>
      <c r="AI58" s="29">
        <v>1</v>
      </c>
      <c r="AJ58" s="26"/>
      <c r="AK58" s="26"/>
      <c r="AL58" s="26"/>
      <c r="AM58" s="26"/>
      <c r="AN58" s="26">
        <v>0</v>
      </c>
      <c r="AO58" s="26">
        <v>0</v>
      </c>
      <c r="AP58" s="26">
        <v>0</v>
      </c>
      <c r="AQ58" s="26">
        <v>0</v>
      </c>
      <c r="AR58" s="22">
        <v>0</v>
      </c>
      <c r="AS58" s="22">
        <f>(AK58+AM58+AO58+AQ58)</f>
        <v>0</v>
      </c>
      <c r="AT58" s="24">
        <f t="shared" si="218"/>
        <v>0</v>
      </c>
      <c r="AU58" s="23" t="str">
        <f t="shared" si="219"/>
        <v>0%</v>
      </c>
      <c r="AV58" s="24">
        <f t="shared" si="7"/>
        <v>0</v>
      </c>
      <c r="AW58" s="14" t="s">
        <v>192</v>
      </c>
      <c r="AX58" s="26"/>
      <c r="AY58" s="26">
        <v>0</v>
      </c>
      <c r="AZ58" s="26">
        <v>0</v>
      </c>
      <c r="BA58" s="26">
        <v>0</v>
      </c>
      <c r="BB58" s="26">
        <v>0</v>
      </c>
      <c r="BC58" s="26">
        <v>0</v>
      </c>
      <c r="BD58" s="26">
        <v>0</v>
      </c>
      <c r="BE58" s="26">
        <v>0</v>
      </c>
      <c r="BF58" s="26">
        <v>0</v>
      </c>
      <c r="BG58" s="22">
        <f t="shared" ref="BG58:BH58" si="222">(AY58+BA58+BC58+BE58)</f>
        <v>0</v>
      </c>
      <c r="BH58" s="22">
        <f t="shared" si="222"/>
        <v>0</v>
      </c>
      <c r="BI58" s="23" t="str">
        <f t="shared" ref="BI58:BI60" si="223">IF(BF58&gt; 1, IF(BF58 = BG58, "100%", BF58 &amp; "%"), IF(BF58 &lt;= 0.01, "0%", BF58 * 100 &amp; "%"))</f>
        <v>0%</v>
      </c>
      <c r="BJ58" s="24">
        <f t="shared" ref="BJ58:BK58" si="224">IF(BF58=0, 0, BG58/BF58)</f>
        <v>0</v>
      </c>
      <c r="BK58" s="24">
        <f t="shared" si="224"/>
        <v>0</v>
      </c>
      <c r="BL58" s="26" t="s">
        <v>192</v>
      </c>
      <c r="BM58" s="25" t="s">
        <v>390</v>
      </c>
      <c r="BN58" s="27">
        <v>0</v>
      </c>
      <c r="BO58" s="27">
        <v>0</v>
      </c>
      <c r="BP58" s="27">
        <v>0</v>
      </c>
      <c r="BQ58" s="27">
        <v>0</v>
      </c>
      <c r="BR58" s="27">
        <f t="shared" ref="BR58:BS58" si="225">+BN58+BP58</f>
        <v>0</v>
      </c>
      <c r="BS58" s="27">
        <f t="shared" si="225"/>
        <v>0</v>
      </c>
      <c r="BT58" s="20" t="str">
        <f t="shared" si="13"/>
        <v/>
      </c>
      <c r="BU58" s="27">
        <v>0</v>
      </c>
      <c r="BV58" s="27">
        <v>0</v>
      </c>
      <c r="BW58" s="27">
        <v>0</v>
      </c>
      <c r="BX58" s="27">
        <v>0</v>
      </c>
      <c r="BY58" s="28" t="str">
        <f t="shared" si="149"/>
        <v/>
      </c>
      <c r="BZ58" s="27">
        <v>0</v>
      </c>
      <c r="CA58" s="20">
        <v>3500000000</v>
      </c>
      <c r="CB58" s="29">
        <v>1500000000</v>
      </c>
      <c r="CC58" s="29">
        <v>2000000000</v>
      </c>
      <c r="CD58" s="29">
        <v>7000000000</v>
      </c>
    </row>
    <row r="59" spans="1:82" ht="54" customHeight="1">
      <c r="A59" s="12" t="s">
        <v>95</v>
      </c>
      <c r="B59" s="13">
        <v>0.23499999999999999</v>
      </c>
      <c r="C59" s="12"/>
      <c r="D59" s="14">
        <v>24</v>
      </c>
      <c r="E59" s="16">
        <v>2402</v>
      </c>
      <c r="F59" s="14">
        <v>7</v>
      </c>
      <c r="G59" s="14" t="s">
        <v>361</v>
      </c>
      <c r="H59" s="15" t="s">
        <v>362</v>
      </c>
      <c r="I59" s="14">
        <v>7.1</v>
      </c>
      <c r="J59" s="14" t="s">
        <v>363</v>
      </c>
      <c r="K59" s="14" t="s">
        <v>364</v>
      </c>
      <c r="L59" s="14" t="s">
        <v>365</v>
      </c>
      <c r="M59" s="14" t="s">
        <v>366</v>
      </c>
      <c r="N59" s="14" t="s">
        <v>367</v>
      </c>
      <c r="O59" s="16">
        <v>2402056</v>
      </c>
      <c r="P59" s="17">
        <v>2024257990007</v>
      </c>
      <c r="Q59" s="14" t="s">
        <v>368</v>
      </c>
      <c r="R59" s="18">
        <v>58</v>
      </c>
      <c r="S59" s="14" t="s">
        <v>391</v>
      </c>
      <c r="T59" s="14" t="s">
        <v>167</v>
      </c>
      <c r="U59" s="14" t="s">
        <v>88</v>
      </c>
      <c r="V59" s="14" t="s">
        <v>89</v>
      </c>
      <c r="W59" s="14" t="s">
        <v>392</v>
      </c>
      <c r="X59" s="14" t="s">
        <v>206</v>
      </c>
      <c r="Y59" s="19"/>
      <c r="Z59" s="18">
        <f t="shared" ref="Z59:Z80" si="226">SUM(AF59:AI59)</f>
        <v>3</v>
      </c>
      <c r="AA59" s="20">
        <f t="shared" si="1"/>
        <v>0.33333333333333331</v>
      </c>
      <c r="AB59" s="20">
        <f t="shared" si="2"/>
        <v>0</v>
      </c>
      <c r="AC59" s="21"/>
      <c r="AD59" s="21"/>
      <c r="AE59" s="21">
        <f t="shared" si="3"/>
        <v>4.9999999999999996E-2</v>
      </c>
      <c r="AF59" s="29">
        <v>1</v>
      </c>
      <c r="AG59" s="29">
        <v>0</v>
      </c>
      <c r="AH59" s="29">
        <v>1</v>
      </c>
      <c r="AI59" s="29">
        <v>1</v>
      </c>
      <c r="AJ59" s="26"/>
      <c r="AK59" s="26"/>
      <c r="AL59" s="26"/>
      <c r="AM59" s="26"/>
      <c r="AN59" s="44">
        <v>1E-3</v>
      </c>
      <c r="AO59" s="26">
        <v>0</v>
      </c>
      <c r="AP59" s="26">
        <v>1</v>
      </c>
      <c r="AQ59" s="26">
        <v>1</v>
      </c>
      <c r="AR59" s="22">
        <f t="shared" ref="AR59:AS59" si="227">(AJ59+AL59+AN59+AP59)</f>
        <v>1.0009999999999999</v>
      </c>
      <c r="AS59" s="22">
        <f t="shared" si="227"/>
        <v>1</v>
      </c>
      <c r="AT59" s="24">
        <f t="shared" si="218"/>
        <v>1.0009999999999999</v>
      </c>
      <c r="AU59" s="23" t="str">
        <f t="shared" ref="AU59:AU60" si="228">MIN((AR59 /AR59) * 100, 100) &amp; "%"</f>
        <v>100%</v>
      </c>
      <c r="AV59" s="24">
        <f t="shared" si="7"/>
        <v>0.99900099900099915</v>
      </c>
      <c r="AW59" s="14" t="s">
        <v>92</v>
      </c>
      <c r="AX59" s="30" t="s">
        <v>393</v>
      </c>
      <c r="AY59" s="32">
        <v>0</v>
      </c>
      <c r="AZ59" s="32"/>
      <c r="BA59" s="32">
        <v>0</v>
      </c>
      <c r="BB59" s="32"/>
      <c r="BC59" s="32">
        <v>0</v>
      </c>
      <c r="BD59" s="32"/>
      <c r="BE59" s="32">
        <v>0</v>
      </c>
      <c r="BF59" s="32"/>
      <c r="BG59" s="36">
        <f t="shared" ref="BG59:BH59" si="229">(AY59+BA59+BC59+BE59)</f>
        <v>0</v>
      </c>
      <c r="BH59" s="36">
        <f t="shared" si="229"/>
        <v>0</v>
      </c>
      <c r="BI59" s="37" t="str">
        <f t="shared" si="223"/>
        <v>0%</v>
      </c>
      <c r="BJ59" s="38">
        <f t="shared" ref="BJ59:BK59" si="230">IF(BF59=0, 0, BG59/BF59)</f>
        <v>0</v>
      </c>
      <c r="BK59" s="38">
        <f t="shared" si="230"/>
        <v>0</v>
      </c>
      <c r="BL59" s="26" t="s">
        <v>192</v>
      </c>
      <c r="BM59" s="25" t="s">
        <v>394</v>
      </c>
      <c r="BN59" s="42">
        <v>0</v>
      </c>
      <c r="BO59" s="42">
        <v>0</v>
      </c>
      <c r="BP59" s="42">
        <v>0</v>
      </c>
      <c r="BQ59" s="42">
        <v>0</v>
      </c>
      <c r="BR59" s="27">
        <f t="shared" ref="BR59:BS59" si="231">+BN59+BP59</f>
        <v>0</v>
      </c>
      <c r="BS59" s="27">
        <f t="shared" si="231"/>
        <v>0</v>
      </c>
      <c r="BT59" s="43" t="str">
        <f t="shared" si="13"/>
        <v/>
      </c>
      <c r="BU59" s="27">
        <v>0</v>
      </c>
      <c r="BV59" s="27">
        <v>0</v>
      </c>
      <c r="BW59" s="27">
        <v>0</v>
      </c>
      <c r="BX59" s="27">
        <v>0</v>
      </c>
      <c r="BY59" s="28" t="str">
        <f t="shared" si="149"/>
        <v/>
      </c>
      <c r="BZ59" s="27">
        <v>0</v>
      </c>
      <c r="CA59" s="20">
        <v>0</v>
      </c>
      <c r="CB59" s="29">
        <v>0</v>
      </c>
      <c r="CC59" s="29">
        <v>7000000000</v>
      </c>
      <c r="CD59" s="29">
        <v>7000000000</v>
      </c>
    </row>
    <row r="60" spans="1:82" ht="54" customHeight="1">
      <c r="A60" s="12" t="s">
        <v>78</v>
      </c>
      <c r="B60" s="13">
        <v>0.23499999999999999</v>
      </c>
      <c r="C60" s="12"/>
      <c r="D60" s="14">
        <v>24</v>
      </c>
      <c r="E60" s="16">
        <v>2402</v>
      </c>
      <c r="F60" s="14">
        <v>7</v>
      </c>
      <c r="G60" s="14" t="s">
        <v>361</v>
      </c>
      <c r="H60" s="15" t="s">
        <v>362</v>
      </c>
      <c r="I60" s="14">
        <v>7.1</v>
      </c>
      <c r="J60" s="14" t="s">
        <v>363</v>
      </c>
      <c r="K60" s="14" t="s">
        <v>364</v>
      </c>
      <c r="L60" s="14" t="s">
        <v>365</v>
      </c>
      <c r="M60" s="14" t="s">
        <v>366</v>
      </c>
      <c r="N60" s="14" t="s">
        <v>367</v>
      </c>
      <c r="O60" s="16">
        <v>2402125</v>
      </c>
      <c r="P60" s="17">
        <v>2024257990007</v>
      </c>
      <c r="Q60" s="14" t="s">
        <v>368</v>
      </c>
      <c r="R60" s="18">
        <v>59</v>
      </c>
      <c r="S60" s="14" t="s">
        <v>395</v>
      </c>
      <c r="T60" s="14">
        <v>0</v>
      </c>
      <c r="U60" s="14" t="s">
        <v>88</v>
      </c>
      <c r="V60" s="14" t="s">
        <v>89</v>
      </c>
      <c r="W60" s="14" t="s">
        <v>396</v>
      </c>
      <c r="X60" s="14" t="s">
        <v>206</v>
      </c>
      <c r="Y60" s="19"/>
      <c r="Z60" s="18">
        <f t="shared" si="226"/>
        <v>2</v>
      </c>
      <c r="AA60" s="20">
        <f t="shared" si="1"/>
        <v>1</v>
      </c>
      <c r="AB60" s="20">
        <f t="shared" si="2"/>
        <v>0</v>
      </c>
      <c r="AC60" s="21"/>
      <c r="AD60" s="21"/>
      <c r="AE60" s="21">
        <f t="shared" si="3"/>
        <v>0.15</v>
      </c>
      <c r="AF60" s="14">
        <v>2</v>
      </c>
      <c r="AG60" s="29">
        <v>0</v>
      </c>
      <c r="AH60" s="29">
        <v>0</v>
      </c>
      <c r="AI60" s="29">
        <v>0</v>
      </c>
      <c r="AJ60" s="26"/>
      <c r="AK60" s="26"/>
      <c r="AL60" s="26"/>
      <c r="AM60" s="26"/>
      <c r="AN60" s="26">
        <v>0.1</v>
      </c>
      <c r="AO60" s="26">
        <v>0.1</v>
      </c>
      <c r="AP60" s="26">
        <v>1.9</v>
      </c>
      <c r="AQ60" s="26">
        <v>1.9</v>
      </c>
      <c r="AR60" s="22">
        <f t="shared" ref="AR60:AS60" si="232">(AJ60+AL60+AN60+AP60)</f>
        <v>2</v>
      </c>
      <c r="AS60" s="22">
        <f t="shared" si="232"/>
        <v>2</v>
      </c>
      <c r="AT60" s="22">
        <f t="shared" ref="AT60:AT61" si="233">AS60/AR60</f>
        <v>1</v>
      </c>
      <c r="AU60" s="23" t="str">
        <f t="shared" si="228"/>
        <v>100%</v>
      </c>
      <c r="AV60" s="24">
        <f t="shared" si="7"/>
        <v>1</v>
      </c>
      <c r="AW60" s="14" t="s">
        <v>92</v>
      </c>
      <c r="AX60" s="30" t="s">
        <v>397</v>
      </c>
      <c r="AY60" s="14">
        <v>0</v>
      </c>
      <c r="AZ60" s="26">
        <v>0</v>
      </c>
      <c r="BA60" s="14">
        <v>0</v>
      </c>
      <c r="BB60" s="26">
        <v>0</v>
      </c>
      <c r="BC60" s="14">
        <v>0</v>
      </c>
      <c r="BD60" s="26"/>
      <c r="BE60" s="14">
        <v>0</v>
      </c>
      <c r="BF60" s="26"/>
      <c r="BG60" s="22">
        <f t="shared" ref="BG60:BH60" si="234">(AY60+BA60+BC60+BE60)</f>
        <v>0</v>
      </c>
      <c r="BH60" s="22">
        <f t="shared" si="234"/>
        <v>0</v>
      </c>
      <c r="BI60" s="23" t="str">
        <f t="shared" si="223"/>
        <v>0%</v>
      </c>
      <c r="BJ60" s="23">
        <f>IF(BF62=0, 0, BG62/BF62)</f>
        <v>0</v>
      </c>
      <c r="BK60" s="24">
        <f t="shared" ref="BK60:BK61" si="235">IF(BG60=0, 0, BH60/BG60)</f>
        <v>0</v>
      </c>
      <c r="BL60" s="22" t="s">
        <v>192</v>
      </c>
      <c r="BM60" s="25" t="s">
        <v>398</v>
      </c>
      <c r="BN60" s="27">
        <v>600000000</v>
      </c>
      <c r="BO60" s="27">
        <v>0</v>
      </c>
      <c r="BP60" s="27">
        <v>1151203977</v>
      </c>
      <c r="BQ60" s="27">
        <v>1151203977</v>
      </c>
      <c r="BR60" s="27">
        <f t="shared" ref="BR60:BS60" si="236">+BN60+BP60</f>
        <v>1751203977</v>
      </c>
      <c r="BS60" s="27">
        <f t="shared" si="236"/>
        <v>1151203977</v>
      </c>
      <c r="BT60" s="20">
        <f t="shared" si="13"/>
        <v>0.6573785761794213</v>
      </c>
      <c r="BU60" s="27">
        <v>600000000</v>
      </c>
      <c r="BV60" s="27">
        <v>0</v>
      </c>
      <c r="BW60" s="27">
        <v>0</v>
      </c>
      <c r="BX60" s="27">
        <v>0</v>
      </c>
      <c r="BY60" s="28" t="str">
        <f t="shared" si="149"/>
        <v/>
      </c>
      <c r="BZ60" s="27">
        <v>0</v>
      </c>
      <c r="CA60" s="20">
        <v>1500000000</v>
      </c>
      <c r="CB60" s="29">
        <v>0</v>
      </c>
      <c r="CC60" s="29">
        <v>0</v>
      </c>
      <c r="CD60" s="29">
        <v>1500000000</v>
      </c>
    </row>
    <row r="61" spans="1:82" ht="54" customHeight="1">
      <c r="A61" s="12" t="s">
        <v>95</v>
      </c>
      <c r="B61" s="13">
        <v>0.23499999999999999</v>
      </c>
      <c r="C61" s="12"/>
      <c r="D61" s="14">
        <v>24</v>
      </c>
      <c r="E61" s="16">
        <v>2402</v>
      </c>
      <c r="F61" s="14">
        <v>8</v>
      </c>
      <c r="G61" s="14" t="s">
        <v>399</v>
      </c>
      <c r="H61" s="15" t="s">
        <v>362</v>
      </c>
      <c r="I61" s="14">
        <v>8.1</v>
      </c>
      <c r="J61" s="14" t="s">
        <v>400</v>
      </c>
      <c r="K61" s="14" t="s">
        <v>401</v>
      </c>
      <c r="L61" s="14" t="s">
        <v>402</v>
      </c>
      <c r="M61" s="14" t="s">
        <v>403</v>
      </c>
      <c r="N61" s="14">
        <v>0</v>
      </c>
      <c r="O61" s="16">
        <v>2402033</v>
      </c>
      <c r="P61" s="17">
        <v>2024257990008</v>
      </c>
      <c r="Q61" s="14" t="s">
        <v>404</v>
      </c>
      <c r="R61" s="18">
        <v>60</v>
      </c>
      <c r="S61" s="14" t="s">
        <v>405</v>
      </c>
      <c r="T61" s="14">
        <v>0</v>
      </c>
      <c r="U61" s="14" t="s">
        <v>250</v>
      </c>
      <c r="V61" s="14" t="s">
        <v>89</v>
      </c>
      <c r="W61" s="14" t="s">
        <v>406</v>
      </c>
      <c r="X61" s="14" t="s">
        <v>206</v>
      </c>
      <c r="Y61" s="19"/>
      <c r="Z61" s="18">
        <f t="shared" si="226"/>
        <v>1000</v>
      </c>
      <c r="AA61" s="20">
        <f t="shared" si="1"/>
        <v>0.220001</v>
      </c>
      <c r="AB61" s="20">
        <f t="shared" si="2"/>
        <v>2.9999999999999997E-4</v>
      </c>
      <c r="AC61" s="21"/>
      <c r="AD61" s="21"/>
      <c r="AE61" s="21">
        <f t="shared" si="3"/>
        <v>3.310515E-2</v>
      </c>
      <c r="AF61" s="29">
        <v>220</v>
      </c>
      <c r="AG61" s="29">
        <v>220</v>
      </c>
      <c r="AH61" s="29">
        <v>440</v>
      </c>
      <c r="AI61" s="29">
        <v>120</v>
      </c>
      <c r="AJ61" s="26"/>
      <c r="AK61" s="26"/>
      <c r="AL61" s="26"/>
      <c r="AM61" s="26"/>
      <c r="AN61" s="44">
        <v>1E-3</v>
      </c>
      <c r="AO61" s="44">
        <v>1E-3</v>
      </c>
      <c r="AP61" s="26">
        <v>220</v>
      </c>
      <c r="AQ61" s="26">
        <v>220</v>
      </c>
      <c r="AR61" s="29">
        <f t="shared" ref="AR61:AS61" si="237">(AJ61+AL61+AN61+AP61)</f>
        <v>220.001</v>
      </c>
      <c r="AS61" s="29">
        <f t="shared" si="237"/>
        <v>220.001</v>
      </c>
      <c r="AT61" s="22">
        <f t="shared" si="233"/>
        <v>1</v>
      </c>
      <c r="AU61" s="23" t="str">
        <f t="shared" ref="AU61:AU65" si="238">IF(AR61&gt; 1, IF(AR61 = AS61, "100%", AR61 &amp; "%"), IF(AR61 &lt;= 0.01, "0%", AR61 * 100 &amp; "%"))</f>
        <v>100%</v>
      </c>
      <c r="AV61" s="24">
        <f t="shared" si="7"/>
        <v>1</v>
      </c>
      <c r="AW61" s="14" t="s">
        <v>92</v>
      </c>
      <c r="AX61" s="30" t="s">
        <v>407</v>
      </c>
      <c r="AY61" s="26">
        <v>0</v>
      </c>
      <c r="AZ61" s="26">
        <v>0</v>
      </c>
      <c r="BA61" s="26">
        <v>0</v>
      </c>
      <c r="BB61" s="26">
        <v>0</v>
      </c>
      <c r="BC61" s="26">
        <v>100</v>
      </c>
      <c r="BD61" s="26">
        <v>60</v>
      </c>
      <c r="BE61" s="26">
        <v>100</v>
      </c>
      <c r="BF61" s="26"/>
      <c r="BG61" s="22">
        <f t="shared" ref="BG61:BH61" si="239">(AY61+BA61+BC61+BE61)</f>
        <v>200</v>
      </c>
      <c r="BH61" s="22">
        <f t="shared" si="239"/>
        <v>60</v>
      </c>
      <c r="BI61" s="22">
        <f>BH61/BG61</f>
        <v>0.3</v>
      </c>
      <c r="BJ61" s="23" t="str">
        <f>MIN((BG61 /BG61) * 100, 100) &amp; "%"</f>
        <v>100%</v>
      </c>
      <c r="BK61" s="24">
        <f t="shared" si="235"/>
        <v>0.3</v>
      </c>
      <c r="BL61" s="22" t="s">
        <v>92</v>
      </c>
      <c r="BM61" s="25" t="s">
        <v>408</v>
      </c>
      <c r="BN61" s="27">
        <v>88515586</v>
      </c>
      <c r="BO61" s="27">
        <v>0</v>
      </c>
      <c r="BP61" s="27">
        <v>99296561</v>
      </c>
      <c r="BQ61" s="27">
        <v>99296561</v>
      </c>
      <c r="BR61" s="27">
        <f t="shared" ref="BR61:BS61" si="240">+BN61+BP61</f>
        <v>187812147</v>
      </c>
      <c r="BS61" s="27">
        <f t="shared" si="240"/>
        <v>99296561</v>
      </c>
      <c r="BT61" s="20">
        <f t="shared" si="13"/>
        <v>0.52870148489383917</v>
      </c>
      <c r="BU61" s="27">
        <v>88515586</v>
      </c>
      <c r="BV61" s="27">
        <v>522527805</v>
      </c>
      <c r="BW61" s="27">
        <v>522527805</v>
      </c>
      <c r="BX61" s="27">
        <v>0</v>
      </c>
      <c r="BY61" s="28">
        <f t="shared" si="149"/>
        <v>1</v>
      </c>
      <c r="BZ61" s="27">
        <v>1019794652</v>
      </c>
      <c r="CA61" s="20">
        <v>220898748</v>
      </c>
      <c r="CB61" s="29">
        <v>421943685</v>
      </c>
      <c r="CC61" s="29">
        <v>523040869</v>
      </c>
      <c r="CD61" s="29">
        <v>2185677954</v>
      </c>
    </row>
    <row r="62" spans="1:82" ht="54" customHeight="1">
      <c r="A62" s="12" t="s">
        <v>95</v>
      </c>
      <c r="B62" s="13">
        <v>0.23499999999999999</v>
      </c>
      <c r="C62" s="12"/>
      <c r="D62" s="14">
        <v>24</v>
      </c>
      <c r="E62" s="16">
        <v>2402</v>
      </c>
      <c r="F62" s="14">
        <v>8</v>
      </c>
      <c r="G62" s="14" t="s">
        <v>399</v>
      </c>
      <c r="H62" s="15" t="s">
        <v>362</v>
      </c>
      <c r="I62" s="14">
        <v>8.1</v>
      </c>
      <c r="J62" s="14" t="s">
        <v>400</v>
      </c>
      <c r="K62" s="14" t="s">
        <v>401</v>
      </c>
      <c r="L62" s="14" t="s">
        <v>402</v>
      </c>
      <c r="M62" s="14" t="s">
        <v>403</v>
      </c>
      <c r="N62" s="14">
        <v>0</v>
      </c>
      <c r="O62" s="16">
        <v>2402033</v>
      </c>
      <c r="P62" s="17">
        <v>2024257990008</v>
      </c>
      <c r="Q62" s="14" t="s">
        <v>404</v>
      </c>
      <c r="R62" s="18">
        <v>61</v>
      </c>
      <c r="S62" s="14" t="s">
        <v>409</v>
      </c>
      <c r="T62" s="14">
        <v>0</v>
      </c>
      <c r="U62" s="14" t="s">
        <v>88</v>
      </c>
      <c r="V62" s="14" t="s">
        <v>89</v>
      </c>
      <c r="W62" s="14" t="s">
        <v>410</v>
      </c>
      <c r="X62" s="14" t="s">
        <v>206</v>
      </c>
      <c r="Y62" s="19"/>
      <c r="Z62" s="18">
        <f t="shared" si="226"/>
        <v>1</v>
      </c>
      <c r="AA62" s="20">
        <f t="shared" si="1"/>
        <v>0</v>
      </c>
      <c r="AB62" s="20">
        <f t="shared" si="2"/>
        <v>0</v>
      </c>
      <c r="AC62" s="21"/>
      <c r="AD62" s="21"/>
      <c r="AE62" s="21">
        <f t="shared" si="3"/>
        <v>0</v>
      </c>
      <c r="AF62" s="29">
        <v>0</v>
      </c>
      <c r="AG62" s="29">
        <v>0</v>
      </c>
      <c r="AH62" s="33">
        <v>0.7</v>
      </c>
      <c r="AI62" s="33">
        <v>0.3</v>
      </c>
      <c r="AJ62" s="26"/>
      <c r="AK62" s="26"/>
      <c r="AL62" s="26"/>
      <c r="AM62" s="26"/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f t="shared" ref="AS62:AS65" si="241">(AK62+AM62+AO62+AQ62)/2</f>
        <v>0</v>
      </c>
      <c r="AT62" s="24">
        <f t="shared" ref="AT62:AT65" si="242">IF(AQ62=0, 0, AR62/AQ62)</f>
        <v>0</v>
      </c>
      <c r="AU62" s="23" t="str">
        <f t="shared" si="238"/>
        <v>0%</v>
      </c>
      <c r="AV62" s="24">
        <f t="shared" si="7"/>
        <v>0</v>
      </c>
      <c r="AW62" s="26" t="s">
        <v>192</v>
      </c>
      <c r="AX62" s="26"/>
      <c r="AY62" s="32">
        <v>0</v>
      </c>
      <c r="AZ62" s="32"/>
      <c r="BA62" s="32">
        <v>0</v>
      </c>
      <c r="BB62" s="32"/>
      <c r="BC62" s="32">
        <v>0</v>
      </c>
      <c r="BD62" s="32"/>
      <c r="BE62" s="32">
        <v>0</v>
      </c>
      <c r="BF62" s="32"/>
      <c r="BG62" s="22">
        <f t="shared" ref="BG62:BH62" si="243">(AY62+BA62+BC62+BE62)</f>
        <v>0</v>
      </c>
      <c r="BH62" s="22">
        <f t="shared" si="243"/>
        <v>0</v>
      </c>
      <c r="BI62" s="23" t="str">
        <f t="shared" ref="BI62:BI66" si="244">IF(BF62&gt; 1, IF(BF62 = BG62, "100%", BF62 &amp; "%"), IF(BF62 &lt;= 0.01, "0%", BF62 * 100 &amp; "%"))</f>
        <v>0%</v>
      </c>
      <c r="BJ62" s="45">
        <f t="shared" ref="BJ62:BK62" si="245">IF(BF62=0, 0, BG62/BF62)</f>
        <v>0</v>
      </c>
      <c r="BK62" s="24">
        <f t="shared" si="245"/>
        <v>0</v>
      </c>
      <c r="BL62" s="22" t="s">
        <v>192</v>
      </c>
      <c r="BM62" s="25" t="s">
        <v>411</v>
      </c>
      <c r="BN62" s="27">
        <v>0</v>
      </c>
      <c r="BO62" s="27">
        <v>0</v>
      </c>
      <c r="BP62" s="27">
        <v>0</v>
      </c>
      <c r="BQ62" s="27">
        <v>0</v>
      </c>
      <c r="BR62" s="27">
        <f t="shared" ref="BR62:BS62" si="246">+BN62+BP62</f>
        <v>0</v>
      </c>
      <c r="BS62" s="27">
        <f t="shared" si="246"/>
        <v>0</v>
      </c>
      <c r="BT62" s="20" t="str">
        <f t="shared" si="13"/>
        <v/>
      </c>
      <c r="BU62" s="27">
        <v>0</v>
      </c>
      <c r="BV62" s="27">
        <v>0</v>
      </c>
      <c r="BW62" s="27">
        <v>0</v>
      </c>
      <c r="BX62" s="27">
        <v>0</v>
      </c>
      <c r="BY62" s="28" t="str">
        <f t="shared" si="149"/>
        <v/>
      </c>
      <c r="BZ62" s="27">
        <v>0</v>
      </c>
      <c r="CA62" s="20">
        <v>300000000</v>
      </c>
      <c r="CB62" s="29">
        <v>309000000</v>
      </c>
      <c r="CC62" s="29">
        <v>318270000</v>
      </c>
      <c r="CD62" s="29">
        <v>927270000</v>
      </c>
    </row>
    <row r="63" spans="1:82" ht="54" customHeight="1">
      <c r="A63" s="12" t="s">
        <v>95</v>
      </c>
      <c r="B63" s="13">
        <v>0.23499999999999999</v>
      </c>
      <c r="C63" s="12"/>
      <c r="D63" s="14">
        <v>24</v>
      </c>
      <c r="E63" s="16">
        <v>2402</v>
      </c>
      <c r="F63" s="14">
        <v>8</v>
      </c>
      <c r="G63" s="14" t="s">
        <v>399</v>
      </c>
      <c r="H63" s="15" t="s">
        <v>362</v>
      </c>
      <c r="I63" s="14">
        <v>8.1</v>
      </c>
      <c r="J63" s="14" t="s">
        <v>400</v>
      </c>
      <c r="K63" s="14" t="s">
        <v>401</v>
      </c>
      <c r="L63" s="14" t="s">
        <v>402</v>
      </c>
      <c r="M63" s="14" t="s">
        <v>403</v>
      </c>
      <c r="N63" s="14">
        <v>0</v>
      </c>
      <c r="O63" s="16">
        <v>2402129</v>
      </c>
      <c r="P63" s="17">
        <v>2024257990008</v>
      </c>
      <c r="Q63" s="14" t="s">
        <v>404</v>
      </c>
      <c r="R63" s="18">
        <v>62</v>
      </c>
      <c r="S63" s="14" t="s">
        <v>412</v>
      </c>
      <c r="T63" s="14">
        <v>0</v>
      </c>
      <c r="U63" s="14" t="s">
        <v>88</v>
      </c>
      <c r="V63" s="14" t="s">
        <v>89</v>
      </c>
      <c r="W63" s="14" t="s">
        <v>413</v>
      </c>
      <c r="X63" s="14" t="s">
        <v>206</v>
      </c>
      <c r="Y63" s="19"/>
      <c r="Z63" s="18">
        <f t="shared" si="226"/>
        <v>1</v>
      </c>
      <c r="AA63" s="20">
        <f t="shared" si="1"/>
        <v>0</v>
      </c>
      <c r="AB63" s="20">
        <f t="shared" si="2"/>
        <v>0</v>
      </c>
      <c r="AC63" s="21"/>
      <c r="AD63" s="21"/>
      <c r="AE63" s="21">
        <f t="shared" si="3"/>
        <v>0</v>
      </c>
      <c r="AF63" s="29">
        <v>0</v>
      </c>
      <c r="AG63" s="33">
        <v>0.7</v>
      </c>
      <c r="AH63" s="33">
        <v>0.3</v>
      </c>
      <c r="AI63" s="29">
        <v>0</v>
      </c>
      <c r="AJ63" s="26"/>
      <c r="AK63" s="26"/>
      <c r="AL63" s="26"/>
      <c r="AM63" s="26"/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34">
        <f t="shared" si="241"/>
        <v>0</v>
      </c>
      <c r="AT63" s="24">
        <f t="shared" si="242"/>
        <v>0</v>
      </c>
      <c r="AU63" s="23" t="str">
        <f t="shared" si="238"/>
        <v>0%</v>
      </c>
      <c r="AV63" s="24">
        <f t="shared" si="7"/>
        <v>0</v>
      </c>
      <c r="AW63" s="26" t="s">
        <v>192</v>
      </c>
      <c r="AX63" s="26"/>
      <c r="AY63" s="32">
        <v>0</v>
      </c>
      <c r="AZ63" s="32"/>
      <c r="BA63" s="32">
        <v>0</v>
      </c>
      <c r="BB63" s="32"/>
      <c r="BC63" s="32">
        <v>0</v>
      </c>
      <c r="BD63" s="32"/>
      <c r="BE63" s="32">
        <v>0</v>
      </c>
      <c r="BF63" s="32"/>
      <c r="BG63" s="22">
        <f t="shared" ref="BG63:BH63" si="247">(AY63+BA63+BC63+BE63)</f>
        <v>0</v>
      </c>
      <c r="BH63" s="22">
        <f t="shared" si="247"/>
        <v>0</v>
      </c>
      <c r="BI63" s="23" t="str">
        <f t="shared" si="244"/>
        <v>0%</v>
      </c>
      <c r="BJ63" s="24">
        <f t="shared" ref="BJ63:BK63" si="248">IF(BF63=0, 0, BG63/BF63)</f>
        <v>0</v>
      </c>
      <c r="BK63" s="24">
        <f t="shared" si="248"/>
        <v>0</v>
      </c>
      <c r="BL63" s="26" t="s">
        <v>192</v>
      </c>
      <c r="BM63" s="25" t="s">
        <v>414</v>
      </c>
      <c r="BN63" s="27">
        <v>0</v>
      </c>
      <c r="BO63" s="27">
        <v>0</v>
      </c>
      <c r="BP63" s="27">
        <v>0</v>
      </c>
      <c r="BQ63" s="27">
        <v>0</v>
      </c>
      <c r="BR63" s="27">
        <f t="shared" ref="BR63:BS63" si="249">+BN63+BP63</f>
        <v>0</v>
      </c>
      <c r="BS63" s="27">
        <f t="shared" si="249"/>
        <v>0</v>
      </c>
      <c r="BT63" s="20" t="str">
        <f t="shared" si="13"/>
        <v/>
      </c>
      <c r="BU63" s="27">
        <v>0</v>
      </c>
      <c r="BV63" s="27">
        <v>0</v>
      </c>
      <c r="BW63" s="27">
        <v>0</v>
      </c>
      <c r="BX63" s="27">
        <v>0</v>
      </c>
      <c r="BY63" s="28" t="str">
        <f t="shared" si="149"/>
        <v/>
      </c>
      <c r="BZ63" s="27">
        <v>0</v>
      </c>
      <c r="CA63" s="20">
        <v>200000000</v>
      </c>
      <c r="CB63" s="29">
        <v>200000000</v>
      </c>
      <c r="CC63" s="29">
        <v>200000000</v>
      </c>
      <c r="CD63" s="29">
        <v>600000000</v>
      </c>
    </row>
    <row r="64" spans="1:82" ht="54" customHeight="1">
      <c r="A64" s="12" t="s">
        <v>95</v>
      </c>
      <c r="B64" s="13">
        <v>0.23499999999999999</v>
      </c>
      <c r="C64" s="12"/>
      <c r="D64" s="14">
        <v>24</v>
      </c>
      <c r="E64" s="16">
        <v>2402</v>
      </c>
      <c r="F64" s="14">
        <v>8</v>
      </c>
      <c r="G64" s="14" t="s">
        <v>399</v>
      </c>
      <c r="H64" s="15" t="s">
        <v>362</v>
      </c>
      <c r="I64" s="14">
        <v>8.1</v>
      </c>
      <c r="J64" s="14" t="s">
        <v>400</v>
      </c>
      <c r="K64" s="14" t="s">
        <v>401</v>
      </c>
      <c r="L64" s="14" t="s">
        <v>402</v>
      </c>
      <c r="M64" s="14" t="s">
        <v>403</v>
      </c>
      <c r="N64" s="14">
        <v>0</v>
      </c>
      <c r="O64" s="16">
        <v>2402104</v>
      </c>
      <c r="P64" s="17">
        <v>2024257990008</v>
      </c>
      <c r="Q64" s="14" t="s">
        <v>404</v>
      </c>
      <c r="R64" s="18">
        <v>63</v>
      </c>
      <c r="S64" s="14" t="s">
        <v>415</v>
      </c>
      <c r="T64" s="14">
        <v>0</v>
      </c>
      <c r="U64" s="14" t="s">
        <v>88</v>
      </c>
      <c r="V64" s="14" t="s">
        <v>89</v>
      </c>
      <c r="W64" s="14" t="s">
        <v>416</v>
      </c>
      <c r="X64" s="14" t="s">
        <v>417</v>
      </c>
      <c r="Y64" s="19"/>
      <c r="Z64" s="18">
        <f t="shared" si="226"/>
        <v>2</v>
      </c>
      <c r="AA64" s="20">
        <f t="shared" si="1"/>
        <v>0</v>
      </c>
      <c r="AB64" s="20">
        <f t="shared" si="2"/>
        <v>0</v>
      </c>
      <c r="AC64" s="21"/>
      <c r="AD64" s="21"/>
      <c r="AE64" s="21">
        <f t="shared" si="3"/>
        <v>0</v>
      </c>
      <c r="AF64" s="14">
        <v>0</v>
      </c>
      <c r="AG64" s="14">
        <v>0</v>
      </c>
      <c r="AH64" s="14">
        <v>1</v>
      </c>
      <c r="AI64" s="14">
        <v>1</v>
      </c>
      <c r="AJ64" s="26"/>
      <c r="AK64" s="26"/>
      <c r="AL64" s="26"/>
      <c r="AM64" s="26"/>
      <c r="AN64" s="34">
        <v>0</v>
      </c>
      <c r="AO64" s="34">
        <v>0</v>
      </c>
      <c r="AP64" s="34">
        <v>0</v>
      </c>
      <c r="AQ64" s="34">
        <v>0</v>
      </c>
      <c r="AR64" s="34">
        <v>0</v>
      </c>
      <c r="AS64" s="34">
        <f t="shared" si="241"/>
        <v>0</v>
      </c>
      <c r="AT64" s="24">
        <f t="shared" si="242"/>
        <v>0</v>
      </c>
      <c r="AU64" s="23" t="str">
        <f t="shared" si="238"/>
        <v>0%</v>
      </c>
      <c r="AV64" s="24">
        <f t="shared" si="7"/>
        <v>0</v>
      </c>
      <c r="AW64" s="26" t="s">
        <v>192</v>
      </c>
      <c r="AX64" s="30" t="s">
        <v>418</v>
      </c>
      <c r="AY64" s="32">
        <v>0</v>
      </c>
      <c r="AZ64" s="32"/>
      <c r="BA64" s="32">
        <v>0</v>
      </c>
      <c r="BB64" s="32"/>
      <c r="BC64" s="32">
        <v>0</v>
      </c>
      <c r="BD64" s="32"/>
      <c r="BE64" s="32">
        <v>0</v>
      </c>
      <c r="BF64" s="32"/>
      <c r="BG64" s="22">
        <f t="shared" ref="BG64:BH64" si="250">(AY64+BA64+BC64+BE64)</f>
        <v>0</v>
      </c>
      <c r="BH64" s="22">
        <f t="shared" si="250"/>
        <v>0</v>
      </c>
      <c r="BI64" s="23" t="str">
        <f t="shared" si="244"/>
        <v>0%</v>
      </c>
      <c r="BJ64" s="24">
        <f t="shared" ref="BJ64:BK64" si="251">IF(BF64=0, 0, BG64/BF64)</f>
        <v>0</v>
      </c>
      <c r="BK64" s="24">
        <f t="shared" si="251"/>
        <v>0</v>
      </c>
      <c r="BL64" s="26" t="s">
        <v>192</v>
      </c>
      <c r="BM64" s="25" t="s">
        <v>418</v>
      </c>
      <c r="BN64" s="27">
        <v>0</v>
      </c>
      <c r="BO64" s="27">
        <v>0</v>
      </c>
      <c r="BP64" s="27">
        <v>0</v>
      </c>
      <c r="BQ64" s="27">
        <v>0</v>
      </c>
      <c r="BR64" s="27">
        <f t="shared" ref="BR64:BS64" si="252">+BN64+BP64</f>
        <v>0</v>
      </c>
      <c r="BS64" s="27">
        <f t="shared" si="252"/>
        <v>0</v>
      </c>
      <c r="BT64" s="20" t="str">
        <f t="shared" si="13"/>
        <v/>
      </c>
      <c r="BU64" s="27">
        <v>0</v>
      </c>
      <c r="BV64" s="27">
        <v>0</v>
      </c>
      <c r="BW64" s="27">
        <v>0</v>
      </c>
      <c r="BX64" s="27">
        <v>0</v>
      </c>
      <c r="BY64" s="28" t="str">
        <f t="shared" si="149"/>
        <v/>
      </c>
      <c r="BZ64" s="27">
        <v>0</v>
      </c>
      <c r="CA64" s="20">
        <v>30000000</v>
      </c>
      <c r="CB64" s="29">
        <v>30900000</v>
      </c>
      <c r="CC64" s="29">
        <v>31827000</v>
      </c>
      <c r="CD64" s="29">
        <v>92727000</v>
      </c>
    </row>
    <row r="65" spans="1:82" ht="54" customHeight="1">
      <c r="A65" s="12" t="s">
        <v>95</v>
      </c>
      <c r="B65" s="13">
        <v>0.23499999999999999</v>
      </c>
      <c r="C65" s="12"/>
      <c r="D65" s="14">
        <v>24</v>
      </c>
      <c r="E65" s="16">
        <v>2402</v>
      </c>
      <c r="F65" s="14">
        <v>8</v>
      </c>
      <c r="G65" s="14" t="s">
        <v>399</v>
      </c>
      <c r="H65" s="15" t="s">
        <v>362</v>
      </c>
      <c r="I65" s="14">
        <v>8.1</v>
      </c>
      <c r="J65" s="14" t="s">
        <v>400</v>
      </c>
      <c r="K65" s="14" t="s">
        <v>401</v>
      </c>
      <c r="L65" s="14" t="s">
        <v>402</v>
      </c>
      <c r="M65" s="14" t="s">
        <v>403</v>
      </c>
      <c r="N65" s="14">
        <v>0</v>
      </c>
      <c r="O65" s="16">
        <v>2402033</v>
      </c>
      <c r="P65" s="17">
        <v>2024257990008</v>
      </c>
      <c r="Q65" s="14" t="s">
        <v>404</v>
      </c>
      <c r="R65" s="18">
        <v>64</v>
      </c>
      <c r="S65" s="14" t="s">
        <v>419</v>
      </c>
      <c r="T65" s="14">
        <v>0</v>
      </c>
      <c r="U65" s="14" t="s">
        <v>88</v>
      </c>
      <c r="V65" s="14" t="s">
        <v>89</v>
      </c>
      <c r="W65" s="14" t="s">
        <v>420</v>
      </c>
      <c r="X65" s="14" t="s">
        <v>417</v>
      </c>
      <c r="Y65" s="19"/>
      <c r="Z65" s="18">
        <f t="shared" si="226"/>
        <v>2</v>
      </c>
      <c r="AA65" s="20">
        <f t="shared" si="1"/>
        <v>0</v>
      </c>
      <c r="AB65" s="20">
        <f t="shared" si="2"/>
        <v>0</v>
      </c>
      <c r="AC65" s="21"/>
      <c r="AD65" s="21"/>
      <c r="AE65" s="21">
        <f t="shared" si="3"/>
        <v>0</v>
      </c>
      <c r="AF65" s="14">
        <v>0</v>
      </c>
      <c r="AG65" s="14">
        <v>0</v>
      </c>
      <c r="AH65" s="14">
        <v>1</v>
      </c>
      <c r="AI65" s="14">
        <v>1</v>
      </c>
      <c r="AJ65" s="26"/>
      <c r="AK65" s="26"/>
      <c r="AL65" s="26"/>
      <c r="AM65" s="26"/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f t="shared" si="241"/>
        <v>0</v>
      </c>
      <c r="AT65" s="24">
        <f t="shared" si="242"/>
        <v>0</v>
      </c>
      <c r="AU65" s="23" t="str">
        <f t="shared" si="238"/>
        <v>0%</v>
      </c>
      <c r="AV65" s="24">
        <f t="shared" si="7"/>
        <v>0</v>
      </c>
      <c r="AW65" s="26" t="s">
        <v>192</v>
      </c>
      <c r="AX65" s="30" t="s">
        <v>421</v>
      </c>
      <c r="AY65" s="32">
        <v>0</v>
      </c>
      <c r="AZ65" s="32"/>
      <c r="BA65" s="32">
        <v>0</v>
      </c>
      <c r="BB65" s="32"/>
      <c r="BC65" s="32">
        <v>0</v>
      </c>
      <c r="BD65" s="32"/>
      <c r="BE65" s="32">
        <v>0</v>
      </c>
      <c r="BF65" s="32"/>
      <c r="BG65" s="22">
        <f t="shared" ref="BG65:BH65" si="253">(AY65+BA65+BC65+BE65)</f>
        <v>0</v>
      </c>
      <c r="BH65" s="22">
        <f t="shared" si="253"/>
        <v>0</v>
      </c>
      <c r="BI65" s="23" t="str">
        <f t="shared" si="244"/>
        <v>0%</v>
      </c>
      <c r="BJ65" s="24">
        <f t="shared" ref="BJ65:BK65" si="254">IF(BF65=0, 0, BG65/BF65)</f>
        <v>0</v>
      </c>
      <c r="BK65" s="24">
        <f t="shared" si="254"/>
        <v>0</v>
      </c>
      <c r="BL65" s="26" t="s">
        <v>192</v>
      </c>
      <c r="BM65" s="25" t="s">
        <v>421</v>
      </c>
      <c r="BN65" s="27">
        <v>0</v>
      </c>
      <c r="BO65" s="27">
        <v>0</v>
      </c>
      <c r="BP65" s="27">
        <v>0</v>
      </c>
      <c r="BQ65" s="27">
        <v>0</v>
      </c>
      <c r="BR65" s="27">
        <f t="shared" ref="BR65:BS65" si="255">+BN65+BP65</f>
        <v>0</v>
      </c>
      <c r="BS65" s="27">
        <f t="shared" si="255"/>
        <v>0</v>
      </c>
      <c r="BT65" s="20" t="str">
        <f t="shared" si="13"/>
        <v/>
      </c>
      <c r="BU65" s="27">
        <v>0</v>
      </c>
      <c r="BV65" s="27">
        <v>0</v>
      </c>
      <c r="BW65" s="27">
        <v>0</v>
      </c>
      <c r="BX65" s="27">
        <v>0</v>
      </c>
      <c r="BY65" s="28" t="str">
        <f t="shared" si="149"/>
        <v/>
      </c>
      <c r="BZ65" s="27">
        <v>0</v>
      </c>
      <c r="CA65" s="20">
        <v>30000000</v>
      </c>
      <c r="CB65" s="29">
        <v>30900000</v>
      </c>
      <c r="CC65" s="29">
        <v>31827000</v>
      </c>
      <c r="CD65" s="29">
        <v>92727000</v>
      </c>
    </row>
    <row r="66" spans="1:82" ht="54" customHeight="1">
      <c r="A66" s="12" t="s">
        <v>95</v>
      </c>
      <c r="B66" s="13">
        <v>0.23499999999999999</v>
      </c>
      <c r="C66" s="12"/>
      <c r="D66" s="14">
        <v>24</v>
      </c>
      <c r="E66" s="16">
        <v>2402</v>
      </c>
      <c r="F66" s="14">
        <v>8</v>
      </c>
      <c r="G66" s="14" t="s">
        <v>399</v>
      </c>
      <c r="H66" s="15" t="s">
        <v>362</v>
      </c>
      <c r="I66" s="14">
        <v>8.1</v>
      </c>
      <c r="J66" s="14" t="s">
        <v>400</v>
      </c>
      <c r="K66" s="14" t="s">
        <v>401</v>
      </c>
      <c r="L66" s="14" t="s">
        <v>402</v>
      </c>
      <c r="M66" s="14" t="s">
        <v>403</v>
      </c>
      <c r="N66" s="14">
        <v>0</v>
      </c>
      <c r="O66" s="16">
        <v>2402005</v>
      </c>
      <c r="P66" s="17">
        <v>2024257990008</v>
      </c>
      <c r="Q66" s="14" t="s">
        <v>404</v>
      </c>
      <c r="R66" s="18">
        <v>65</v>
      </c>
      <c r="S66" s="14" t="s">
        <v>422</v>
      </c>
      <c r="T66" s="14">
        <v>0</v>
      </c>
      <c r="U66" s="14" t="s">
        <v>88</v>
      </c>
      <c r="V66" s="14" t="s">
        <v>89</v>
      </c>
      <c r="W66" s="14" t="s">
        <v>423</v>
      </c>
      <c r="X66" s="14" t="s">
        <v>206</v>
      </c>
      <c r="Y66" s="19"/>
      <c r="Z66" s="18">
        <f t="shared" si="226"/>
        <v>3</v>
      </c>
      <c r="AA66" s="20">
        <f t="shared" si="1"/>
        <v>1</v>
      </c>
      <c r="AB66" s="20">
        <f t="shared" si="2"/>
        <v>0</v>
      </c>
      <c r="AC66" s="21"/>
      <c r="AD66" s="21"/>
      <c r="AE66" s="21">
        <f t="shared" si="3"/>
        <v>0.15</v>
      </c>
      <c r="AF66" s="14">
        <v>3</v>
      </c>
      <c r="AG66" s="14">
        <v>0</v>
      </c>
      <c r="AH66" s="14">
        <v>0</v>
      </c>
      <c r="AI66" s="14">
        <v>0</v>
      </c>
      <c r="AJ66" s="26"/>
      <c r="AK66" s="26"/>
      <c r="AL66" s="26"/>
      <c r="AM66" s="26"/>
      <c r="AN66" s="26">
        <v>0.2</v>
      </c>
      <c r="AO66" s="26">
        <v>0.2</v>
      </c>
      <c r="AP66" s="26">
        <v>2.8</v>
      </c>
      <c r="AQ66" s="26">
        <v>2.8</v>
      </c>
      <c r="AR66" s="22">
        <f t="shared" ref="AR66:AS66" si="256">(AJ66+AL66+AN66+AP66)</f>
        <v>3</v>
      </c>
      <c r="AS66" s="22">
        <f t="shared" si="256"/>
        <v>3</v>
      </c>
      <c r="AT66" s="22">
        <f>AS66/AR66</f>
        <v>1</v>
      </c>
      <c r="AU66" s="23" t="str">
        <f>MIN((AR66 /AR66) * 100, 100) &amp; "%"</f>
        <v>100%</v>
      </c>
      <c r="AV66" s="24">
        <f t="shared" si="7"/>
        <v>1</v>
      </c>
      <c r="AW66" s="14" t="s">
        <v>92</v>
      </c>
      <c r="AX66" s="30" t="s">
        <v>424</v>
      </c>
      <c r="AY66" s="32">
        <v>0</v>
      </c>
      <c r="AZ66" s="32"/>
      <c r="BA66" s="32">
        <v>0</v>
      </c>
      <c r="BB66" s="32"/>
      <c r="BC66" s="32">
        <v>0</v>
      </c>
      <c r="BD66" s="32"/>
      <c r="BE66" s="32">
        <v>0</v>
      </c>
      <c r="BF66" s="32"/>
      <c r="BG66" s="22">
        <f t="shared" ref="BG66:BH66" si="257">(AY66+BA66+BC66+BE66)</f>
        <v>0</v>
      </c>
      <c r="BH66" s="22">
        <f t="shared" si="257"/>
        <v>0</v>
      </c>
      <c r="BI66" s="23" t="str">
        <f t="shared" si="244"/>
        <v>0%</v>
      </c>
      <c r="BJ66" s="24">
        <f t="shared" ref="BJ66:BK66" si="258">IF(BF66=0, 0, BG66/BF66)</f>
        <v>0</v>
      </c>
      <c r="BK66" s="24">
        <f t="shared" si="258"/>
        <v>0</v>
      </c>
      <c r="BL66" s="26" t="s">
        <v>192</v>
      </c>
      <c r="BM66" s="25" t="s">
        <v>425</v>
      </c>
      <c r="BN66" s="42">
        <v>0</v>
      </c>
      <c r="BO66" s="42">
        <v>0</v>
      </c>
      <c r="BP66" s="42">
        <v>800000000</v>
      </c>
      <c r="BQ66" s="42">
        <v>800000000</v>
      </c>
      <c r="BR66" s="27">
        <f t="shared" ref="BR66:BS66" si="259">+BN66+BP66</f>
        <v>800000000</v>
      </c>
      <c r="BS66" s="27">
        <f t="shared" si="259"/>
        <v>800000000</v>
      </c>
      <c r="BT66" s="43">
        <f t="shared" si="13"/>
        <v>1</v>
      </c>
      <c r="BU66" s="27">
        <v>0</v>
      </c>
      <c r="BV66" s="27">
        <v>0</v>
      </c>
      <c r="BW66" s="27">
        <v>0</v>
      </c>
      <c r="BX66" s="27">
        <v>0</v>
      </c>
      <c r="BY66" s="28" t="str">
        <f t="shared" si="149"/>
        <v/>
      </c>
      <c r="BZ66" s="27">
        <v>0</v>
      </c>
      <c r="CA66" s="20">
        <v>0</v>
      </c>
      <c r="CB66" s="29">
        <v>250000000</v>
      </c>
      <c r="CC66" s="29">
        <v>260000000</v>
      </c>
      <c r="CD66" s="29">
        <v>510000000</v>
      </c>
    </row>
    <row r="67" spans="1:82" ht="54" customHeight="1">
      <c r="A67" s="12" t="s">
        <v>95</v>
      </c>
      <c r="B67" s="13">
        <v>0.23499999999999999</v>
      </c>
      <c r="C67" s="12"/>
      <c r="D67" s="14">
        <v>24</v>
      </c>
      <c r="E67" s="16">
        <v>2402</v>
      </c>
      <c r="F67" s="14">
        <v>8</v>
      </c>
      <c r="G67" s="14" t="s">
        <v>399</v>
      </c>
      <c r="H67" s="15" t="s">
        <v>362</v>
      </c>
      <c r="I67" s="14">
        <v>8.1</v>
      </c>
      <c r="J67" s="14" t="s">
        <v>426</v>
      </c>
      <c r="K67" s="14" t="s">
        <v>427</v>
      </c>
      <c r="L67" s="14" t="s">
        <v>428</v>
      </c>
      <c r="M67" s="14" t="s">
        <v>429</v>
      </c>
      <c r="N67" s="14">
        <v>0</v>
      </c>
      <c r="O67" s="16">
        <v>2402002</v>
      </c>
      <c r="P67" s="17">
        <v>2024257990008</v>
      </c>
      <c r="Q67" s="14" t="s">
        <v>404</v>
      </c>
      <c r="R67" s="18">
        <v>66</v>
      </c>
      <c r="S67" s="14" t="s">
        <v>430</v>
      </c>
      <c r="T67" s="14">
        <v>1</v>
      </c>
      <c r="U67" s="14" t="s">
        <v>88</v>
      </c>
      <c r="V67" s="14" t="s">
        <v>89</v>
      </c>
      <c r="W67" s="14" t="s">
        <v>431</v>
      </c>
      <c r="X67" s="14" t="s">
        <v>206</v>
      </c>
      <c r="Y67" s="19"/>
      <c r="Z67" s="18">
        <f t="shared" si="226"/>
        <v>2</v>
      </c>
      <c r="AA67" s="20">
        <f t="shared" si="1"/>
        <v>0</v>
      </c>
      <c r="AB67" s="20">
        <f t="shared" si="2"/>
        <v>0.1</v>
      </c>
      <c r="AC67" s="21"/>
      <c r="AD67" s="21"/>
      <c r="AE67" s="21">
        <f t="shared" si="3"/>
        <v>3.4999999999999996E-2</v>
      </c>
      <c r="AF67" s="14">
        <v>0</v>
      </c>
      <c r="AG67" s="14">
        <v>1</v>
      </c>
      <c r="AH67" s="14">
        <v>1</v>
      </c>
      <c r="AI67" s="14">
        <v>0</v>
      </c>
      <c r="AJ67" s="26"/>
      <c r="AK67" s="26"/>
      <c r="AL67" s="26"/>
      <c r="AM67" s="26"/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f t="shared" ref="AS67:AS69" si="260">(AK67+AM67+AO67+AQ67)/2</f>
        <v>0</v>
      </c>
      <c r="AT67" s="24">
        <f t="shared" ref="AT67:AT69" si="261">IF(AQ67=0, 0, AR67/AQ67)</f>
        <v>0</v>
      </c>
      <c r="AU67" s="23" t="str">
        <f t="shared" ref="AU67:AU69" si="262">IF(AR67&gt; 1, IF(AR67 = AS67, "100%", AR67 &amp; "%"), IF(AR67 &lt;= 0.01, "0%", AR67 * 100 &amp; "%"))</f>
        <v>0%</v>
      </c>
      <c r="AV67" s="24">
        <f t="shared" si="7"/>
        <v>0</v>
      </c>
      <c r="AW67" s="26" t="s">
        <v>192</v>
      </c>
      <c r="AX67" s="26"/>
      <c r="AY67" s="46">
        <v>0</v>
      </c>
      <c r="AZ67" s="46">
        <v>0</v>
      </c>
      <c r="BA67" s="46">
        <v>0</v>
      </c>
      <c r="BB67" s="46">
        <v>0</v>
      </c>
      <c r="BC67" s="46">
        <v>0.3</v>
      </c>
      <c r="BD67" s="46">
        <v>0.2</v>
      </c>
      <c r="BE67" s="46">
        <v>0.7</v>
      </c>
      <c r="BF67" s="26"/>
      <c r="BG67" s="22">
        <f t="shared" ref="BG67:BH67" si="263">(AY67+BA67+BC67+BE67)</f>
        <v>1</v>
      </c>
      <c r="BH67" s="22">
        <f t="shared" si="263"/>
        <v>0.2</v>
      </c>
      <c r="BI67" s="22">
        <f>BH67/BG67</f>
        <v>0.2</v>
      </c>
      <c r="BJ67" s="23" t="str">
        <f>MIN((BG67 /BG67) * 100, 100) &amp; "%"</f>
        <v>100%</v>
      </c>
      <c r="BK67" s="24">
        <f>IF(BG67=0, 0, BH67/BG67)</f>
        <v>0.2</v>
      </c>
      <c r="BL67" s="22" t="s">
        <v>92</v>
      </c>
      <c r="BM67" s="25" t="s">
        <v>432</v>
      </c>
      <c r="BN67" s="27">
        <v>100000000</v>
      </c>
      <c r="BO67" s="27">
        <v>0</v>
      </c>
      <c r="BP67" s="27">
        <v>0</v>
      </c>
      <c r="BQ67" s="27">
        <v>0</v>
      </c>
      <c r="BR67" s="27">
        <f t="shared" ref="BR67:BS67" si="264">+BN67+BP67</f>
        <v>100000000</v>
      </c>
      <c r="BS67" s="27">
        <f t="shared" si="264"/>
        <v>0</v>
      </c>
      <c r="BT67" s="20">
        <f t="shared" si="13"/>
        <v>0</v>
      </c>
      <c r="BU67" s="27">
        <v>100000000</v>
      </c>
      <c r="BV67" s="27">
        <v>100000000</v>
      </c>
      <c r="BW67" s="27">
        <v>100000000</v>
      </c>
      <c r="BX67" s="27">
        <v>0</v>
      </c>
      <c r="BY67" s="28">
        <f t="shared" si="149"/>
        <v>1</v>
      </c>
      <c r="BZ67" s="27">
        <v>0</v>
      </c>
      <c r="CA67" s="20">
        <v>200000000</v>
      </c>
      <c r="CB67" s="29">
        <v>180000000</v>
      </c>
      <c r="CC67" s="29">
        <v>180000000</v>
      </c>
      <c r="CD67" s="29">
        <v>560000000</v>
      </c>
    </row>
    <row r="68" spans="1:82" ht="54" customHeight="1">
      <c r="A68" s="12" t="s">
        <v>95</v>
      </c>
      <c r="B68" s="13">
        <v>0.23499999999999999</v>
      </c>
      <c r="C68" s="12"/>
      <c r="D68" s="14">
        <v>24</v>
      </c>
      <c r="E68" s="16">
        <v>2402</v>
      </c>
      <c r="F68" s="14">
        <v>8</v>
      </c>
      <c r="G68" s="14" t="s">
        <v>399</v>
      </c>
      <c r="H68" s="15" t="s">
        <v>362</v>
      </c>
      <c r="I68" s="14">
        <v>8.1</v>
      </c>
      <c r="J68" s="14" t="s">
        <v>426</v>
      </c>
      <c r="K68" s="14" t="s">
        <v>427</v>
      </c>
      <c r="L68" s="14" t="s">
        <v>428</v>
      </c>
      <c r="M68" s="14" t="s">
        <v>429</v>
      </c>
      <c r="N68" s="14">
        <v>0</v>
      </c>
      <c r="O68" s="16">
        <v>2402135</v>
      </c>
      <c r="P68" s="17">
        <v>2024257990008</v>
      </c>
      <c r="Q68" s="14" t="s">
        <v>404</v>
      </c>
      <c r="R68" s="18">
        <v>67</v>
      </c>
      <c r="S68" s="14" t="s">
        <v>433</v>
      </c>
      <c r="T68" s="14">
        <v>0</v>
      </c>
      <c r="U68" s="14" t="s">
        <v>250</v>
      </c>
      <c r="V68" s="14" t="s">
        <v>89</v>
      </c>
      <c r="W68" s="14" t="s">
        <v>434</v>
      </c>
      <c r="X68" s="14" t="s">
        <v>206</v>
      </c>
      <c r="Y68" s="19"/>
      <c r="Z68" s="18">
        <f t="shared" si="226"/>
        <v>1000</v>
      </c>
      <c r="AA68" s="20">
        <f t="shared" si="1"/>
        <v>0</v>
      </c>
      <c r="AB68" s="20">
        <f t="shared" si="2"/>
        <v>0</v>
      </c>
      <c r="AC68" s="21"/>
      <c r="AD68" s="21"/>
      <c r="AE68" s="21">
        <f t="shared" si="3"/>
        <v>0</v>
      </c>
      <c r="AF68" s="14">
        <v>0</v>
      </c>
      <c r="AG68" s="14">
        <v>0</v>
      </c>
      <c r="AH68" s="14">
        <v>700</v>
      </c>
      <c r="AI68" s="14">
        <v>300</v>
      </c>
      <c r="AJ68" s="26"/>
      <c r="AK68" s="26"/>
      <c r="AL68" s="26"/>
      <c r="AM68" s="26"/>
      <c r="AN68" s="34">
        <v>0</v>
      </c>
      <c r="AO68" s="34">
        <v>0</v>
      </c>
      <c r="AP68" s="34">
        <v>0</v>
      </c>
      <c r="AQ68" s="34">
        <v>0</v>
      </c>
      <c r="AR68" s="34">
        <v>0</v>
      </c>
      <c r="AS68" s="34">
        <f t="shared" si="260"/>
        <v>0</v>
      </c>
      <c r="AT68" s="24">
        <f t="shared" si="261"/>
        <v>0</v>
      </c>
      <c r="AU68" s="23" t="str">
        <f t="shared" si="262"/>
        <v>0%</v>
      </c>
      <c r="AV68" s="24">
        <f t="shared" si="7"/>
        <v>0</v>
      </c>
      <c r="AW68" s="26" t="s">
        <v>192</v>
      </c>
      <c r="AX68" s="26"/>
      <c r="AY68" s="32">
        <v>0</v>
      </c>
      <c r="AZ68" s="32"/>
      <c r="BA68" s="32">
        <v>0</v>
      </c>
      <c r="BB68" s="32"/>
      <c r="BC68" s="32">
        <v>0</v>
      </c>
      <c r="BD68" s="32"/>
      <c r="BE68" s="32">
        <v>0</v>
      </c>
      <c r="BF68" s="32"/>
      <c r="BG68" s="22">
        <f t="shared" ref="BG68:BH68" si="265">(AY68+BA68+BC68+BE68)</f>
        <v>0</v>
      </c>
      <c r="BH68" s="22">
        <f t="shared" si="265"/>
        <v>0</v>
      </c>
      <c r="BI68" s="23" t="str">
        <f>IF(BF68&gt; 1, IF(BF68 = BG68, "100%", BF68 &amp; "%"), IF(BF68 &lt;= 0.01, "0%", BF68 * 100 &amp; "%"))</f>
        <v>0%</v>
      </c>
      <c r="BJ68" s="24">
        <f t="shared" ref="BJ68:BK68" si="266">IF(BF68=0, 0, BG68/BF68)</f>
        <v>0</v>
      </c>
      <c r="BK68" s="24">
        <f t="shared" si="266"/>
        <v>0</v>
      </c>
      <c r="BL68" s="26" t="s">
        <v>192</v>
      </c>
      <c r="BM68" s="25" t="s">
        <v>435</v>
      </c>
      <c r="BN68" s="27">
        <v>0</v>
      </c>
      <c r="BO68" s="27">
        <v>0</v>
      </c>
      <c r="BP68" s="27">
        <v>0</v>
      </c>
      <c r="BQ68" s="27">
        <v>0</v>
      </c>
      <c r="BR68" s="27">
        <f t="shared" ref="BR68:BS68" si="267">+BN68+BP68</f>
        <v>0</v>
      </c>
      <c r="BS68" s="27">
        <f t="shared" si="267"/>
        <v>0</v>
      </c>
      <c r="BT68" s="20" t="str">
        <f t="shared" si="13"/>
        <v/>
      </c>
      <c r="BU68" s="27">
        <v>0</v>
      </c>
      <c r="BV68" s="27">
        <v>0</v>
      </c>
      <c r="BW68" s="27">
        <v>0</v>
      </c>
      <c r="BX68" s="27">
        <v>0</v>
      </c>
      <c r="BY68" s="28" t="str">
        <f t="shared" si="149"/>
        <v/>
      </c>
      <c r="BZ68" s="27">
        <v>250000000</v>
      </c>
      <c r="CA68" s="20">
        <v>300000000</v>
      </c>
      <c r="CB68" s="29">
        <v>0</v>
      </c>
      <c r="CC68" s="29">
        <v>0</v>
      </c>
      <c r="CD68" s="29">
        <v>550000000</v>
      </c>
    </row>
    <row r="69" spans="1:82" ht="54" customHeight="1">
      <c r="A69" s="12" t="s">
        <v>95</v>
      </c>
      <c r="B69" s="13">
        <v>0.23499999999999999</v>
      </c>
      <c r="C69" s="12"/>
      <c r="D69" s="14">
        <v>24</v>
      </c>
      <c r="E69" s="16">
        <v>2402</v>
      </c>
      <c r="F69" s="14">
        <v>8</v>
      </c>
      <c r="G69" s="14" t="s">
        <v>399</v>
      </c>
      <c r="H69" s="15" t="s">
        <v>362</v>
      </c>
      <c r="I69" s="14">
        <v>8.1</v>
      </c>
      <c r="J69" s="14" t="s">
        <v>426</v>
      </c>
      <c r="K69" s="14" t="s">
        <v>436</v>
      </c>
      <c r="L69" s="14" t="s">
        <v>437</v>
      </c>
      <c r="M69" s="14" t="s">
        <v>438</v>
      </c>
      <c r="N69" s="20">
        <v>0.25</v>
      </c>
      <c r="O69" s="16">
        <v>2402104</v>
      </c>
      <c r="P69" s="17">
        <v>2024257990008</v>
      </c>
      <c r="Q69" s="14" t="s">
        <v>404</v>
      </c>
      <c r="R69" s="18">
        <v>68</v>
      </c>
      <c r="S69" s="14" t="s">
        <v>439</v>
      </c>
      <c r="T69" s="14">
        <v>1</v>
      </c>
      <c r="U69" s="14" t="s">
        <v>88</v>
      </c>
      <c r="V69" s="14" t="s">
        <v>114</v>
      </c>
      <c r="W69" s="14" t="s">
        <v>440</v>
      </c>
      <c r="X69" s="14" t="s">
        <v>417</v>
      </c>
      <c r="Y69" s="19"/>
      <c r="Z69" s="20">
        <f t="shared" si="226"/>
        <v>0.4</v>
      </c>
      <c r="AA69" s="20">
        <f t="shared" si="1"/>
        <v>0</v>
      </c>
      <c r="AB69" s="20">
        <f t="shared" si="2"/>
        <v>2.3648648648648649</v>
      </c>
      <c r="AC69" s="21"/>
      <c r="AD69" s="21"/>
      <c r="AE69" s="21">
        <f t="shared" si="3"/>
        <v>0.82770270270270263</v>
      </c>
      <c r="AF69" s="14">
        <v>0</v>
      </c>
      <c r="AG69" s="14">
        <v>0.2</v>
      </c>
      <c r="AH69" s="14">
        <v>0.1</v>
      </c>
      <c r="AI69" s="14">
        <v>0.1</v>
      </c>
      <c r="AJ69" s="26"/>
      <c r="AK69" s="26"/>
      <c r="AL69" s="26"/>
      <c r="AM69" s="26"/>
      <c r="AN69" s="34">
        <v>0</v>
      </c>
      <c r="AO69" s="34">
        <v>0</v>
      </c>
      <c r="AP69" s="34">
        <v>0</v>
      </c>
      <c r="AQ69" s="34">
        <v>0</v>
      </c>
      <c r="AR69" s="34">
        <v>0</v>
      </c>
      <c r="AS69" s="34">
        <f t="shared" si="260"/>
        <v>0</v>
      </c>
      <c r="AT69" s="24">
        <f t="shared" si="261"/>
        <v>0</v>
      </c>
      <c r="AU69" s="23" t="str">
        <f t="shared" si="262"/>
        <v>0%</v>
      </c>
      <c r="AV69" s="24">
        <f t="shared" si="7"/>
        <v>0</v>
      </c>
      <c r="AW69" s="26" t="s">
        <v>192</v>
      </c>
      <c r="AX69" s="30" t="s">
        <v>441</v>
      </c>
      <c r="AY69" s="26">
        <v>0</v>
      </c>
      <c r="AZ69" s="26">
        <v>0</v>
      </c>
      <c r="BA69" s="26">
        <v>0.05</v>
      </c>
      <c r="BB69" s="26">
        <v>0.05</v>
      </c>
      <c r="BC69" s="26">
        <v>0.3</v>
      </c>
      <c r="BD69" s="26">
        <v>0.3</v>
      </c>
      <c r="BE69" s="26">
        <v>0.02</v>
      </c>
      <c r="BF69" s="26"/>
      <c r="BG69" s="22">
        <f t="shared" ref="BG69:BH69" si="268">(AY69+BA69+BC69+BE69)</f>
        <v>0.37</v>
      </c>
      <c r="BH69" s="22">
        <f t="shared" si="268"/>
        <v>0.35</v>
      </c>
      <c r="BI69" s="22">
        <f t="shared" ref="BI69:BI70" si="269">BH69/BG69</f>
        <v>0.94594594594594594</v>
      </c>
      <c r="BJ69" s="23" t="str">
        <f t="shared" ref="BJ69:BJ70" si="270">MIN((BG69 /BG69) * 100, 100) &amp; "%"</f>
        <v>100%</v>
      </c>
      <c r="BK69" s="24">
        <f t="shared" ref="BK69:BK70" si="271">IF(BG69=0, 0, BH69/BG69)</f>
        <v>0.94594594594594594</v>
      </c>
      <c r="BL69" s="22" t="s">
        <v>92</v>
      </c>
      <c r="BM69" s="25" t="s">
        <v>441</v>
      </c>
      <c r="BN69" s="27">
        <v>400000000</v>
      </c>
      <c r="BO69" s="27">
        <v>0</v>
      </c>
      <c r="BP69" s="27">
        <v>0</v>
      </c>
      <c r="BQ69" s="27">
        <v>0</v>
      </c>
      <c r="BR69" s="27">
        <f t="shared" ref="BR69:BS69" si="272">+BN69+BP69</f>
        <v>400000000</v>
      </c>
      <c r="BS69" s="27">
        <f t="shared" si="272"/>
        <v>0</v>
      </c>
      <c r="BT69" s="20">
        <f t="shared" si="13"/>
        <v>0</v>
      </c>
      <c r="BU69" s="27">
        <v>250000000</v>
      </c>
      <c r="BV69" s="27">
        <v>400000000</v>
      </c>
      <c r="BW69" s="27">
        <v>400000000</v>
      </c>
      <c r="BX69" s="27">
        <v>0</v>
      </c>
      <c r="BY69" s="28">
        <f t="shared" si="149"/>
        <v>1</v>
      </c>
      <c r="BZ69" s="27">
        <v>600000000</v>
      </c>
      <c r="CA69" s="20">
        <v>0</v>
      </c>
      <c r="CB69" s="29">
        <v>0</v>
      </c>
      <c r="CC69" s="29">
        <v>0</v>
      </c>
      <c r="CD69" s="29">
        <v>600000000</v>
      </c>
    </row>
    <row r="70" spans="1:82" ht="54" customHeight="1">
      <c r="A70" s="12" t="s">
        <v>95</v>
      </c>
      <c r="B70" s="13">
        <v>0.23499999999999999</v>
      </c>
      <c r="C70" s="12"/>
      <c r="D70" s="14">
        <v>24</v>
      </c>
      <c r="E70" s="16">
        <v>2402</v>
      </c>
      <c r="F70" s="14">
        <v>8</v>
      </c>
      <c r="G70" s="14" t="s">
        <v>399</v>
      </c>
      <c r="H70" s="15" t="s">
        <v>362</v>
      </c>
      <c r="I70" s="14">
        <v>8.1</v>
      </c>
      <c r="J70" s="14" t="s">
        <v>426</v>
      </c>
      <c r="K70" s="14" t="s">
        <v>436</v>
      </c>
      <c r="L70" s="14" t="s">
        <v>437</v>
      </c>
      <c r="M70" s="14" t="s">
        <v>438</v>
      </c>
      <c r="N70" s="20">
        <v>0.25</v>
      </c>
      <c r="O70" s="16">
        <v>2402104</v>
      </c>
      <c r="P70" s="17">
        <v>2024257990008</v>
      </c>
      <c r="Q70" s="14" t="s">
        <v>404</v>
      </c>
      <c r="R70" s="18">
        <v>69</v>
      </c>
      <c r="S70" s="14" t="s">
        <v>442</v>
      </c>
      <c r="T70" s="14">
        <v>1</v>
      </c>
      <c r="U70" s="14" t="s">
        <v>88</v>
      </c>
      <c r="V70" s="14" t="s">
        <v>89</v>
      </c>
      <c r="W70" s="14" t="s">
        <v>443</v>
      </c>
      <c r="X70" s="14" t="s">
        <v>417</v>
      </c>
      <c r="Y70" s="19"/>
      <c r="Z70" s="18">
        <f t="shared" si="226"/>
        <v>1</v>
      </c>
      <c r="AA70" s="20">
        <f t="shared" si="1"/>
        <v>0.05</v>
      </c>
      <c r="AB70" s="20">
        <f t="shared" si="2"/>
        <v>0.59375</v>
      </c>
      <c r="AC70" s="21"/>
      <c r="AD70" s="21"/>
      <c r="AE70" s="21">
        <f t="shared" si="3"/>
        <v>0.21531249999999999</v>
      </c>
      <c r="AF70" s="14">
        <v>0.05</v>
      </c>
      <c r="AG70" s="14">
        <v>0.33</v>
      </c>
      <c r="AH70" s="14">
        <v>0.33</v>
      </c>
      <c r="AI70" s="14">
        <v>0.28999999999999998</v>
      </c>
      <c r="AJ70" s="26"/>
      <c r="AK70" s="26"/>
      <c r="AL70" s="26"/>
      <c r="AM70" s="26"/>
      <c r="AN70" s="26">
        <v>0.02</v>
      </c>
      <c r="AO70" s="26">
        <v>0.02</v>
      </c>
      <c r="AP70" s="26">
        <v>0.03</v>
      </c>
      <c r="AQ70" s="26">
        <v>0.03</v>
      </c>
      <c r="AR70" s="22">
        <f t="shared" ref="AR70:AS70" si="273">(AJ70+AL70+AN70+AP70)</f>
        <v>0.05</v>
      </c>
      <c r="AS70" s="22">
        <f t="shared" si="273"/>
        <v>0.05</v>
      </c>
      <c r="AT70" s="22">
        <f>AS70/AR70</f>
        <v>1</v>
      </c>
      <c r="AU70" s="23" t="str">
        <f>MIN((AR70 /AR70) * 100, 100) &amp; "%"</f>
        <v>100%</v>
      </c>
      <c r="AV70" s="24">
        <f t="shared" si="7"/>
        <v>1</v>
      </c>
      <c r="AW70" s="14" t="s">
        <v>92</v>
      </c>
      <c r="AX70" s="30" t="s">
        <v>444</v>
      </c>
      <c r="AY70" s="26">
        <v>0</v>
      </c>
      <c r="AZ70" s="26">
        <v>0</v>
      </c>
      <c r="BA70" s="26">
        <v>0.05</v>
      </c>
      <c r="BB70" s="26">
        <v>0.05</v>
      </c>
      <c r="BC70" s="26">
        <v>0.14000000000000001</v>
      </c>
      <c r="BD70" s="26">
        <v>0.14000000000000001</v>
      </c>
      <c r="BE70" s="26">
        <v>0.13</v>
      </c>
      <c r="BF70" s="26"/>
      <c r="BG70" s="22">
        <f t="shared" ref="BG70:BH70" si="274">(AY70+BA70+BC70+BE70)</f>
        <v>0.32</v>
      </c>
      <c r="BH70" s="22">
        <f t="shared" si="274"/>
        <v>0.19</v>
      </c>
      <c r="BI70" s="22">
        <f t="shared" si="269"/>
        <v>0.59375</v>
      </c>
      <c r="BJ70" s="23" t="str">
        <f t="shared" si="270"/>
        <v>100%</v>
      </c>
      <c r="BK70" s="24">
        <f t="shared" si="271"/>
        <v>0.59375</v>
      </c>
      <c r="BL70" s="22" t="s">
        <v>192</v>
      </c>
      <c r="BM70" s="25" t="s">
        <v>444</v>
      </c>
      <c r="BN70" s="27">
        <v>0</v>
      </c>
      <c r="BO70" s="27">
        <v>0</v>
      </c>
      <c r="BP70" s="27">
        <v>0</v>
      </c>
      <c r="BQ70" s="27">
        <v>0</v>
      </c>
      <c r="BR70" s="27">
        <f t="shared" ref="BR70:BS70" si="275">+BN70+BP70</f>
        <v>0</v>
      </c>
      <c r="BS70" s="27">
        <f t="shared" si="275"/>
        <v>0</v>
      </c>
      <c r="BT70" s="20" t="str">
        <f t="shared" si="13"/>
        <v/>
      </c>
      <c r="BU70" s="27">
        <v>0</v>
      </c>
      <c r="BV70" s="27">
        <v>0</v>
      </c>
      <c r="BW70" s="27">
        <v>0</v>
      </c>
      <c r="BX70" s="27">
        <v>0</v>
      </c>
      <c r="BY70" s="28" t="str">
        <f t="shared" si="149"/>
        <v/>
      </c>
      <c r="BZ70" s="27">
        <v>500000000</v>
      </c>
      <c r="CA70" s="20">
        <v>350000000</v>
      </c>
      <c r="CB70" s="29">
        <v>300000000</v>
      </c>
      <c r="CC70" s="29">
        <v>400000000</v>
      </c>
      <c r="CD70" s="29">
        <v>1550000000</v>
      </c>
    </row>
    <row r="71" spans="1:82" ht="54" customHeight="1">
      <c r="A71" s="12" t="s">
        <v>95</v>
      </c>
      <c r="B71" s="13">
        <v>0.23499999999999999</v>
      </c>
      <c r="C71" s="12"/>
      <c r="D71" s="14">
        <v>24</v>
      </c>
      <c r="E71" s="16">
        <v>2402</v>
      </c>
      <c r="F71" s="14">
        <v>8</v>
      </c>
      <c r="G71" s="14" t="s">
        <v>399</v>
      </c>
      <c r="H71" s="15" t="s">
        <v>362</v>
      </c>
      <c r="I71" s="14">
        <v>8.1</v>
      </c>
      <c r="J71" s="14" t="s">
        <v>426</v>
      </c>
      <c r="K71" s="14" t="s">
        <v>436</v>
      </c>
      <c r="L71" s="14" t="s">
        <v>437</v>
      </c>
      <c r="M71" s="14" t="s">
        <v>438</v>
      </c>
      <c r="N71" s="20">
        <v>0.25</v>
      </c>
      <c r="O71" s="16">
        <v>2402129</v>
      </c>
      <c r="P71" s="17">
        <v>2024257990008</v>
      </c>
      <c r="Q71" s="14" t="s">
        <v>404</v>
      </c>
      <c r="R71" s="18">
        <v>70</v>
      </c>
      <c r="S71" s="14" t="s">
        <v>445</v>
      </c>
      <c r="T71" s="14">
        <v>0</v>
      </c>
      <c r="U71" s="14" t="s">
        <v>88</v>
      </c>
      <c r="V71" s="14" t="s">
        <v>89</v>
      </c>
      <c r="W71" s="14" t="s">
        <v>446</v>
      </c>
      <c r="X71" s="14" t="s">
        <v>417</v>
      </c>
      <c r="Y71" s="19"/>
      <c r="Z71" s="18">
        <f t="shared" si="226"/>
        <v>0.99</v>
      </c>
      <c r="AA71" s="20">
        <f t="shared" si="1"/>
        <v>0</v>
      </c>
      <c r="AB71" s="20">
        <f t="shared" si="2"/>
        <v>0</v>
      </c>
      <c r="AC71" s="21"/>
      <c r="AD71" s="21"/>
      <c r="AE71" s="21">
        <f t="shared" si="3"/>
        <v>0</v>
      </c>
      <c r="AF71" s="14">
        <v>0</v>
      </c>
      <c r="AG71" s="14">
        <v>0.33</v>
      </c>
      <c r="AH71" s="14">
        <v>0.33</v>
      </c>
      <c r="AI71" s="14">
        <v>0.33</v>
      </c>
      <c r="AJ71" s="26"/>
      <c r="AK71" s="26"/>
      <c r="AL71" s="26"/>
      <c r="AM71" s="26"/>
      <c r="AN71" s="34">
        <v>0</v>
      </c>
      <c r="AO71" s="34">
        <v>0</v>
      </c>
      <c r="AP71" s="34">
        <v>0</v>
      </c>
      <c r="AQ71" s="34">
        <v>0</v>
      </c>
      <c r="AR71" s="34">
        <v>0</v>
      </c>
      <c r="AS71" s="34">
        <f>(AK71+AM71+AO71+AQ71)/2</f>
        <v>0</v>
      </c>
      <c r="AT71" s="24">
        <f>IF(AQ71=0, 0, AR71/AQ71)</f>
        <v>0</v>
      </c>
      <c r="AU71" s="23" t="str">
        <f>IF(AR71&gt; 1, IF(AR71 = AS71, "100%", AR71 &amp; "%"), IF(AR71 &lt;= 0.01, "0%", AR71 * 100 &amp; "%"))</f>
        <v>0%</v>
      </c>
      <c r="AV71" s="24">
        <f t="shared" si="7"/>
        <v>0</v>
      </c>
      <c r="AW71" s="26" t="s">
        <v>192</v>
      </c>
      <c r="AX71" s="30" t="s">
        <v>447</v>
      </c>
      <c r="AY71" s="32">
        <v>0</v>
      </c>
      <c r="AZ71" s="32"/>
      <c r="BA71" s="32">
        <v>0</v>
      </c>
      <c r="BB71" s="32"/>
      <c r="BC71" s="32">
        <v>0</v>
      </c>
      <c r="BD71" s="32"/>
      <c r="BE71" s="32">
        <v>0</v>
      </c>
      <c r="BF71" s="32"/>
      <c r="BG71" s="22">
        <f t="shared" ref="BG71:BH71" si="276">(AY71+BA71+BC71+BE71)</f>
        <v>0</v>
      </c>
      <c r="BH71" s="22">
        <f t="shared" si="276"/>
        <v>0</v>
      </c>
      <c r="BI71" s="23" t="str">
        <f>IF(BF71&gt; 1, IF(BF71 = BG71, "100%", BF71 &amp; "%"), IF(BF71 &lt;= 0.01, "0%", BF71 * 100 &amp; "%"))</f>
        <v>0%</v>
      </c>
      <c r="BJ71" s="24">
        <f t="shared" ref="BJ71:BK71" si="277">IF(BF71=0, 0, BG71/BF71)</f>
        <v>0</v>
      </c>
      <c r="BK71" s="24">
        <f t="shared" si="277"/>
        <v>0</v>
      </c>
      <c r="BL71" s="26" t="s">
        <v>192</v>
      </c>
      <c r="BM71" s="25" t="s">
        <v>447</v>
      </c>
      <c r="BN71" s="27">
        <v>0</v>
      </c>
      <c r="BO71" s="27">
        <v>0</v>
      </c>
      <c r="BP71" s="27">
        <v>0</v>
      </c>
      <c r="BQ71" s="27">
        <v>0</v>
      </c>
      <c r="BR71" s="27">
        <f t="shared" ref="BR71:BS71" si="278">+BN71+BP71</f>
        <v>0</v>
      </c>
      <c r="BS71" s="27">
        <f t="shared" si="278"/>
        <v>0</v>
      </c>
      <c r="BT71" s="20" t="str">
        <f t="shared" si="13"/>
        <v/>
      </c>
      <c r="BU71" s="27">
        <v>0</v>
      </c>
      <c r="BV71" s="27">
        <v>0</v>
      </c>
      <c r="BW71" s="27">
        <v>0</v>
      </c>
      <c r="BX71" s="27">
        <v>0</v>
      </c>
      <c r="BY71" s="28" t="str">
        <f t="shared" si="149"/>
        <v/>
      </c>
      <c r="BZ71" s="27">
        <v>500000000</v>
      </c>
      <c r="CA71" s="20">
        <v>120000000</v>
      </c>
      <c r="CB71" s="29">
        <v>150000000</v>
      </c>
      <c r="CC71" s="29">
        <v>150000000</v>
      </c>
      <c r="CD71" s="29">
        <v>920000000</v>
      </c>
    </row>
    <row r="72" spans="1:82" ht="54" customHeight="1">
      <c r="A72" s="12" t="s">
        <v>95</v>
      </c>
      <c r="B72" s="13">
        <v>0.23499999999999999</v>
      </c>
      <c r="C72" s="12"/>
      <c r="D72" s="14">
        <v>24</v>
      </c>
      <c r="E72" s="16">
        <v>2402</v>
      </c>
      <c r="F72" s="14">
        <v>8</v>
      </c>
      <c r="G72" s="14" t="s">
        <v>399</v>
      </c>
      <c r="H72" s="15" t="s">
        <v>362</v>
      </c>
      <c r="I72" s="14">
        <v>8.1</v>
      </c>
      <c r="J72" s="14" t="s">
        <v>426</v>
      </c>
      <c r="K72" s="14" t="s">
        <v>436</v>
      </c>
      <c r="L72" s="14" t="s">
        <v>437</v>
      </c>
      <c r="M72" s="14" t="s">
        <v>438</v>
      </c>
      <c r="N72" s="20">
        <v>0.25</v>
      </c>
      <c r="O72" s="16">
        <v>2402120</v>
      </c>
      <c r="P72" s="17">
        <v>2024257990008</v>
      </c>
      <c r="Q72" s="14" t="s">
        <v>404</v>
      </c>
      <c r="R72" s="18">
        <v>71</v>
      </c>
      <c r="S72" s="14" t="s">
        <v>448</v>
      </c>
      <c r="T72" s="14" t="s">
        <v>167</v>
      </c>
      <c r="U72" s="14" t="s">
        <v>88</v>
      </c>
      <c r="V72" s="14" t="s">
        <v>89</v>
      </c>
      <c r="W72" s="14" t="s">
        <v>449</v>
      </c>
      <c r="X72" s="14" t="s">
        <v>417</v>
      </c>
      <c r="Y72" s="19"/>
      <c r="Z72" s="14">
        <f t="shared" si="226"/>
        <v>8</v>
      </c>
      <c r="AA72" s="20">
        <f t="shared" si="1"/>
        <v>0.125</v>
      </c>
      <c r="AB72" s="20">
        <f t="shared" si="2"/>
        <v>0.10625</v>
      </c>
      <c r="AC72" s="21"/>
      <c r="AD72" s="21"/>
      <c r="AE72" s="21">
        <f t="shared" si="3"/>
        <v>5.5937500000000001E-2</v>
      </c>
      <c r="AF72" s="14">
        <v>1</v>
      </c>
      <c r="AG72" s="14">
        <v>2</v>
      </c>
      <c r="AH72" s="14">
        <v>3</v>
      </c>
      <c r="AI72" s="14">
        <v>2</v>
      </c>
      <c r="AJ72" s="26"/>
      <c r="AK72" s="26"/>
      <c r="AL72" s="26"/>
      <c r="AM72" s="26"/>
      <c r="AN72" s="26">
        <v>0.4</v>
      </c>
      <c r="AO72" s="26">
        <v>0.4</v>
      </c>
      <c r="AP72" s="26">
        <v>0.6</v>
      </c>
      <c r="AQ72" s="26">
        <v>0.6</v>
      </c>
      <c r="AR72" s="22">
        <f t="shared" ref="AR72:AS72" si="279">(AJ72+AL72+AN72+AP72)</f>
        <v>1</v>
      </c>
      <c r="AS72" s="22">
        <f t="shared" si="279"/>
        <v>1</v>
      </c>
      <c r="AT72" s="22">
        <f>AS72/AR72</f>
        <v>1</v>
      </c>
      <c r="AU72" s="23" t="str">
        <f>MIN((AR72 /AR72) * 100, 100) &amp; "%"</f>
        <v>100%</v>
      </c>
      <c r="AV72" s="24">
        <f t="shared" si="7"/>
        <v>1</v>
      </c>
      <c r="AW72" s="14" t="s">
        <v>92</v>
      </c>
      <c r="AX72" s="30" t="s">
        <v>450</v>
      </c>
      <c r="AY72" s="26">
        <v>0</v>
      </c>
      <c r="AZ72" s="26">
        <v>0</v>
      </c>
      <c r="BA72" s="26">
        <v>0</v>
      </c>
      <c r="BB72" s="26">
        <v>0</v>
      </c>
      <c r="BC72" s="26">
        <v>1.7</v>
      </c>
      <c r="BD72" s="26">
        <v>1.7</v>
      </c>
      <c r="BE72" s="26">
        <v>0.3</v>
      </c>
      <c r="BF72" s="26"/>
      <c r="BG72" s="22">
        <f t="shared" ref="BG72:BH72" si="280">(AY72+BA72+BC72+BE72)</f>
        <v>2</v>
      </c>
      <c r="BH72" s="22">
        <f t="shared" si="280"/>
        <v>1.7</v>
      </c>
      <c r="BI72" s="22">
        <f t="shared" ref="BI72:BI74" si="281">BH72/BG72</f>
        <v>0.85</v>
      </c>
      <c r="BJ72" s="23" t="str">
        <f t="shared" ref="BJ72:BJ75" si="282">MIN((BG72 /BG72) * 100, 100) &amp; "%"</f>
        <v>100%</v>
      </c>
      <c r="BK72" s="24">
        <f t="shared" ref="BK72:BK78" si="283">IF(BG72=0, 0, BH72/BG72)</f>
        <v>0.85</v>
      </c>
      <c r="BL72" s="22" t="s">
        <v>92</v>
      </c>
      <c r="BM72" s="25" t="s">
        <v>450</v>
      </c>
      <c r="BN72" s="27">
        <v>360000000</v>
      </c>
      <c r="BO72" s="27">
        <v>0</v>
      </c>
      <c r="BP72" s="27">
        <v>0</v>
      </c>
      <c r="BQ72" s="27">
        <v>0</v>
      </c>
      <c r="BR72" s="27">
        <f t="shared" ref="BR72:BS72" si="284">+BN72+BP72</f>
        <v>360000000</v>
      </c>
      <c r="BS72" s="27">
        <f t="shared" si="284"/>
        <v>0</v>
      </c>
      <c r="BT72" s="20">
        <f t="shared" si="13"/>
        <v>0</v>
      </c>
      <c r="BU72" s="27">
        <v>360000000</v>
      </c>
      <c r="BV72" s="27">
        <v>360000000</v>
      </c>
      <c r="BW72" s="27">
        <v>320000000</v>
      </c>
      <c r="BX72" s="27">
        <v>0</v>
      </c>
      <c r="BY72" s="28">
        <f t="shared" si="149"/>
        <v>0.88888888888888884</v>
      </c>
      <c r="BZ72" s="27">
        <v>500000000</v>
      </c>
      <c r="CA72" s="20">
        <v>100000000</v>
      </c>
      <c r="CB72" s="29">
        <v>150000000</v>
      </c>
      <c r="CC72" s="29">
        <v>150000000</v>
      </c>
      <c r="CD72" s="29">
        <v>900000000</v>
      </c>
    </row>
    <row r="73" spans="1:82" ht="54" customHeight="1">
      <c r="A73" s="12" t="s">
        <v>95</v>
      </c>
      <c r="B73" s="13">
        <v>0.23499999999999999</v>
      </c>
      <c r="C73" s="12"/>
      <c r="D73" s="14">
        <v>40</v>
      </c>
      <c r="E73" s="16">
        <v>4002</v>
      </c>
      <c r="F73" s="14">
        <v>9</v>
      </c>
      <c r="G73" s="14" t="s">
        <v>451</v>
      </c>
      <c r="H73" s="14">
        <v>1400</v>
      </c>
      <c r="I73" s="14">
        <v>9.1</v>
      </c>
      <c r="J73" s="14" t="s">
        <v>452</v>
      </c>
      <c r="K73" s="14" t="s">
        <v>453</v>
      </c>
      <c r="L73" s="14" t="s">
        <v>454</v>
      </c>
      <c r="M73" s="14" t="s">
        <v>455</v>
      </c>
      <c r="N73" s="14" t="s">
        <v>456</v>
      </c>
      <c r="O73" s="16">
        <v>4002019</v>
      </c>
      <c r="P73" s="17">
        <v>2024257990009</v>
      </c>
      <c r="Q73" s="14" t="s">
        <v>457</v>
      </c>
      <c r="R73" s="18">
        <v>72</v>
      </c>
      <c r="S73" s="14" t="s">
        <v>458</v>
      </c>
      <c r="T73" s="14" t="s">
        <v>459</v>
      </c>
      <c r="U73" s="14" t="s">
        <v>460</v>
      </c>
      <c r="V73" s="14" t="s">
        <v>89</v>
      </c>
      <c r="W73" s="14" t="s">
        <v>461</v>
      </c>
      <c r="X73" s="14" t="s">
        <v>206</v>
      </c>
      <c r="Y73" s="19"/>
      <c r="Z73" s="18">
        <f t="shared" si="226"/>
        <v>600</v>
      </c>
      <c r="AA73" s="20">
        <f t="shared" si="1"/>
        <v>0</v>
      </c>
      <c r="AB73" s="20">
        <f t="shared" si="2"/>
        <v>4.3859649122807013E-4</v>
      </c>
      <c r="AC73" s="21"/>
      <c r="AD73" s="21"/>
      <c r="AE73" s="21">
        <f t="shared" si="3"/>
        <v>1.5350877192982454E-4</v>
      </c>
      <c r="AF73" s="14">
        <v>0</v>
      </c>
      <c r="AG73" s="14">
        <v>380</v>
      </c>
      <c r="AH73" s="14">
        <v>120</v>
      </c>
      <c r="AI73" s="14">
        <v>100</v>
      </c>
      <c r="AJ73" s="26"/>
      <c r="AK73" s="26"/>
      <c r="AL73" s="26"/>
      <c r="AM73" s="26"/>
      <c r="AN73" s="34">
        <v>0</v>
      </c>
      <c r="AO73" s="34">
        <v>0</v>
      </c>
      <c r="AP73" s="34">
        <v>0</v>
      </c>
      <c r="AQ73" s="34">
        <v>0</v>
      </c>
      <c r="AR73" s="34">
        <v>0</v>
      </c>
      <c r="AS73" s="34">
        <f t="shared" ref="AS73:AS75" si="285">(AK73+AM73+AO73+AQ73)/2</f>
        <v>0</v>
      </c>
      <c r="AT73" s="24">
        <f t="shared" ref="AT73:AT75" si="286">IF(AQ73=0, 0, AR73/AQ73)</f>
        <v>0</v>
      </c>
      <c r="AU73" s="23" t="str">
        <f t="shared" ref="AU73:AU79" si="287">IF(AR73&gt; 1, IF(AR73 = AS73, "100%", AR73 &amp; "%"), IF(AR73 &lt;= 0.01, "0%", AR73 * 100 &amp; "%"))</f>
        <v>0%</v>
      </c>
      <c r="AV73" s="24">
        <f t="shared" si="7"/>
        <v>0</v>
      </c>
      <c r="AW73" s="26" t="s">
        <v>192</v>
      </c>
      <c r="AX73" s="26"/>
      <c r="AY73" s="26">
        <v>0</v>
      </c>
      <c r="AZ73" s="26">
        <v>0</v>
      </c>
      <c r="BA73" s="26">
        <v>0</v>
      </c>
      <c r="BB73" s="26">
        <v>0</v>
      </c>
      <c r="BC73" s="26">
        <v>120</v>
      </c>
      <c r="BD73" s="26">
        <v>100</v>
      </c>
      <c r="BE73" s="26">
        <v>260</v>
      </c>
      <c r="BF73" s="26"/>
      <c r="BG73" s="22">
        <f t="shared" ref="BG73:BH73" si="288">(AY73+BA73+BC73+BE73)</f>
        <v>380</v>
      </c>
      <c r="BH73" s="22">
        <f t="shared" si="288"/>
        <v>100</v>
      </c>
      <c r="BI73" s="22">
        <f t="shared" si="281"/>
        <v>0.26315789473684209</v>
      </c>
      <c r="BJ73" s="23" t="str">
        <f t="shared" si="282"/>
        <v>100%</v>
      </c>
      <c r="BK73" s="24">
        <f t="shared" si="283"/>
        <v>0.26315789473684209</v>
      </c>
      <c r="BL73" s="22" t="s">
        <v>92</v>
      </c>
      <c r="BM73" s="25" t="s">
        <v>462</v>
      </c>
      <c r="BN73" s="27">
        <v>100000000</v>
      </c>
      <c r="BO73" s="27">
        <v>26500000</v>
      </c>
      <c r="BP73" s="27">
        <v>17813333</v>
      </c>
      <c r="BQ73" s="27">
        <v>17813333</v>
      </c>
      <c r="BR73" s="27">
        <f t="shared" ref="BR73:BS73" si="289">+BN73+BP73</f>
        <v>117813333</v>
      </c>
      <c r="BS73" s="27">
        <f t="shared" si="289"/>
        <v>44313333</v>
      </c>
      <c r="BT73" s="20">
        <f t="shared" si="13"/>
        <v>0.37613173205107436</v>
      </c>
      <c r="BU73" s="27">
        <v>100000000</v>
      </c>
      <c r="BV73" s="27">
        <v>714722669</v>
      </c>
      <c r="BW73" s="27">
        <v>712360169</v>
      </c>
      <c r="BX73" s="27">
        <v>21477550</v>
      </c>
      <c r="BY73" s="28">
        <f t="shared" si="149"/>
        <v>0.99669452208182308</v>
      </c>
      <c r="BZ73" s="27">
        <v>2500000000</v>
      </c>
      <c r="CA73" s="20">
        <v>0</v>
      </c>
      <c r="CB73" s="29">
        <v>0</v>
      </c>
      <c r="CC73" s="29">
        <v>0</v>
      </c>
      <c r="CD73" s="29">
        <v>2500000000</v>
      </c>
    </row>
    <row r="74" spans="1:82" ht="54" customHeight="1">
      <c r="A74" s="12" t="s">
        <v>95</v>
      </c>
      <c r="B74" s="13">
        <v>0.23499999999999999</v>
      </c>
      <c r="C74" s="12"/>
      <c r="D74" s="14">
        <v>40</v>
      </c>
      <c r="E74" s="16">
        <v>4002</v>
      </c>
      <c r="F74" s="14">
        <v>9</v>
      </c>
      <c r="G74" s="14" t="s">
        <v>451</v>
      </c>
      <c r="H74" s="14">
        <v>1400</v>
      </c>
      <c r="I74" s="14">
        <v>9.1</v>
      </c>
      <c r="J74" s="14" t="s">
        <v>452</v>
      </c>
      <c r="K74" s="14" t="s">
        <v>453</v>
      </c>
      <c r="L74" s="14" t="s">
        <v>454</v>
      </c>
      <c r="M74" s="14" t="s">
        <v>455</v>
      </c>
      <c r="N74" s="14" t="s">
        <v>456</v>
      </c>
      <c r="O74" s="16">
        <v>4002019</v>
      </c>
      <c r="P74" s="17">
        <v>2024257990009</v>
      </c>
      <c r="Q74" s="14" t="s">
        <v>457</v>
      </c>
      <c r="R74" s="18">
        <v>73</v>
      </c>
      <c r="S74" s="14" t="s">
        <v>463</v>
      </c>
      <c r="T74" s="14">
        <v>0</v>
      </c>
      <c r="U74" s="14" t="s">
        <v>460</v>
      </c>
      <c r="V74" s="14" t="s">
        <v>89</v>
      </c>
      <c r="W74" s="14" t="s">
        <v>464</v>
      </c>
      <c r="X74" s="14" t="s">
        <v>206</v>
      </c>
      <c r="Y74" s="19" t="s">
        <v>124</v>
      </c>
      <c r="Z74" s="18">
        <f t="shared" si="226"/>
        <v>500</v>
      </c>
      <c r="AA74" s="20">
        <f t="shared" si="1"/>
        <v>0</v>
      </c>
      <c r="AB74" s="20">
        <f t="shared" si="2"/>
        <v>4.0000000000000002E-4</v>
      </c>
      <c r="AC74" s="21"/>
      <c r="AD74" s="21"/>
      <c r="AE74" s="21">
        <f t="shared" si="3"/>
        <v>1.3999999999999999E-4</v>
      </c>
      <c r="AF74" s="14">
        <v>0</v>
      </c>
      <c r="AG74" s="14">
        <v>100</v>
      </c>
      <c r="AH74" s="14">
        <v>100</v>
      </c>
      <c r="AI74" s="14">
        <v>300</v>
      </c>
      <c r="AJ74" s="26"/>
      <c r="AK74" s="26"/>
      <c r="AL74" s="26"/>
      <c r="AM74" s="26"/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f t="shared" si="285"/>
        <v>0</v>
      </c>
      <c r="AT74" s="24">
        <f t="shared" si="286"/>
        <v>0</v>
      </c>
      <c r="AU74" s="23" t="str">
        <f t="shared" si="287"/>
        <v>0%</v>
      </c>
      <c r="AV74" s="24">
        <f t="shared" si="7"/>
        <v>0</v>
      </c>
      <c r="AW74" s="26" t="s">
        <v>192</v>
      </c>
      <c r="AX74" s="26"/>
      <c r="AY74" s="26">
        <v>0</v>
      </c>
      <c r="AZ74" s="26">
        <v>0</v>
      </c>
      <c r="BA74" s="26">
        <v>0</v>
      </c>
      <c r="BB74" s="26">
        <v>0</v>
      </c>
      <c r="BC74" s="26">
        <v>40</v>
      </c>
      <c r="BD74" s="26">
        <v>20</v>
      </c>
      <c r="BE74" s="26">
        <v>60</v>
      </c>
      <c r="BF74" s="26"/>
      <c r="BG74" s="22">
        <f t="shared" ref="BG74:BH74" si="290">(AY74+BA74+BC74+BE74)</f>
        <v>100</v>
      </c>
      <c r="BH74" s="22">
        <f t="shared" si="290"/>
        <v>20</v>
      </c>
      <c r="BI74" s="22">
        <f t="shared" si="281"/>
        <v>0.2</v>
      </c>
      <c r="BJ74" s="23" t="str">
        <f t="shared" si="282"/>
        <v>100%</v>
      </c>
      <c r="BK74" s="24">
        <f t="shared" si="283"/>
        <v>0.2</v>
      </c>
      <c r="BL74" s="22" t="s">
        <v>92</v>
      </c>
      <c r="BM74" s="25" t="s">
        <v>465</v>
      </c>
      <c r="BN74" s="27">
        <v>1129476420</v>
      </c>
      <c r="BO74" s="27">
        <v>0</v>
      </c>
      <c r="BP74" s="27">
        <v>0</v>
      </c>
      <c r="BQ74" s="27">
        <v>0</v>
      </c>
      <c r="BR74" s="27">
        <f t="shared" ref="BR74:BS74" si="291">+BN74+BP74</f>
        <v>1129476420</v>
      </c>
      <c r="BS74" s="27">
        <f t="shared" si="291"/>
        <v>0</v>
      </c>
      <c r="BT74" s="20">
        <f t="shared" si="13"/>
        <v>0</v>
      </c>
      <c r="BU74" s="27">
        <v>300000000</v>
      </c>
      <c r="BV74" s="27">
        <v>1129476420</v>
      </c>
      <c r="BW74" s="27">
        <v>1129476420</v>
      </c>
      <c r="BX74" s="27">
        <v>0</v>
      </c>
      <c r="BY74" s="28">
        <f t="shared" si="149"/>
        <v>1</v>
      </c>
      <c r="BZ74" s="27">
        <v>2500000000</v>
      </c>
      <c r="CA74" s="20">
        <v>0</v>
      </c>
      <c r="CB74" s="29">
        <v>0</v>
      </c>
      <c r="CC74" s="29">
        <v>0</v>
      </c>
      <c r="CD74" s="29">
        <v>2500000000</v>
      </c>
    </row>
    <row r="75" spans="1:82" ht="54" customHeight="1">
      <c r="A75" s="12" t="s">
        <v>95</v>
      </c>
      <c r="B75" s="13">
        <v>0.23499999999999999</v>
      </c>
      <c r="C75" s="12"/>
      <c r="D75" s="14">
        <v>40</v>
      </c>
      <c r="E75" s="16">
        <v>4001</v>
      </c>
      <c r="F75" s="14">
        <v>10</v>
      </c>
      <c r="G75" s="14" t="s">
        <v>466</v>
      </c>
      <c r="H75" s="14">
        <v>1400</v>
      </c>
      <c r="I75" s="14">
        <v>10.1</v>
      </c>
      <c r="J75" s="14" t="s">
        <v>467</v>
      </c>
      <c r="K75" s="14" t="s">
        <v>468</v>
      </c>
      <c r="L75" s="14" t="s">
        <v>469</v>
      </c>
      <c r="M75" s="14" t="s">
        <v>470</v>
      </c>
      <c r="N75" s="14" t="s">
        <v>471</v>
      </c>
      <c r="O75" s="16">
        <v>4001032</v>
      </c>
      <c r="P75" s="17">
        <v>2024257990010</v>
      </c>
      <c r="Q75" s="14" t="s">
        <v>472</v>
      </c>
      <c r="R75" s="18">
        <v>74</v>
      </c>
      <c r="S75" s="14" t="s">
        <v>473</v>
      </c>
      <c r="T75" s="20">
        <v>1</v>
      </c>
      <c r="U75" s="14" t="s">
        <v>109</v>
      </c>
      <c r="V75" s="14" t="s">
        <v>114</v>
      </c>
      <c r="W75" s="14" t="s">
        <v>474</v>
      </c>
      <c r="X75" s="14" t="s">
        <v>139</v>
      </c>
      <c r="Y75" s="19"/>
      <c r="Z75" s="20">
        <f t="shared" si="226"/>
        <v>1</v>
      </c>
      <c r="AA75" s="20">
        <f t="shared" si="1"/>
        <v>0</v>
      </c>
      <c r="AB75" s="20">
        <f t="shared" si="2"/>
        <v>0</v>
      </c>
      <c r="AC75" s="21"/>
      <c r="AD75" s="21"/>
      <c r="AE75" s="21">
        <f t="shared" si="3"/>
        <v>0</v>
      </c>
      <c r="AF75" s="20">
        <v>0</v>
      </c>
      <c r="AG75" s="20">
        <v>0.3</v>
      </c>
      <c r="AH75" s="20">
        <v>0.4</v>
      </c>
      <c r="AI75" s="20">
        <v>0.3</v>
      </c>
      <c r="AJ75" s="26"/>
      <c r="AK75" s="26"/>
      <c r="AL75" s="26"/>
      <c r="AM75" s="26"/>
      <c r="AN75" s="34">
        <v>0</v>
      </c>
      <c r="AO75" s="34">
        <v>0</v>
      </c>
      <c r="AP75" s="34">
        <v>0</v>
      </c>
      <c r="AQ75" s="34">
        <v>0</v>
      </c>
      <c r="AR75" s="34">
        <v>0</v>
      </c>
      <c r="AS75" s="34">
        <f t="shared" si="285"/>
        <v>0</v>
      </c>
      <c r="AT75" s="24">
        <f t="shared" si="286"/>
        <v>0</v>
      </c>
      <c r="AU75" s="23" t="str">
        <f t="shared" si="287"/>
        <v>0%</v>
      </c>
      <c r="AV75" s="24">
        <f t="shared" si="7"/>
        <v>0</v>
      </c>
      <c r="AW75" s="26" t="s">
        <v>192</v>
      </c>
      <c r="AX75" s="26"/>
      <c r="AY75" s="14">
        <v>0</v>
      </c>
      <c r="AZ75" s="26">
        <v>0</v>
      </c>
      <c r="BA75" s="26">
        <v>0</v>
      </c>
      <c r="BB75" s="26">
        <v>0</v>
      </c>
      <c r="BC75" s="14">
        <v>0</v>
      </c>
      <c r="BD75" s="14">
        <v>0</v>
      </c>
      <c r="BE75" s="14">
        <v>0</v>
      </c>
      <c r="BF75" s="26">
        <v>0</v>
      </c>
      <c r="BG75" s="22">
        <f t="shared" ref="BG75:BH75" si="292">(AY75+BA75+BC75+BE75)</f>
        <v>0</v>
      </c>
      <c r="BH75" s="22">
        <f t="shared" si="292"/>
        <v>0</v>
      </c>
      <c r="BI75" s="23" t="str">
        <f t="shared" ref="BI75:BI77" si="293">IF(BF75&gt; 1, IF(BF75 = BG75, "100%", BF75 &amp; "%"), IF(BF75 &lt;= 0.01, "0%", BF75 * 100 &amp; "%"))</f>
        <v>0%</v>
      </c>
      <c r="BJ75" s="23" t="e">
        <f t="shared" si="282"/>
        <v>#DIV/0!</v>
      </c>
      <c r="BK75" s="24">
        <f t="shared" si="283"/>
        <v>0</v>
      </c>
      <c r="BL75" s="22" t="s">
        <v>92</v>
      </c>
      <c r="BM75" s="25" t="s">
        <v>475</v>
      </c>
      <c r="BN75" s="27">
        <v>50000000</v>
      </c>
      <c r="BO75" s="27">
        <v>0</v>
      </c>
      <c r="BP75" s="27">
        <v>0</v>
      </c>
      <c r="BQ75" s="27">
        <v>0</v>
      </c>
      <c r="BR75" s="27">
        <f t="shared" ref="BR75:BS75" si="294">+BN75+BP75</f>
        <v>50000000</v>
      </c>
      <c r="BS75" s="27">
        <f t="shared" si="294"/>
        <v>0</v>
      </c>
      <c r="BT75" s="20">
        <f t="shared" si="13"/>
        <v>0</v>
      </c>
      <c r="BU75" s="27">
        <v>50000000</v>
      </c>
      <c r="BV75" s="27">
        <v>50000000</v>
      </c>
      <c r="BW75" s="27">
        <v>0</v>
      </c>
      <c r="BX75" s="27">
        <v>0</v>
      </c>
      <c r="BY75" s="28">
        <f t="shared" si="149"/>
        <v>0</v>
      </c>
      <c r="BZ75" s="27">
        <v>50000000</v>
      </c>
      <c r="CA75" s="20">
        <v>51000000</v>
      </c>
      <c r="CB75" s="29">
        <v>52530000</v>
      </c>
      <c r="CC75" s="29">
        <v>54105900</v>
      </c>
      <c r="CD75" s="29">
        <v>207635900</v>
      </c>
    </row>
    <row r="76" spans="1:82" ht="76.5" customHeight="1">
      <c r="A76" s="12" t="s">
        <v>95</v>
      </c>
      <c r="B76" s="13">
        <v>0.23499999999999999</v>
      </c>
      <c r="C76" s="12"/>
      <c r="D76" s="14">
        <v>40</v>
      </c>
      <c r="E76" s="16">
        <v>4001</v>
      </c>
      <c r="F76" s="14">
        <v>10</v>
      </c>
      <c r="G76" s="14" t="s">
        <v>466</v>
      </c>
      <c r="H76" s="14">
        <v>1400</v>
      </c>
      <c r="I76" s="14">
        <v>10.1</v>
      </c>
      <c r="J76" s="14" t="s">
        <v>467</v>
      </c>
      <c r="K76" s="14" t="s">
        <v>468</v>
      </c>
      <c r="L76" s="14" t="s">
        <v>469</v>
      </c>
      <c r="M76" s="14" t="s">
        <v>476</v>
      </c>
      <c r="N76" s="14" t="s">
        <v>471</v>
      </c>
      <c r="O76" s="16">
        <v>4001032</v>
      </c>
      <c r="P76" s="17">
        <v>2024257990010</v>
      </c>
      <c r="Q76" s="14" t="s">
        <v>472</v>
      </c>
      <c r="R76" s="18">
        <v>75</v>
      </c>
      <c r="S76" s="14" t="s">
        <v>477</v>
      </c>
      <c r="T76" s="14">
        <v>75</v>
      </c>
      <c r="U76" s="14" t="s">
        <v>88</v>
      </c>
      <c r="V76" s="14" t="s">
        <v>89</v>
      </c>
      <c r="W76" s="14" t="s">
        <v>478</v>
      </c>
      <c r="X76" s="14" t="s">
        <v>206</v>
      </c>
      <c r="Y76" s="19"/>
      <c r="Z76" s="14">
        <f t="shared" si="226"/>
        <v>150</v>
      </c>
      <c r="AA76" s="20">
        <f t="shared" si="1"/>
        <v>6.6666666666666671E-3</v>
      </c>
      <c r="AB76" s="20">
        <f t="shared" si="2"/>
        <v>0</v>
      </c>
      <c r="AC76" s="21"/>
      <c r="AD76" s="21"/>
      <c r="AE76" s="21">
        <f t="shared" si="3"/>
        <v>1E-3</v>
      </c>
      <c r="AF76" s="14">
        <v>1</v>
      </c>
      <c r="AG76" s="14">
        <v>49</v>
      </c>
      <c r="AH76" s="14">
        <v>50</v>
      </c>
      <c r="AI76" s="14">
        <v>50</v>
      </c>
      <c r="AJ76" s="26"/>
      <c r="AK76" s="26"/>
      <c r="AL76" s="26"/>
      <c r="AM76" s="26"/>
      <c r="AN76" s="22">
        <v>0.5</v>
      </c>
      <c r="AO76" s="22">
        <v>0.5</v>
      </c>
      <c r="AP76" s="22">
        <v>0.5</v>
      </c>
      <c r="AQ76" s="22">
        <v>0.5</v>
      </c>
      <c r="AR76" s="22">
        <f t="shared" ref="AR76:AS76" si="295">(AJ76+AL76+AN76+AP76)</f>
        <v>1</v>
      </c>
      <c r="AS76" s="22">
        <f t="shared" si="295"/>
        <v>1</v>
      </c>
      <c r="AT76" s="22">
        <f>AS76/AR76</f>
        <v>1</v>
      </c>
      <c r="AU76" s="23" t="str">
        <f t="shared" si="287"/>
        <v>100%</v>
      </c>
      <c r="AV76" s="24">
        <f t="shared" si="7"/>
        <v>1</v>
      </c>
      <c r="AW76" s="14" t="s">
        <v>92</v>
      </c>
      <c r="AX76" s="47" t="s">
        <v>479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/>
      <c r="BE76" s="26">
        <v>0</v>
      </c>
      <c r="BF76" s="26"/>
      <c r="BG76" s="22">
        <f t="shared" ref="BG76:BH76" si="296">(AY76+BA76+BC76+BE76)</f>
        <v>0</v>
      </c>
      <c r="BH76" s="22">
        <f t="shared" si="296"/>
        <v>0</v>
      </c>
      <c r="BI76" s="23" t="str">
        <f t="shared" si="293"/>
        <v>0%</v>
      </c>
      <c r="BJ76" s="23">
        <f t="shared" ref="BJ76:BJ77" si="297">IF(BF78=0, 0, BG78/BF78)</f>
        <v>0</v>
      </c>
      <c r="BK76" s="24">
        <f t="shared" si="283"/>
        <v>0</v>
      </c>
      <c r="BL76" s="22" t="s">
        <v>192</v>
      </c>
      <c r="BM76" s="25" t="s">
        <v>480</v>
      </c>
      <c r="BN76" s="27">
        <v>397500000</v>
      </c>
      <c r="BO76" s="27">
        <v>44175000</v>
      </c>
      <c r="BP76" s="27">
        <v>7000000</v>
      </c>
      <c r="BQ76" s="27">
        <v>7000000</v>
      </c>
      <c r="BR76" s="27">
        <f t="shared" ref="BR76:BS76" si="298">+BN76+BP76</f>
        <v>404500000</v>
      </c>
      <c r="BS76" s="27">
        <f t="shared" si="298"/>
        <v>51175000</v>
      </c>
      <c r="BT76" s="20">
        <f t="shared" si="13"/>
        <v>0.1265142150803461</v>
      </c>
      <c r="BU76" s="27">
        <v>397500000</v>
      </c>
      <c r="BV76" s="27">
        <v>44175000</v>
      </c>
      <c r="BW76" s="27">
        <v>44175000</v>
      </c>
      <c r="BX76" s="27">
        <v>27652500</v>
      </c>
      <c r="BY76" s="28">
        <f t="shared" si="149"/>
        <v>1</v>
      </c>
      <c r="BZ76" s="27">
        <v>150000000</v>
      </c>
      <c r="CA76" s="20">
        <v>153000000</v>
      </c>
      <c r="CB76" s="29">
        <v>160000000</v>
      </c>
      <c r="CC76" s="29">
        <v>0</v>
      </c>
      <c r="CD76" s="29">
        <v>463000000</v>
      </c>
    </row>
    <row r="77" spans="1:82" ht="54" customHeight="1">
      <c r="A77" s="12" t="s">
        <v>95</v>
      </c>
      <c r="B77" s="13">
        <v>0.23499999999999999</v>
      </c>
      <c r="C77" s="12"/>
      <c r="D77" s="14">
        <v>40</v>
      </c>
      <c r="E77" s="16">
        <v>4001</v>
      </c>
      <c r="F77" s="14">
        <v>10</v>
      </c>
      <c r="G77" s="14" t="s">
        <v>466</v>
      </c>
      <c r="H77" s="14">
        <v>1400</v>
      </c>
      <c r="I77" s="14">
        <v>10.1</v>
      </c>
      <c r="J77" s="14" t="s">
        <v>467</v>
      </c>
      <c r="K77" s="14" t="s">
        <v>468</v>
      </c>
      <c r="L77" s="14" t="s">
        <v>469</v>
      </c>
      <c r="M77" s="14" t="s">
        <v>470</v>
      </c>
      <c r="N77" s="14" t="s">
        <v>471</v>
      </c>
      <c r="O77" s="16">
        <v>4001032</v>
      </c>
      <c r="P77" s="17">
        <v>2024257990010</v>
      </c>
      <c r="Q77" s="14" t="s">
        <v>472</v>
      </c>
      <c r="R77" s="18">
        <v>76</v>
      </c>
      <c r="S77" s="14" t="s">
        <v>481</v>
      </c>
      <c r="T77" s="14">
        <v>0</v>
      </c>
      <c r="U77" s="14" t="s">
        <v>109</v>
      </c>
      <c r="V77" s="14" t="s">
        <v>89</v>
      </c>
      <c r="W77" s="14" t="s">
        <v>482</v>
      </c>
      <c r="X77" s="14" t="s">
        <v>139</v>
      </c>
      <c r="Y77" s="19"/>
      <c r="Z77" s="20">
        <f t="shared" si="226"/>
        <v>0.5</v>
      </c>
      <c r="AA77" s="20">
        <f t="shared" si="1"/>
        <v>0</v>
      </c>
      <c r="AB77" s="20">
        <f t="shared" si="2"/>
        <v>0</v>
      </c>
      <c r="AC77" s="21"/>
      <c r="AD77" s="21"/>
      <c r="AE77" s="21">
        <f t="shared" si="3"/>
        <v>0</v>
      </c>
      <c r="AF77" s="14">
        <v>0</v>
      </c>
      <c r="AG77" s="14">
        <v>0</v>
      </c>
      <c r="AH77" s="20">
        <v>0.35</v>
      </c>
      <c r="AI77" s="20">
        <v>0.15</v>
      </c>
      <c r="AJ77" s="26"/>
      <c r="AK77" s="26"/>
      <c r="AL77" s="26"/>
      <c r="AM77" s="26"/>
      <c r="AN77" s="34">
        <v>0</v>
      </c>
      <c r="AO77" s="34">
        <v>0</v>
      </c>
      <c r="AP77" s="34">
        <v>0</v>
      </c>
      <c r="AQ77" s="34">
        <v>0</v>
      </c>
      <c r="AR77" s="34">
        <v>0</v>
      </c>
      <c r="AS77" s="34">
        <f t="shared" ref="AS77:AS79" si="299">(AK77+AM77+AO77+AQ77)/2</f>
        <v>0</v>
      </c>
      <c r="AT77" s="24">
        <f t="shared" ref="AT77:AT79" si="300">IF(AQ77=0, 0, AR77/AQ77)</f>
        <v>0</v>
      </c>
      <c r="AU77" s="23" t="str">
        <f t="shared" si="287"/>
        <v>0%</v>
      </c>
      <c r="AV77" s="24">
        <f t="shared" si="7"/>
        <v>0</v>
      </c>
      <c r="AW77" s="26" t="s">
        <v>192</v>
      </c>
      <c r="AX77" s="26"/>
      <c r="AY77" s="26">
        <v>0</v>
      </c>
      <c r="AZ77" s="26">
        <v>0</v>
      </c>
      <c r="BA77" s="26">
        <v>0</v>
      </c>
      <c r="BB77" s="26">
        <v>0</v>
      </c>
      <c r="BC77" s="26">
        <v>0</v>
      </c>
      <c r="BD77" s="14">
        <v>0</v>
      </c>
      <c r="BE77" s="14">
        <v>0</v>
      </c>
      <c r="BF77" s="26">
        <v>0</v>
      </c>
      <c r="BG77" s="22">
        <f t="shared" ref="BG77:BH77" si="301">(AY77+BA77+BC77+BE77)</f>
        <v>0</v>
      </c>
      <c r="BH77" s="22">
        <f t="shared" si="301"/>
        <v>0</v>
      </c>
      <c r="BI77" s="23" t="str">
        <f t="shared" si="293"/>
        <v>0%</v>
      </c>
      <c r="BJ77" s="23">
        <f t="shared" si="297"/>
        <v>0</v>
      </c>
      <c r="BK77" s="24">
        <f t="shared" si="283"/>
        <v>0</v>
      </c>
      <c r="BL77" s="22" t="s">
        <v>192</v>
      </c>
      <c r="BM77" s="25" t="s">
        <v>483</v>
      </c>
      <c r="BN77" s="27">
        <v>0</v>
      </c>
      <c r="BO77" s="27">
        <v>0</v>
      </c>
      <c r="BP77" s="27">
        <v>0</v>
      </c>
      <c r="BQ77" s="27">
        <v>0</v>
      </c>
      <c r="BR77" s="27">
        <f t="shared" ref="BR77:BS77" si="302">+BN77+BP77</f>
        <v>0</v>
      </c>
      <c r="BS77" s="27">
        <f t="shared" si="302"/>
        <v>0</v>
      </c>
      <c r="BT77" s="20" t="str">
        <f t="shared" si="13"/>
        <v/>
      </c>
      <c r="BU77" s="27">
        <v>0</v>
      </c>
      <c r="BV77" s="27">
        <v>0</v>
      </c>
      <c r="BW77" s="27">
        <v>0</v>
      </c>
      <c r="BX77" s="27">
        <v>0</v>
      </c>
      <c r="BY77" s="28" t="str">
        <f t="shared" si="149"/>
        <v/>
      </c>
      <c r="BZ77" s="27">
        <v>50000000</v>
      </c>
      <c r="CA77" s="20">
        <v>51000000</v>
      </c>
      <c r="CB77" s="29">
        <v>52530000</v>
      </c>
      <c r="CC77" s="29">
        <v>54105900</v>
      </c>
      <c r="CD77" s="29">
        <v>207635900</v>
      </c>
    </row>
    <row r="78" spans="1:82" ht="54" customHeight="1">
      <c r="A78" s="12" t="s">
        <v>78</v>
      </c>
      <c r="B78" s="13">
        <v>0.23499999999999999</v>
      </c>
      <c r="C78" s="12"/>
      <c r="D78" s="14">
        <v>40</v>
      </c>
      <c r="E78" s="16">
        <v>4001</v>
      </c>
      <c r="F78" s="14">
        <v>10</v>
      </c>
      <c r="G78" s="14" t="s">
        <v>466</v>
      </c>
      <c r="H78" s="14">
        <v>1400</v>
      </c>
      <c r="I78" s="14">
        <v>10.199999999999999</v>
      </c>
      <c r="J78" s="14" t="s">
        <v>484</v>
      </c>
      <c r="K78" s="14" t="s">
        <v>485</v>
      </c>
      <c r="L78" s="14" t="s">
        <v>486</v>
      </c>
      <c r="M78" s="14" t="s">
        <v>487</v>
      </c>
      <c r="N78" s="20">
        <v>1</v>
      </c>
      <c r="O78" s="16">
        <v>4001032</v>
      </c>
      <c r="P78" s="17">
        <v>2024257990010</v>
      </c>
      <c r="Q78" s="14" t="s">
        <v>472</v>
      </c>
      <c r="R78" s="18">
        <v>77</v>
      </c>
      <c r="S78" s="14" t="s">
        <v>488</v>
      </c>
      <c r="T78" s="14">
        <v>0</v>
      </c>
      <c r="U78" s="14" t="s">
        <v>88</v>
      </c>
      <c r="V78" s="14" t="s">
        <v>89</v>
      </c>
      <c r="W78" s="14" t="s">
        <v>489</v>
      </c>
      <c r="X78" s="14" t="s">
        <v>206</v>
      </c>
      <c r="Y78" s="19"/>
      <c r="Z78" s="18">
        <f t="shared" si="226"/>
        <v>0.91</v>
      </c>
      <c r="AA78" s="20">
        <f t="shared" si="1"/>
        <v>0</v>
      </c>
      <c r="AB78" s="20">
        <f t="shared" si="2"/>
        <v>0.24420024420024422</v>
      </c>
      <c r="AC78" s="21"/>
      <c r="AD78" s="21"/>
      <c r="AE78" s="21">
        <f t="shared" si="3"/>
        <v>8.5470085470085472E-2</v>
      </c>
      <c r="AF78" s="29">
        <v>0</v>
      </c>
      <c r="AG78" s="29">
        <v>0.9</v>
      </c>
      <c r="AH78" s="29">
        <v>0.01</v>
      </c>
      <c r="AI78" s="29">
        <v>0</v>
      </c>
      <c r="AJ78" s="26"/>
      <c r="AK78" s="26"/>
      <c r="AL78" s="26"/>
      <c r="AM78" s="26"/>
      <c r="AN78" s="34">
        <v>0</v>
      </c>
      <c r="AO78" s="34">
        <v>0</v>
      </c>
      <c r="AP78" s="34">
        <v>0</v>
      </c>
      <c r="AQ78" s="34">
        <v>0</v>
      </c>
      <c r="AR78" s="34">
        <v>0</v>
      </c>
      <c r="AS78" s="34">
        <f t="shared" si="299"/>
        <v>0</v>
      </c>
      <c r="AT78" s="24">
        <f t="shared" si="300"/>
        <v>0</v>
      </c>
      <c r="AU78" s="23" t="str">
        <f t="shared" si="287"/>
        <v>0%</v>
      </c>
      <c r="AV78" s="24">
        <f t="shared" si="7"/>
        <v>0</v>
      </c>
      <c r="AW78" s="26" t="s">
        <v>192</v>
      </c>
      <c r="AX78" s="26"/>
      <c r="AY78" s="46">
        <v>0.1</v>
      </c>
      <c r="AZ78" s="46">
        <v>0.1</v>
      </c>
      <c r="BA78" s="46">
        <v>0.1</v>
      </c>
      <c r="BB78" s="46">
        <v>0.1</v>
      </c>
      <c r="BC78" s="46">
        <v>0.3</v>
      </c>
      <c r="BD78" s="26">
        <v>0</v>
      </c>
      <c r="BE78" s="46">
        <v>0.4</v>
      </c>
      <c r="BF78" s="26"/>
      <c r="BG78" s="22">
        <f t="shared" ref="BG78:BH78" si="303">(AY78+BA78+BC78+BE78)</f>
        <v>0.9</v>
      </c>
      <c r="BH78" s="22">
        <f t="shared" si="303"/>
        <v>0.2</v>
      </c>
      <c r="BI78" s="22">
        <f>BH78/BG78</f>
        <v>0.22222222222222224</v>
      </c>
      <c r="BJ78" s="23" t="str">
        <f>MIN((BG78 /BG78) * 100, 100) &amp; "%"</f>
        <v>100%</v>
      </c>
      <c r="BK78" s="24">
        <f t="shared" si="283"/>
        <v>0.22222222222222224</v>
      </c>
      <c r="BL78" s="22" t="s">
        <v>92</v>
      </c>
      <c r="BM78" s="25" t="s">
        <v>490</v>
      </c>
      <c r="BN78" s="27">
        <v>3060000</v>
      </c>
      <c r="BO78" s="27">
        <v>3060000</v>
      </c>
      <c r="BP78" s="27">
        <v>0</v>
      </c>
      <c r="BQ78" s="27">
        <v>0</v>
      </c>
      <c r="BR78" s="27">
        <f t="shared" ref="BR78:BS78" si="304">+BN78+BP78</f>
        <v>3060000</v>
      </c>
      <c r="BS78" s="27">
        <f t="shared" si="304"/>
        <v>3060000</v>
      </c>
      <c r="BT78" s="20">
        <f t="shared" si="13"/>
        <v>1</v>
      </c>
      <c r="BU78" s="27">
        <v>3060000</v>
      </c>
      <c r="BV78" s="27">
        <v>3060000</v>
      </c>
      <c r="BW78" s="27">
        <v>3060000</v>
      </c>
      <c r="BX78" s="27">
        <v>3060000</v>
      </c>
      <c r="BY78" s="28">
        <f t="shared" si="149"/>
        <v>1</v>
      </c>
      <c r="BZ78" s="27">
        <v>3000000</v>
      </c>
      <c r="CA78" s="20">
        <v>3060000</v>
      </c>
      <c r="CB78" s="29">
        <v>3151800</v>
      </c>
      <c r="CC78" s="29">
        <v>3246354</v>
      </c>
      <c r="CD78" s="29">
        <v>12458154</v>
      </c>
    </row>
    <row r="79" spans="1:82" ht="54" customHeight="1">
      <c r="A79" s="12" t="s">
        <v>95</v>
      </c>
      <c r="B79" s="13">
        <v>0.23499999999999999</v>
      </c>
      <c r="C79" s="12"/>
      <c r="D79" s="14">
        <v>40</v>
      </c>
      <c r="E79" s="16">
        <v>4001</v>
      </c>
      <c r="F79" s="14">
        <v>10</v>
      </c>
      <c r="G79" s="14" t="s">
        <v>466</v>
      </c>
      <c r="H79" s="14">
        <v>1400</v>
      </c>
      <c r="I79" s="14">
        <v>10.199999999999999</v>
      </c>
      <c r="J79" s="14" t="s">
        <v>484</v>
      </c>
      <c r="K79" s="14" t="s">
        <v>485</v>
      </c>
      <c r="L79" s="14" t="s">
        <v>486</v>
      </c>
      <c r="M79" s="14" t="s">
        <v>487</v>
      </c>
      <c r="N79" s="20">
        <v>1</v>
      </c>
      <c r="O79" s="16">
        <v>4001032</v>
      </c>
      <c r="P79" s="17">
        <v>2024257990010</v>
      </c>
      <c r="Q79" s="14" t="s">
        <v>472</v>
      </c>
      <c r="R79" s="18">
        <v>78</v>
      </c>
      <c r="S79" s="14" t="s">
        <v>491</v>
      </c>
      <c r="T79" s="14">
        <v>0</v>
      </c>
      <c r="U79" s="14" t="s">
        <v>88</v>
      </c>
      <c r="V79" s="14" t="s">
        <v>89</v>
      </c>
      <c r="W79" s="14" t="s">
        <v>492</v>
      </c>
      <c r="X79" s="14" t="s">
        <v>91</v>
      </c>
      <c r="Y79" s="19"/>
      <c r="Z79" s="18">
        <f t="shared" si="226"/>
        <v>1</v>
      </c>
      <c r="AA79" s="20">
        <f t="shared" si="1"/>
        <v>0</v>
      </c>
      <c r="AB79" s="20">
        <f t="shared" si="2"/>
        <v>0</v>
      </c>
      <c r="AC79" s="21"/>
      <c r="AD79" s="21"/>
      <c r="AE79" s="21">
        <f t="shared" si="3"/>
        <v>0</v>
      </c>
      <c r="AF79" s="48">
        <v>0</v>
      </c>
      <c r="AG79" s="48">
        <v>0</v>
      </c>
      <c r="AH79" s="48">
        <v>0.8</v>
      </c>
      <c r="AI79" s="48">
        <v>0.2</v>
      </c>
      <c r="AJ79" s="26"/>
      <c r="AK79" s="26"/>
      <c r="AL79" s="26"/>
      <c r="AM79" s="26"/>
      <c r="AN79" s="34">
        <v>0</v>
      </c>
      <c r="AO79" s="34">
        <v>0</v>
      </c>
      <c r="AP79" s="34">
        <v>0</v>
      </c>
      <c r="AQ79" s="34">
        <v>0</v>
      </c>
      <c r="AR79" s="34">
        <v>0</v>
      </c>
      <c r="AS79" s="34">
        <f t="shared" si="299"/>
        <v>0</v>
      </c>
      <c r="AT79" s="24">
        <f t="shared" si="300"/>
        <v>0</v>
      </c>
      <c r="AU79" s="23" t="str">
        <f t="shared" si="287"/>
        <v>0%</v>
      </c>
      <c r="AV79" s="24">
        <f t="shared" si="7"/>
        <v>0</v>
      </c>
      <c r="AW79" s="26" t="s">
        <v>192</v>
      </c>
      <c r="AX79" s="26"/>
      <c r="AY79" s="32">
        <v>0</v>
      </c>
      <c r="AZ79" s="32">
        <v>0</v>
      </c>
      <c r="BA79" s="32">
        <v>0</v>
      </c>
      <c r="BB79" s="32"/>
      <c r="BC79" s="32">
        <v>0</v>
      </c>
      <c r="BD79" s="32"/>
      <c r="BE79" s="32">
        <v>0</v>
      </c>
      <c r="BF79" s="32"/>
      <c r="BG79" s="22">
        <f t="shared" ref="BG79:BH79" si="305">(AY79+BA79+BC79+BE79)</f>
        <v>0</v>
      </c>
      <c r="BH79" s="22">
        <f t="shared" si="305"/>
        <v>0</v>
      </c>
      <c r="BI79" s="23" t="str">
        <f>IF(BF79&gt; 1, IF(BF79 = BG79, "100%", BF79 &amp; "%"), IF(BF79 &lt;= 0.01, "0%", BF79 * 100 &amp; "%"))</f>
        <v>0%</v>
      </c>
      <c r="BJ79" s="24">
        <f t="shared" ref="BJ79:BK79" si="306">IF(BF79=0, 0, BG79/BF79)</f>
        <v>0</v>
      </c>
      <c r="BK79" s="24">
        <f t="shared" si="306"/>
        <v>0</v>
      </c>
      <c r="BL79" s="26" t="s">
        <v>192</v>
      </c>
      <c r="BM79" s="46"/>
      <c r="BN79" s="27">
        <v>0</v>
      </c>
      <c r="BO79" s="27">
        <v>0</v>
      </c>
      <c r="BP79" s="27">
        <v>0</v>
      </c>
      <c r="BQ79" s="27">
        <v>0</v>
      </c>
      <c r="BR79" s="27">
        <f t="shared" ref="BR79:BS79" si="307">+BN79+BP79</f>
        <v>0</v>
      </c>
      <c r="BS79" s="27">
        <f t="shared" si="307"/>
        <v>0</v>
      </c>
      <c r="BT79" s="20" t="str">
        <f t="shared" si="13"/>
        <v/>
      </c>
      <c r="BU79" s="27">
        <v>0</v>
      </c>
      <c r="BV79" s="27">
        <v>0</v>
      </c>
      <c r="BW79" s="27">
        <v>0</v>
      </c>
      <c r="BX79" s="27">
        <v>0</v>
      </c>
      <c r="BY79" s="28" t="str">
        <f t="shared" si="149"/>
        <v/>
      </c>
      <c r="BZ79" s="27">
        <v>5000000</v>
      </c>
      <c r="CA79" s="20">
        <v>5100000</v>
      </c>
      <c r="CB79" s="29">
        <v>5253000</v>
      </c>
      <c r="CC79" s="29">
        <v>5410590</v>
      </c>
      <c r="CD79" s="29">
        <v>20763590</v>
      </c>
    </row>
    <row r="80" spans="1:82" ht="70.5" customHeight="1">
      <c r="A80" s="12" t="s">
        <v>493</v>
      </c>
      <c r="B80" s="13">
        <v>0.114</v>
      </c>
      <c r="C80" s="12"/>
      <c r="D80" s="14">
        <v>45</v>
      </c>
      <c r="E80" s="14">
        <v>4501</v>
      </c>
      <c r="F80" s="14">
        <v>11</v>
      </c>
      <c r="G80" s="14" t="s">
        <v>494</v>
      </c>
      <c r="H80" s="14">
        <v>1000</v>
      </c>
      <c r="I80" s="14">
        <v>11.1</v>
      </c>
      <c r="J80" s="14" t="s">
        <v>495</v>
      </c>
      <c r="K80" s="14" t="s">
        <v>496</v>
      </c>
      <c r="L80" s="14" t="s">
        <v>497</v>
      </c>
      <c r="M80" s="14" t="s">
        <v>498</v>
      </c>
      <c r="N80" s="14" t="s">
        <v>499</v>
      </c>
      <c r="O80" s="16">
        <v>4501007</v>
      </c>
      <c r="P80" s="17">
        <v>2024257990011</v>
      </c>
      <c r="Q80" s="14" t="s">
        <v>500</v>
      </c>
      <c r="R80" s="18">
        <v>79</v>
      </c>
      <c r="S80" s="14" t="s">
        <v>501</v>
      </c>
      <c r="T80" s="14" t="s">
        <v>502</v>
      </c>
      <c r="U80" s="14" t="s">
        <v>88</v>
      </c>
      <c r="V80" s="14" t="s">
        <v>114</v>
      </c>
      <c r="W80" s="14" t="s">
        <v>503</v>
      </c>
      <c r="X80" s="14" t="s">
        <v>417</v>
      </c>
      <c r="Y80" s="29"/>
      <c r="Z80" s="14">
        <f t="shared" si="226"/>
        <v>5</v>
      </c>
      <c r="AA80" s="20">
        <f t="shared" si="1"/>
        <v>0.2</v>
      </c>
      <c r="AB80" s="20">
        <f t="shared" si="2"/>
        <v>0.2</v>
      </c>
      <c r="AC80" s="21"/>
      <c r="AD80" s="21"/>
      <c r="AE80" s="21">
        <f t="shared" si="3"/>
        <v>9.9999999999999992E-2</v>
      </c>
      <c r="AF80" s="14">
        <v>1</v>
      </c>
      <c r="AG80" s="14">
        <v>2</v>
      </c>
      <c r="AH80" s="14">
        <v>2</v>
      </c>
      <c r="AI80" s="14">
        <v>0</v>
      </c>
      <c r="AJ80" s="26"/>
      <c r="AK80" s="26"/>
      <c r="AL80" s="26"/>
      <c r="AM80" s="26"/>
      <c r="AN80" s="26">
        <v>0.4</v>
      </c>
      <c r="AO80" s="26">
        <v>0.4</v>
      </c>
      <c r="AP80" s="26">
        <v>0.6</v>
      </c>
      <c r="AQ80" s="26">
        <v>0.6</v>
      </c>
      <c r="AR80" s="22">
        <f t="shared" ref="AR80:AS80" si="308">(AJ80+AL80+AN80+AP80)</f>
        <v>1</v>
      </c>
      <c r="AS80" s="22">
        <f t="shared" si="308"/>
        <v>1</v>
      </c>
      <c r="AT80" s="22">
        <f t="shared" ref="AT80:AT81" si="309">AS80/AR80</f>
        <v>1</v>
      </c>
      <c r="AU80" s="23" t="str">
        <f t="shared" ref="AU80:AU81" si="310">MIN((AR80 /AR80) * 100, 100) &amp; "%"</f>
        <v>100%</v>
      </c>
      <c r="AV80" s="24">
        <f t="shared" si="7"/>
        <v>1</v>
      </c>
      <c r="AW80" s="14" t="s">
        <v>92</v>
      </c>
      <c r="AX80" s="30" t="s">
        <v>504</v>
      </c>
      <c r="AY80" s="26">
        <v>1</v>
      </c>
      <c r="AZ80" s="26">
        <v>1</v>
      </c>
      <c r="BA80" s="26">
        <v>1</v>
      </c>
      <c r="BB80" s="26">
        <v>1</v>
      </c>
      <c r="BC80" s="26">
        <v>1</v>
      </c>
      <c r="BD80" s="26">
        <v>1</v>
      </c>
      <c r="BE80" s="26">
        <v>0</v>
      </c>
      <c r="BF80" s="26"/>
      <c r="BG80" s="22">
        <f t="shared" ref="BG80:BH80" si="311">(AY80+BA80+BC80+BE80)</f>
        <v>3</v>
      </c>
      <c r="BH80" s="22">
        <f t="shared" si="311"/>
        <v>3</v>
      </c>
      <c r="BI80" s="22">
        <f t="shared" ref="BI80:BI88" si="312">BH80/BG80</f>
        <v>1</v>
      </c>
      <c r="BJ80" s="23" t="str">
        <f t="shared" ref="BJ80:BJ88" si="313">MIN((BG80 /BG80) * 100, 100) &amp; "%"</f>
        <v>100%</v>
      </c>
      <c r="BK80" s="24">
        <f t="shared" ref="BK80:BK88" si="314">IF(BG80=0, 0, BH80/BG80)</f>
        <v>1</v>
      </c>
      <c r="BL80" s="22" t="s">
        <v>92</v>
      </c>
      <c r="BM80" s="25" t="s">
        <v>504</v>
      </c>
      <c r="BN80" s="27">
        <v>1573941260</v>
      </c>
      <c r="BO80" s="27">
        <v>376704465</v>
      </c>
      <c r="BP80" s="27">
        <v>691930224</v>
      </c>
      <c r="BQ80" s="27">
        <v>691930224</v>
      </c>
      <c r="BR80" s="27">
        <f t="shared" ref="BR80:BS80" si="315">+BN80+BP80</f>
        <v>2265871484</v>
      </c>
      <c r="BS80" s="27">
        <f t="shared" si="315"/>
        <v>1068634689</v>
      </c>
      <c r="BT80" s="20">
        <f t="shared" si="13"/>
        <v>0.47162193290570581</v>
      </c>
      <c r="BU80" s="27">
        <v>1378000000</v>
      </c>
      <c r="BV80" s="27">
        <v>1573941260</v>
      </c>
      <c r="BW80" s="27">
        <v>786309322</v>
      </c>
      <c r="BX80" s="27">
        <v>293465335</v>
      </c>
      <c r="BY80" s="28">
        <f t="shared" si="149"/>
        <v>0.49957983946618184</v>
      </c>
      <c r="BZ80" s="27">
        <v>1400000000</v>
      </c>
      <c r="CA80" s="20">
        <v>1428000000</v>
      </c>
      <c r="CB80" s="29">
        <v>1456560000</v>
      </c>
      <c r="CC80" s="29">
        <v>1500256800</v>
      </c>
      <c r="CD80" s="29">
        <v>5784816800</v>
      </c>
    </row>
    <row r="81" spans="1:82" ht="84.75" customHeight="1">
      <c r="A81" s="12" t="s">
        <v>493</v>
      </c>
      <c r="B81" s="13">
        <v>0.114</v>
      </c>
      <c r="C81" s="12"/>
      <c r="D81" s="14">
        <v>45</v>
      </c>
      <c r="E81" s="14">
        <v>4501</v>
      </c>
      <c r="F81" s="14">
        <v>11</v>
      </c>
      <c r="G81" s="14" t="s">
        <v>494</v>
      </c>
      <c r="H81" s="14">
        <v>1000</v>
      </c>
      <c r="I81" s="14">
        <v>11.1</v>
      </c>
      <c r="J81" s="14" t="s">
        <v>495</v>
      </c>
      <c r="K81" s="14" t="s">
        <v>496</v>
      </c>
      <c r="L81" s="14" t="s">
        <v>497</v>
      </c>
      <c r="M81" s="14" t="s">
        <v>498</v>
      </c>
      <c r="N81" s="14" t="s">
        <v>499</v>
      </c>
      <c r="O81" s="16">
        <v>4501026</v>
      </c>
      <c r="P81" s="17">
        <v>2024257990011</v>
      </c>
      <c r="Q81" s="14" t="s">
        <v>500</v>
      </c>
      <c r="R81" s="18">
        <v>80</v>
      </c>
      <c r="S81" s="14" t="s">
        <v>505</v>
      </c>
      <c r="T81" s="20">
        <v>1</v>
      </c>
      <c r="U81" s="14" t="s">
        <v>109</v>
      </c>
      <c r="V81" s="14" t="s">
        <v>114</v>
      </c>
      <c r="W81" s="14" t="s">
        <v>506</v>
      </c>
      <c r="X81" s="14" t="s">
        <v>417</v>
      </c>
      <c r="Y81" s="29" t="s">
        <v>124</v>
      </c>
      <c r="Z81" s="24">
        <f>SUM(AF81:AI81)/4</f>
        <v>1</v>
      </c>
      <c r="AA81" s="20">
        <f t="shared" si="1"/>
        <v>0.5</v>
      </c>
      <c r="AB81" s="20">
        <f t="shared" si="2"/>
        <v>0.85</v>
      </c>
      <c r="AC81" s="21"/>
      <c r="AD81" s="21"/>
      <c r="AE81" s="21">
        <f t="shared" si="3"/>
        <v>0.3725</v>
      </c>
      <c r="AF81" s="20">
        <v>1</v>
      </c>
      <c r="AG81" s="20">
        <v>1</v>
      </c>
      <c r="AH81" s="20">
        <v>1</v>
      </c>
      <c r="AI81" s="20">
        <v>1</v>
      </c>
      <c r="AJ81" s="26"/>
      <c r="AK81" s="26"/>
      <c r="AL81" s="26"/>
      <c r="AM81" s="26"/>
      <c r="AN81" s="24">
        <v>0.4</v>
      </c>
      <c r="AO81" s="24">
        <v>0.4</v>
      </c>
      <c r="AP81" s="24">
        <v>0.6</v>
      </c>
      <c r="AQ81" s="23">
        <v>0.6</v>
      </c>
      <c r="AR81" s="24">
        <f t="shared" ref="AR81:AS81" si="316">(AJ81+AL81+AN81+AP81)/2</f>
        <v>0.5</v>
      </c>
      <c r="AS81" s="24">
        <f t="shared" si="316"/>
        <v>0.5</v>
      </c>
      <c r="AT81" s="24">
        <f t="shared" si="309"/>
        <v>1</v>
      </c>
      <c r="AU81" s="23" t="str">
        <f t="shared" si="310"/>
        <v>100%</v>
      </c>
      <c r="AV81" s="24">
        <f t="shared" si="7"/>
        <v>1</v>
      </c>
      <c r="AW81" s="14" t="s">
        <v>92</v>
      </c>
      <c r="AX81" s="30" t="s">
        <v>507</v>
      </c>
      <c r="AY81" s="24">
        <v>0.15</v>
      </c>
      <c r="AZ81" s="24">
        <v>0.15</v>
      </c>
      <c r="BA81" s="24">
        <v>0.3</v>
      </c>
      <c r="BB81" s="24">
        <v>0.3</v>
      </c>
      <c r="BC81" s="24">
        <v>0.4</v>
      </c>
      <c r="BD81" s="24">
        <v>0.4</v>
      </c>
      <c r="BE81" s="24">
        <v>0.15</v>
      </c>
      <c r="BF81" s="26"/>
      <c r="BG81" s="20">
        <f t="shared" ref="BG81:BH81" si="317">(AY81+BA81+BC81+BE81)</f>
        <v>1</v>
      </c>
      <c r="BH81" s="20">
        <f t="shared" si="317"/>
        <v>0.85</v>
      </c>
      <c r="BI81" s="20">
        <f t="shared" si="312"/>
        <v>0.85</v>
      </c>
      <c r="BJ81" s="23" t="str">
        <f t="shared" si="313"/>
        <v>100%</v>
      </c>
      <c r="BK81" s="24">
        <f t="shared" si="314"/>
        <v>0.85</v>
      </c>
      <c r="BL81" s="22" t="s">
        <v>92</v>
      </c>
      <c r="BM81" s="25" t="s">
        <v>507</v>
      </c>
      <c r="BN81" s="27">
        <v>2260941593</v>
      </c>
      <c r="BO81" s="27">
        <v>1276527909</v>
      </c>
      <c r="BP81" s="27">
        <v>950167957</v>
      </c>
      <c r="BQ81" s="27">
        <v>950167957</v>
      </c>
      <c r="BR81" s="27">
        <f t="shared" ref="BR81:BS81" si="318">+BN81+BP81</f>
        <v>3211109550</v>
      </c>
      <c r="BS81" s="27">
        <f t="shared" si="318"/>
        <v>2226695866</v>
      </c>
      <c r="BT81" s="20">
        <f t="shared" si="13"/>
        <v>0.69343503587412647</v>
      </c>
      <c r="BU81" s="27">
        <v>1813453332</v>
      </c>
      <c r="BV81" s="27">
        <v>2570941593</v>
      </c>
      <c r="BW81" s="27">
        <v>1696634239</v>
      </c>
      <c r="BX81" s="27">
        <v>852713608</v>
      </c>
      <c r="BY81" s="28">
        <f t="shared" si="149"/>
        <v>0.65992718139513173</v>
      </c>
      <c r="BZ81" s="27">
        <v>1919575503</v>
      </c>
      <c r="CA81" s="20">
        <v>2532953211</v>
      </c>
      <c r="CB81" s="29">
        <v>2501624594</v>
      </c>
      <c r="CC81" s="29">
        <v>2595591918</v>
      </c>
      <c r="CD81" s="29">
        <v>9549745226</v>
      </c>
    </row>
    <row r="82" spans="1:82" ht="39.75" customHeight="1">
      <c r="A82" s="12" t="s">
        <v>493</v>
      </c>
      <c r="B82" s="13">
        <v>0.114</v>
      </c>
      <c r="C82" s="12"/>
      <c r="D82" s="14">
        <v>45</v>
      </c>
      <c r="E82" s="14">
        <v>4501</v>
      </c>
      <c r="F82" s="14">
        <v>11</v>
      </c>
      <c r="G82" s="14" t="s">
        <v>494</v>
      </c>
      <c r="H82" s="14">
        <v>1000</v>
      </c>
      <c r="I82" s="14">
        <v>11.1</v>
      </c>
      <c r="J82" s="14" t="s">
        <v>495</v>
      </c>
      <c r="K82" s="14" t="s">
        <v>496</v>
      </c>
      <c r="L82" s="14" t="s">
        <v>497</v>
      </c>
      <c r="M82" s="14" t="s">
        <v>498</v>
      </c>
      <c r="N82" s="14" t="s">
        <v>499</v>
      </c>
      <c r="O82" s="16">
        <v>4501001</v>
      </c>
      <c r="P82" s="17">
        <v>2024257990011</v>
      </c>
      <c r="Q82" s="14" t="s">
        <v>500</v>
      </c>
      <c r="R82" s="18">
        <v>81</v>
      </c>
      <c r="S82" s="14" t="s">
        <v>508</v>
      </c>
      <c r="T82" s="14">
        <v>0</v>
      </c>
      <c r="U82" s="14" t="s">
        <v>88</v>
      </c>
      <c r="V82" s="14" t="s">
        <v>89</v>
      </c>
      <c r="W82" s="14" t="s">
        <v>509</v>
      </c>
      <c r="X82" s="14" t="s">
        <v>417</v>
      </c>
      <c r="Y82" s="29"/>
      <c r="Z82" s="14">
        <f>SUM(AF82:AI82)</f>
        <v>8</v>
      </c>
      <c r="AA82" s="20">
        <f t="shared" si="1"/>
        <v>0</v>
      </c>
      <c r="AB82" s="20">
        <f t="shared" si="2"/>
        <v>0.1</v>
      </c>
      <c r="AC82" s="21"/>
      <c r="AD82" s="21"/>
      <c r="AE82" s="21">
        <f t="shared" si="3"/>
        <v>3.4999999999999996E-2</v>
      </c>
      <c r="AF82" s="14">
        <v>0</v>
      </c>
      <c r="AG82" s="14">
        <v>1</v>
      </c>
      <c r="AH82" s="14">
        <v>3</v>
      </c>
      <c r="AI82" s="14">
        <v>4</v>
      </c>
      <c r="AJ82" s="26"/>
      <c r="AK82" s="26"/>
      <c r="AL82" s="26"/>
      <c r="AM82" s="26"/>
      <c r="AN82" s="34">
        <v>0</v>
      </c>
      <c r="AO82" s="34">
        <v>0</v>
      </c>
      <c r="AP82" s="34">
        <v>0</v>
      </c>
      <c r="AQ82" s="34">
        <v>0</v>
      </c>
      <c r="AR82" s="34">
        <v>0</v>
      </c>
      <c r="AS82" s="34">
        <f>(AK82+AM82+AO82+AQ82)/2</f>
        <v>0</v>
      </c>
      <c r="AT82" s="24">
        <f>IF(AQ82=0, 0, AR82/AQ82)</f>
        <v>0</v>
      </c>
      <c r="AU82" s="23" t="str">
        <f>IF(AR82&gt; 1, IF(AR82 = AS82, "100%", AR82 &amp; "%"), IF(AR82 &lt;= 0.01, "0%", AR82 * 100 &amp; "%"))</f>
        <v>0%</v>
      </c>
      <c r="AV82" s="24">
        <f t="shared" si="7"/>
        <v>0</v>
      </c>
      <c r="AW82" s="26" t="s">
        <v>192</v>
      </c>
      <c r="AX82" s="30" t="s">
        <v>510</v>
      </c>
      <c r="AY82" s="26">
        <v>0</v>
      </c>
      <c r="AZ82" s="26">
        <v>0</v>
      </c>
      <c r="BA82" s="26">
        <v>0</v>
      </c>
      <c r="BB82" s="26">
        <v>0</v>
      </c>
      <c r="BC82" s="26">
        <v>0.8</v>
      </c>
      <c r="BD82" s="26">
        <v>0.8</v>
      </c>
      <c r="BE82" s="26">
        <v>0.2</v>
      </c>
      <c r="BF82" s="26"/>
      <c r="BG82" s="22">
        <f t="shared" ref="BG82:BH82" si="319">(AY82+BA82+BC82+BE82)</f>
        <v>1</v>
      </c>
      <c r="BH82" s="22">
        <f t="shared" si="319"/>
        <v>0.8</v>
      </c>
      <c r="BI82" s="22">
        <f t="shared" si="312"/>
        <v>0.8</v>
      </c>
      <c r="BJ82" s="23" t="str">
        <f t="shared" si="313"/>
        <v>100%</v>
      </c>
      <c r="BK82" s="24">
        <f t="shared" si="314"/>
        <v>0.8</v>
      </c>
      <c r="BL82" s="22" t="s">
        <v>92</v>
      </c>
      <c r="BM82" s="25" t="s">
        <v>510</v>
      </c>
      <c r="BN82" s="27">
        <v>23026500</v>
      </c>
      <c r="BO82" s="27">
        <v>0</v>
      </c>
      <c r="BP82" s="27">
        <v>0</v>
      </c>
      <c r="BQ82" s="27">
        <v>0</v>
      </c>
      <c r="BR82" s="27">
        <f t="shared" ref="BR82:BS82" si="320">+BN82+BP82</f>
        <v>23026500</v>
      </c>
      <c r="BS82" s="27">
        <f t="shared" si="320"/>
        <v>0</v>
      </c>
      <c r="BT82" s="20">
        <f t="shared" si="13"/>
        <v>0</v>
      </c>
      <c r="BU82" s="27">
        <v>23026500</v>
      </c>
      <c r="BV82" s="27">
        <v>23026500</v>
      </c>
      <c r="BW82" s="27">
        <v>0</v>
      </c>
      <c r="BX82" s="27">
        <v>0</v>
      </c>
      <c r="BY82" s="28">
        <f t="shared" si="149"/>
        <v>0</v>
      </c>
      <c r="BZ82" s="27">
        <v>0</v>
      </c>
      <c r="CA82" s="20">
        <v>50000000</v>
      </c>
      <c r="CB82" s="29">
        <v>51000000</v>
      </c>
      <c r="CC82" s="29">
        <v>52530000</v>
      </c>
      <c r="CD82" s="29">
        <v>153530000</v>
      </c>
    </row>
    <row r="83" spans="1:82" ht="45.75" customHeight="1">
      <c r="A83" s="12" t="s">
        <v>493</v>
      </c>
      <c r="B83" s="13">
        <v>0.114</v>
      </c>
      <c r="C83" s="12"/>
      <c r="D83" s="14">
        <v>45</v>
      </c>
      <c r="E83" s="14">
        <v>4501</v>
      </c>
      <c r="F83" s="14">
        <v>11</v>
      </c>
      <c r="G83" s="14" t="s">
        <v>494</v>
      </c>
      <c r="H83" s="14">
        <v>1000</v>
      </c>
      <c r="I83" s="14">
        <v>11.1</v>
      </c>
      <c r="J83" s="14" t="s">
        <v>495</v>
      </c>
      <c r="K83" s="14" t="s">
        <v>496</v>
      </c>
      <c r="L83" s="14" t="s">
        <v>497</v>
      </c>
      <c r="M83" s="14" t="s">
        <v>498</v>
      </c>
      <c r="N83" s="14" t="s">
        <v>499</v>
      </c>
      <c r="O83" s="16">
        <v>4501032</v>
      </c>
      <c r="P83" s="17">
        <v>2024257990011</v>
      </c>
      <c r="Q83" s="14" t="s">
        <v>500</v>
      </c>
      <c r="R83" s="18">
        <v>82</v>
      </c>
      <c r="S83" s="14" t="s">
        <v>511</v>
      </c>
      <c r="T83" s="14">
        <v>1</v>
      </c>
      <c r="U83" s="14" t="s">
        <v>88</v>
      </c>
      <c r="V83" s="14" t="s">
        <v>114</v>
      </c>
      <c r="W83" s="14" t="s">
        <v>512</v>
      </c>
      <c r="X83" s="14" t="s">
        <v>417</v>
      </c>
      <c r="Y83" s="29"/>
      <c r="Z83" s="14">
        <f t="shared" ref="Z83:Z88" si="321">SUM(AF83:AI83)/4</f>
        <v>1</v>
      </c>
      <c r="AA83" s="20">
        <f t="shared" si="1"/>
        <v>1</v>
      </c>
      <c r="AB83" s="20">
        <f t="shared" si="2"/>
        <v>0.8</v>
      </c>
      <c r="AC83" s="21"/>
      <c r="AD83" s="21"/>
      <c r="AE83" s="21">
        <f t="shared" si="3"/>
        <v>0.42999999999999994</v>
      </c>
      <c r="AF83" s="14">
        <v>1</v>
      </c>
      <c r="AG83" s="14">
        <v>1</v>
      </c>
      <c r="AH83" s="14">
        <v>1</v>
      </c>
      <c r="AI83" s="14">
        <v>1</v>
      </c>
      <c r="AJ83" s="26"/>
      <c r="AK83" s="26"/>
      <c r="AL83" s="26"/>
      <c r="AM83" s="26"/>
      <c r="AN83" s="26">
        <v>0.7</v>
      </c>
      <c r="AO83" s="26">
        <v>0.7</v>
      </c>
      <c r="AP83" s="26">
        <v>0.3</v>
      </c>
      <c r="AQ83" s="26">
        <v>0.3</v>
      </c>
      <c r="AR83" s="22">
        <f t="shared" ref="AR83:AS83" si="322">(AJ83+AL83+AN83+AP83)</f>
        <v>1</v>
      </c>
      <c r="AS83" s="22">
        <f t="shared" si="322"/>
        <v>1</v>
      </c>
      <c r="AT83" s="22">
        <f t="shared" ref="AT83:AT89" si="323">AS83/AR83</f>
        <v>1</v>
      </c>
      <c r="AU83" s="23" t="str">
        <f t="shared" ref="AU83:AU89" si="324">MIN((AR83 /AR83) * 100, 100) &amp; "%"</f>
        <v>100%</v>
      </c>
      <c r="AV83" s="24">
        <f t="shared" si="7"/>
        <v>1</v>
      </c>
      <c r="AW83" s="14" t="s">
        <v>92</v>
      </c>
      <c r="AX83" s="30" t="s">
        <v>513</v>
      </c>
      <c r="AY83" s="46">
        <v>0</v>
      </c>
      <c r="AZ83" s="26">
        <v>0</v>
      </c>
      <c r="BA83" s="46">
        <v>0.3</v>
      </c>
      <c r="BB83" s="46">
        <v>0.3</v>
      </c>
      <c r="BC83" s="46">
        <v>0.5</v>
      </c>
      <c r="BD83" s="46">
        <v>0.5</v>
      </c>
      <c r="BE83" s="46">
        <v>0.2</v>
      </c>
      <c r="BF83" s="26"/>
      <c r="BG83" s="22">
        <f t="shared" ref="BG83:BH83" si="325">(AY83+BA83+BC83+BE83)</f>
        <v>1</v>
      </c>
      <c r="BH83" s="22">
        <f t="shared" si="325"/>
        <v>0.8</v>
      </c>
      <c r="BI83" s="22">
        <f t="shared" si="312"/>
        <v>0.8</v>
      </c>
      <c r="BJ83" s="23" t="str">
        <f t="shared" si="313"/>
        <v>100%</v>
      </c>
      <c r="BK83" s="24">
        <f t="shared" si="314"/>
        <v>0.8</v>
      </c>
      <c r="BL83" s="22" t="s">
        <v>92</v>
      </c>
      <c r="BM83" s="25" t="s">
        <v>513</v>
      </c>
      <c r="BN83" s="27">
        <v>1350000000</v>
      </c>
      <c r="BO83" s="27">
        <v>0</v>
      </c>
      <c r="BP83" s="27">
        <v>0</v>
      </c>
      <c r="BQ83" s="27">
        <v>0</v>
      </c>
      <c r="BR83" s="27">
        <f t="shared" ref="BR83:BS83" si="326">+BN83+BP83</f>
        <v>1350000000</v>
      </c>
      <c r="BS83" s="27">
        <f t="shared" si="326"/>
        <v>0</v>
      </c>
      <c r="BT83" s="20">
        <f t="shared" si="13"/>
        <v>0</v>
      </c>
      <c r="BU83" s="27">
        <v>1200000000</v>
      </c>
      <c r="BV83" s="27">
        <v>1040000000</v>
      </c>
      <c r="BW83" s="27">
        <v>1038820607</v>
      </c>
      <c r="BX83" s="27">
        <v>592933967</v>
      </c>
      <c r="BY83" s="28">
        <f t="shared" si="149"/>
        <v>0.9988659682692308</v>
      </c>
      <c r="BZ83" s="27">
        <v>1300000000</v>
      </c>
      <c r="CA83" s="20">
        <v>1800000000</v>
      </c>
      <c r="CB83" s="29">
        <v>1836000000</v>
      </c>
      <c r="CC83" s="29">
        <v>1891080000</v>
      </c>
      <c r="CD83" s="29">
        <v>6827080000</v>
      </c>
    </row>
    <row r="84" spans="1:82" ht="42" customHeight="1">
      <c r="A84" s="12" t="s">
        <v>493</v>
      </c>
      <c r="B84" s="13">
        <v>0.114</v>
      </c>
      <c r="C84" s="12"/>
      <c r="D84" s="14">
        <v>45</v>
      </c>
      <c r="E84" s="14">
        <v>4501</v>
      </c>
      <c r="F84" s="14">
        <v>11</v>
      </c>
      <c r="G84" s="14" t="s">
        <v>494</v>
      </c>
      <c r="H84" s="14">
        <v>1000</v>
      </c>
      <c r="I84" s="14">
        <v>11.1</v>
      </c>
      <c r="J84" s="14" t="s">
        <v>495</v>
      </c>
      <c r="K84" s="14" t="s">
        <v>496</v>
      </c>
      <c r="L84" s="14" t="s">
        <v>497</v>
      </c>
      <c r="M84" s="14" t="s">
        <v>498</v>
      </c>
      <c r="N84" s="14" t="s">
        <v>499</v>
      </c>
      <c r="O84" s="16">
        <v>4501032</v>
      </c>
      <c r="P84" s="17">
        <v>2024257990011</v>
      </c>
      <c r="Q84" s="14" t="s">
        <v>500</v>
      </c>
      <c r="R84" s="18">
        <v>83</v>
      </c>
      <c r="S84" s="14" t="s">
        <v>514</v>
      </c>
      <c r="T84" s="20">
        <v>1</v>
      </c>
      <c r="U84" s="14" t="s">
        <v>109</v>
      </c>
      <c r="V84" s="14" t="s">
        <v>114</v>
      </c>
      <c r="W84" s="14" t="s">
        <v>515</v>
      </c>
      <c r="X84" s="14" t="s">
        <v>417</v>
      </c>
      <c r="Y84" s="29"/>
      <c r="Z84" s="24">
        <f t="shared" si="321"/>
        <v>1</v>
      </c>
      <c r="AA84" s="20">
        <f t="shared" si="1"/>
        <v>0.5</v>
      </c>
      <c r="AB84" s="20">
        <f t="shared" si="2"/>
        <v>0.85</v>
      </c>
      <c r="AC84" s="21"/>
      <c r="AD84" s="21"/>
      <c r="AE84" s="21">
        <f t="shared" si="3"/>
        <v>0.3725</v>
      </c>
      <c r="AF84" s="20">
        <v>1</v>
      </c>
      <c r="AG84" s="20">
        <v>1</v>
      </c>
      <c r="AH84" s="20">
        <v>1</v>
      </c>
      <c r="AI84" s="20">
        <v>1</v>
      </c>
      <c r="AJ84" s="26"/>
      <c r="AK84" s="26"/>
      <c r="AL84" s="26"/>
      <c r="AM84" s="26"/>
      <c r="AN84" s="24">
        <v>0.7</v>
      </c>
      <c r="AO84" s="24">
        <v>0.7</v>
      </c>
      <c r="AP84" s="24">
        <v>0.3</v>
      </c>
      <c r="AQ84" s="24">
        <v>0.3</v>
      </c>
      <c r="AR84" s="24">
        <f t="shared" ref="AR84:AS84" si="327">(AJ84+AL84+AN84+AP84)/2</f>
        <v>0.5</v>
      </c>
      <c r="AS84" s="24">
        <f t="shared" si="327"/>
        <v>0.5</v>
      </c>
      <c r="AT84" s="24">
        <f t="shared" si="323"/>
        <v>1</v>
      </c>
      <c r="AU84" s="23" t="str">
        <f t="shared" si="324"/>
        <v>100%</v>
      </c>
      <c r="AV84" s="24">
        <f t="shared" si="7"/>
        <v>1</v>
      </c>
      <c r="AW84" s="14" t="s">
        <v>92</v>
      </c>
      <c r="AX84" s="30" t="s">
        <v>516</v>
      </c>
      <c r="AY84" s="24">
        <v>0.15</v>
      </c>
      <c r="AZ84" s="24">
        <v>0.15</v>
      </c>
      <c r="BA84" s="24">
        <v>0.3</v>
      </c>
      <c r="BB84" s="24">
        <v>0.3</v>
      </c>
      <c r="BC84" s="24">
        <v>0.4</v>
      </c>
      <c r="BD84" s="24">
        <v>0.4</v>
      </c>
      <c r="BE84" s="24">
        <v>0.15</v>
      </c>
      <c r="BF84" s="26"/>
      <c r="BG84" s="20">
        <f t="shared" ref="BG84:BH84" si="328">(AY84+BA84+BC84+BE84)</f>
        <v>1</v>
      </c>
      <c r="BH84" s="20">
        <f t="shared" si="328"/>
        <v>0.85</v>
      </c>
      <c r="BI84" s="20">
        <f t="shared" si="312"/>
        <v>0.85</v>
      </c>
      <c r="BJ84" s="23" t="str">
        <f t="shared" si="313"/>
        <v>100%</v>
      </c>
      <c r="BK84" s="24">
        <f t="shared" si="314"/>
        <v>0.85</v>
      </c>
      <c r="BL84" s="22" t="s">
        <v>92</v>
      </c>
      <c r="BM84" s="25" t="s">
        <v>516</v>
      </c>
      <c r="BN84" s="27">
        <v>341943969</v>
      </c>
      <c r="BO84" s="27">
        <v>172749571</v>
      </c>
      <c r="BP84" s="27">
        <v>158074590</v>
      </c>
      <c r="BQ84" s="27">
        <v>158074590</v>
      </c>
      <c r="BR84" s="27">
        <f t="shared" ref="BR84:BS84" si="329">+BN84+BP84</f>
        <v>500018559</v>
      </c>
      <c r="BS84" s="27">
        <f t="shared" si="329"/>
        <v>330824161</v>
      </c>
      <c r="BT84" s="20">
        <f t="shared" si="13"/>
        <v>0.66162376384913346</v>
      </c>
      <c r="BU84" s="27">
        <v>341943969</v>
      </c>
      <c r="BV84" s="27">
        <v>341943969</v>
      </c>
      <c r="BW84" s="27">
        <v>262999700</v>
      </c>
      <c r="BX84" s="27">
        <v>212823962</v>
      </c>
      <c r="BY84" s="28">
        <f t="shared" si="149"/>
        <v>0.76913098005246583</v>
      </c>
      <c r="BZ84" s="27">
        <v>300000000</v>
      </c>
      <c r="CA84" s="20">
        <v>306000000</v>
      </c>
      <c r="CB84" s="29">
        <v>312120000</v>
      </c>
      <c r="CC84" s="29">
        <v>321483600</v>
      </c>
      <c r="CD84" s="29">
        <v>1239603600</v>
      </c>
    </row>
    <row r="85" spans="1:82" ht="37.5" customHeight="1">
      <c r="A85" s="12" t="s">
        <v>493</v>
      </c>
      <c r="B85" s="13">
        <v>0.114</v>
      </c>
      <c r="C85" s="12"/>
      <c r="D85" s="14">
        <v>45</v>
      </c>
      <c r="E85" s="14">
        <v>4501</v>
      </c>
      <c r="F85" s="14">
        <v>11</v>
      </c>
      <c r="G85" s="14" t="s">
        <v>494</v>
      </c>
      <c r="H85" s="14">
        <v>1000</v>
      </c>
      <c r="I85" s="14">
        <v>11.1</v>
      </c>
      <c r="J85" s="14" t="s">
        <v>495</v>
      </c>
      <c r="K85" s="14" t="s">
        <v>496</v>
      </c>
      <c r="L85" s="14" t="s">
        <v>497</v>
      </c>
      <c r="M85" s="14" t="s">
        <v>498</v>
      </c>
      <c r="N85" s="14" t="s">
        <v>499</v>
      </c>
      <c r="O85" s="16">
        <v>4501056</v>
      </c>
      <c r="P85" s="17">
        <v>2024257990011</v>
      </c>
      <c r="Q85" s="14" t="s">
        <v>500</v>
      </c>
      <c r="R85" s="18">
        <v>84</v>
      </c>
      <c r="S85" s="14" t="s">
        <v>517</v>
      </c>
      <c r="T85" s="14">
        <v>1</v>
      </c>
      <c r="U85" s="14" t="s">
        <v>88</v>
      </c>
      <c r="V85" s="14" t="s">
        <v>89</v>
      </c>
      <c r="W85" s="14" t="s">
        <v>518</v>
      </c>
      <c r="X85" s="14" t="s">
        <v>417</v>
      </c>
      <c r="Y85" s="29"/>
      <c r="Z85" s="14">
        <f t="shared" si="321"/>
        <v>1</v>
      </c>
      <c r="AA85" s="20">
        <f t="shared" si="1"/>
        <v>1</v>
      </c>
      <c r="AB85" s="20">
        <f t="shared" si="2"/>
        <v>0.8</v>
      </c>
      <c r="AC85" s="21"/>
      <c r="AD85" s="21"/>
      <c r="AE85" s="21">
        <f t="shared" si="3"/>
        <v>0.42999999999999994</v>
      </c>
      <c r="AF85" s="14">
        <v>1</v>
      </c>
      <c r="AG85" s="14">
        <v>1</v>
      </c>
      <c r="AH85" s="14">
        <v>1</v>
      </c>
      <c r="AI85" s="14">
        <v>1</v>
      </c>
      <c r="AJ85" s="26"/>
      <c r="AK85" s="26"/>
      <c r="AL85" s="26"/>
      <c r="AM85" s="26"/>
      <c r="AN85" s="26">
        <v>0.5</v>
      </c>
      <c r="AO85" s="26">
        <v>0.5</v>
      </c>
      <c r="AP85" s="26">
        <v>0.5</v>
      </c>
      <c r="AQ85" s="26">
        <v>0.5</v>
      </c>
      <c r="AR85" s="22">
        <f t="shared" ref="AR85:AS85" si="330">(AJ85+AL85+AN85+AP85)</f>
        <v>1</v>
      </c>
      <c r="AS85" s="22">
        <f t="shared" si="330"/>
        <v>1</v>
      </c>
      <c r="AT85" s="22">
        <f t="shared" si="323"/>
        <v>1</v>
      </c>
      <c r="AU85" s="23" t="str">
        <f t="shared" si="324"/>
        <v>100%</v>
      </c>
      <c r="AV85" s="24">
        <f t="shared" si="7"/>
        <v>1</v>
      </c>
      <c r="AW85" s="14" t="s">
        <v>92</v>
      </c>
      <c r="AX85" s="30" t="s">
        <v>519</v>
      </c>
      <c r="AY85" s="46">
        <v>0.4</v>
      </c>
      <c r="AZ85" s="46">
        <v>0.4</v>
      </c>
      <c r="BA85" s="46">
        <v>0.2</v>
      </c>
      <c r="BB85" s="46">
        <v>0.2</v>
      </c>
      <c r="BC85" s="46">
        <v>0.2</v>
      </c>
      <c r="BD85" s="46">
        <v>0.2</v>
      </c>
      <c r="BE85" s="46">
        <v>0.2</v>
      </c>
      <c r="BF85" s="26"/>
      <c r="BG85" s="22">
        <f t="shared" ref="BG85:BH85" si="331">(AY85+BA85+BC85+BE85)</f>
        <v>1</v>
      </c>
      <c r="BH85" s="22">
        <f t="shared" si="331"/>
        <v>0.8</v>
      </c>
      <c r="BI85" s="22">
        <f t="shared" si="312"/>
        <v>0.8</v>
      </c>
      <c r="BJ85" s="23" t="str">
        <f t="shared" si="313"/>
        <v>100%</v>
      </c>
      <c r="BK85" s="24">
        <f t="shared" si="314"/>
        <v>0.8</v>
      </c>
      <c r="BL85" s="22" t="s">
        <v>92</v>
      </c>
      <c r="BM85" s="25" t="s">
        <v>519</v>
      </c>
      <c r="BN85" s="27">
        <v>40000000</v>
      </c>
      <c r="BO85" s="27">
        <v>0</v>
      </c>
      <c r="BP85" s="27">
        <v>0</v>
      </c>
      <c r="BQ85" s="27">
        <v>0</v>
      </c>
      <c r="BR85" s="27">
        <f t="shared" ref="BR85:BS85" si="332">+BN85+BP85</f>
        <v>40000000</v>
      </c>
      <c r="BS85" s="27">
        <f t="shared" si="332"/>
        <v>0</v>
      </c>
      <c r="BT85" s="20">
        <f t="shared" si="13"/>
        <v>0</v>
      </c>
      <c r="BU85" s="27">
        <v>40000000</v>
      </c>
      <c r="BV85" s="27">
        <v>40000000</v>
      </c>
      <c r="BW85" s="27">
        <v>27000000</v>
      </c>
      <c r="BX85" s="27">
        <v>27000000</v>
      </c>
      <c r="BY85" s="28">
        <f t="shared" si="149"/>
        <v>0.67500000000000004</v>
      </c>
      <c r="BZ85" s="27">
        <v>50000000</v>
      </c>
      <c r="CA85" s="20">
        <v>50000000</v>
      </c>
      <c r="CB85" s="29">
        <v>50000000</v>
      </c>
      <c r="CC85" s="29">
        <v>50000000</v>
      </c>
      <c r="CD85" s="29">
        <v>200000000</v>
      </c>
    </row>
    <row r="86" spans="1:82" ht="35.25" customHeight="1">
      <c r="A86" s="12" t="s">
        <v>493</v>
      </c>
      <c r="B86" s="13">
        <v>0.114</v>
      </c>
      <c r="C86" s="12"/>
      <c r="D86" s="14">
        <v>45</v>
      </c>
      <c r="E86" s="14">
        <v>4501</v>
      </c>
      <c r="F86" s="14">
        <v>11</v>
      </c>
      <c r="G86" s="14" t="s">
        <v>494</v>
      </c>
      <c r="H86" s="14">
        <v>1000</v>
      </c>
      <c r="I86" s="14">
        <v>11.1</v>
      </c>
      <c r="J86" s="14" t="s">
        <v>495</v>
      </c>
      <c r="K86" s="14" t="s">
        <v>496</v>
      </c>
      <c r="L86" s="14" t="s">
        <v>497</v>
      </c>
      <c r="M86" s="14" t="s">
        <v>498</v>
      </c>
      <c r="N86" s="14" t="s">
        <v>499</v>
      </c>
      <c r="O86" s="16">
        <v>4501032</v>
      </c>
      <c r="P86" s="17">
        <v>2024257990011</v>
      </c>
      <c r="Q86" s="14" t="s">
        <v>500</v>
      </c>
      <c r="R86" s="18">
        <v>85</v>
      </c>
      <c r="S86" s="14" t="s">
        <v>520</v>
      </c>
      <c r="T86" s="20">
        <v>1</v>
      </c>
      <c r="U86" s="14" t="s">
        <v>109</v>
      </c>
      <c r="V86" s="14" t="s">
        <v>114</v>
      </c>
      <c r="W86" s="14" t="s">
        <v>521</v>
      </c>
      <c r="X86" s="14" t="s">
        <v>417</v>
      </c>
      <c r="Y86" s="29" t="s">
        <v>124</v>
      </c>
      <c r="Z86" s="24">
        <f t="shared" si="321"/>
        <v>1</v>
      </c>
      <c r="AA86" s="20">
        <f t="shared" si="1"/>
        <v>0.5</v>
      </c>
      <c r="AB86" s="20">
        <f t="shared" si="2"/>
        <v>0.85</v>
      </c>
      <c r="AC86" s="21"/>
      <c r="AD86" s="21"/>
      <c r="AE86" s="21">
        <f t="shared" si="3"/>
        <v>0.3725</v>
      </c>
      <c r="AF86" s="20">
        <v>1</v>
      </c>
      <c r="AG86" s="20">
        <v>1</v>
      </c>
      <c r="AH86" s="20">
        <v>1</v>
      </c>
      <c r="AI86" s="20">
        <v>1</v>
      </c>
      <c r="AJ86" s="26"/>
      <c r="AK86" s="26"/>
      <c r="AL86" s="26"/>
      <c r="AM86" s="26"/>
      <c r="AN86" s="24">
        <v>0.7</v>
      </c>
      <c r="AO86" s="24">
        <v>0.7</v>
      </c>
      <c r="AP86" s="24">
        <v>0.3</v>
      </c>
      <c r="AQ86" s="24">
        <v>0.3</v>
      </c>
      <c r="AR86" s="24">
        <f t="shared" ref="AR86:AS86" si="333">(AJ86+AL86+AN86+AP86)/2</f>
        <v>0.5</v>
      </c>
      <c r="AS86" s="24">
        <f t="shared" si="333"/>
        <v>0.5</v>
      </c>
      <c r="AT86" s="24">
        <f t="shared" si="323"/>
        <v>1</v>
      </c>
      <c r="AU86" s="23" t="str">
        <f t="shared" si="324"/>
        <v>100%</v>
      </c>
      <c r="AV86" s="24">
        <f t="shared" si="7"/>
        <v>1</v>
      </c>
      <c r="AW86" s="14" t="s">
        <v>92</v>
      </c>
      <c r="AX86" s="30" t="s">
        <v>522</v>
      </c>
      <c r="AY86" s="24">
        <v>0.15</v>
      </c>
      <c r="AZ86" s="24">
        <v>0.15</v>
      </c>
      <c r="BA86" s="24">
        <v>0.3</v>
      </c>
      <c r="BB86" s="24">
        <v>0.3</v>
      </c>
      <c r="BC86" s="24">
        <v>0.4</v>
      </c>
      <c r="BD86" s="24">
        <v>0.4</v>
      </c>
      <c r="BE86" s="24">
        <v>0.15</v>
      </c>
      <c r="BF86" s="26"/>
      <c r="BG86" s="20">
        <f t="shared" ref="BG86:BH86" si="334">(AY86+BA86+BC86+BE86)</f>
        <v>1</v>
      </c>
      <c r="BH86" s="20">
        <f t="shared" si="334"/>
        <v>0.85</v>
      </c>
      <c r="BI86" s="20">
        <f t="shared" si="312"/>
        <v>0.85</v>
      </c>
      <c r="BJ86" s="23" t="str">
        <f t="shared" si="313"/>
        <v>100%</v>
      </c>
      <c r="BK86" s="24">
        <f t="shared" si="314"/>
        <v>0.85</v>
      </c>
      <c r="BL86" s="22" t="s">
        <v>92</v>
      </c>
      <c r="BM86" s="25" t="s">
        <v>522</v>
      </c>
      <c r="BN86" s="27">
        <v>1380400792</v>
      </c>
      <c r="BO86" s="27">
        <v>511749856</v>
      </c>
      <c r="BP86" s="27">
        <v>515865579</v>
      </c>
      <c r="BQ86" s="27">
        <v>515865579</v>
      </c>
      <c r="BR86" s="27">
        <f t="shared" ref="BR86:BS86" si="335">+BN86+BP86</f>
        <v>1896266371</v>
      </c>
      <c r="BS86" s="27">
        <f t="shared" si="335"/>
        <v>1027615435</v>
      </c>
      <c r="BT86" s="20">
        <f t="shared" si="13"/>
        <v>0.54191512896897753</v>
      </c>
      <c r="BU86" s="27">
        <v>1324400792</v>
      </c>
      <c r="BV86" s="27">
        <v>1380400792</v>
      </c>
      <c r="BW86" s="27">
        <v>1014661251</v>
      </c>
      <c r="BX86" s="27">
        <v>809463331</v>
      </c>
      <c r="BY86" s="28">
        <f t="shared" si="149"/>
        <v>0.73504829675583094</v>
      </c>
      <c r="BZ86" s="27">
        <v>988763011</v>
      </c>
      <c r="CA86" s="20">
        <v>1008538271</v>
      </c>
      <c r="CB86" s="29">
        <v>1028709037</v>
      </c>
      <c r="CC86" s="29">
        <v>1059570308</v>
      </c>
      <c r="CD86" s="29">
        <v>4085580627</v>
      </c>
    </row>
    <row r="87" spans="1:82" ht="33.75" customHeight="1">
      <c r="A87" s="12" t="s">
        <v>493</v>
      </c>
      <c r="B87" s="13">
        <v>0.114</v>
      </c>
      <c r="C87" s="12"/>
      <c r="D87" s="14">
        <v>45</v>
      </c>
      <c r="E87" s="14">
        <v>4501</v>
      </c>
      <c r="F87" s="14">
        <v>11</v>
      </c>
      <c r="G87" s="14" t="s">
        <v>494</v>
      </c>
      <c r="H87" s="14">
        <v>1000</v>
      </c>
      <c r="I87" s="14">
        <v>11.1</v>
      </c>
      <c r="J87" s="14" t="s">
        <v>495</v>
      </c>
      <c r="K87" s="14" t="s">
        <v>496</v>
      </c>
      <c r="L87" s="14" t="s">
        <v>497</v>
      </c>
      <c r="M87" s="14" t="s">
        <v>498</v>
      </c>
      <c r="N87" s="14" t="s">
        <v>499</v>
      </c>
      <c r="O87" s="16">
        <v>4501048</v>
      </c>
      <c r="P87" s="17">
        <v>2024257990011</v>
      </c>
      <c r="Q87" s="14" t="s">
        <v>500</v>
      </c>
      <c r="R87" s="18">
        <v>86</v>
      </c>
      <c r="S87" s="14" t="s">
        <v>523</v>
      </c>
      <c r="T87" s="20">
        <v>1</v>
      </c>
      <c r="U87" s="14" t="s">
        <v>109</v>
      </c>
      <c r="V87" s="14" t="s">
        <v>114</v>
      </c>
      <c r="W87" s="14" t="s">
        <v>524</v>
      </c>
      <c r="X87" s="14" t="s">
        <v>417</v>
      </c>
      <c r="Y87" s="29"/>
      <c r="Z87" s="24">
        <f t="shared" si="321"/>
        <v>1</v>
      </c>
      <c r="AA87" s="20">
        <f t="shared" si="1"/>
        <v>0.5</v>
      </c>
      <c r="AB87" s="20">
        <f t="shared" si="2"/>
        <v>0.85</v>
      </c>
      <c r="AC87" s="21"/>
      <c r="AD87" s="21"/>
      <c r="AE87" s="21">
        <f t="shared" si="3"/>
        <v>0.3725</v>
      </c>
      <c r="AF87" s="20">
        <v>1</v>
      </c>
      <c r="AG87" s="20">
        <v>1</v>
      </c>
      <c r="AH87" s="20">
        <v>1</v>
      </c>
      <c r="AI87" s="20">
        <v>1</v>
      </c>
      <c r="AJ87" s="26"/>
      <c r="AK87" s="26"/>
      <c r="AL87" s="26"/>
      <c r="AM87" s="26"/>
      <c r="AN87" s="24">
        <v>0.7</v>
      </c>
      <c r="AO87" s="24">
        <v>0.7</v>
      </c>
      <c r="AP87" s="24">
        <v>0.3</v>
      </c>
      <c r="AQ87" s="24">
        <v>0.3</v>
      </c>
      <c r="AR87" s="24">
        <f t="shared" ref="AR87:AS87" si="336">(AJ87+AL87+AN87+AP87)/2</f>
        <v>0.5</v>
      </c>
      <c r="AS87" s="24">
        <f t="shared" si="336"/>
        <v>0.5</v>
      </c>
      <c r="AT87" s="24">
        <f t="shared" si="323"/>
        <v>1</v>
      </c>
      <c r="AU87" s="23" t="str">
        <f t="shared" si="324"/>
        <v>100%</v>
      </c>
      <c r="AV87" s="24">
        <f t="shared" si="7"/>
        <v>1</v>
      </c>
      <c r="AW87" s="14" t="s">
        <v>92</v>
      </c>
      <c r="AX87" s="30" t="s">
        <v>525</v>
      </c>
      <c r="AY87" s="24">
        <v>0.15</v>
      </c>
      <c r="AZ87" s="24">
        <v>0.15</v>
      </c>
      <c r="BA87" s="24">
        <v>0.3</v>
      </c>
      <c r="BB87" s="24">
        <v>0.3</v>
      </c>
      <c r="BC87" s="24">
        <v>0.4</v>
      </c>
      <c r="BD87" s="24">
        <v>0.4</v>
      </c>
      <c r="BE87" s="24">
        <v>0.15</v>
      </c>
      <c r="BF87" s="26"/>
      <c r="BG87" s="20">
        <f t="shared" ref="BG87:BH87" si="337">(AY87+BA87+BC87+BE87)</f>
        <v>1</v>
      </c>
      <c r="BH87" s="20">
        <f t="shared" si="337"/>
        <v>0.85</v>
      </c>
      <c r="BI87" s="20">
        <f t="shared" si="312"/>
        <v>0.85</v>
      </c>
      <c r="BJ87" s="23" t="str">
        <f t="shared" si="313"/>
        <v>100%</v>
      </c>
      <c r="BK87" s="24">
        <f t="shared" si="314"/>
        <v>0.85</v>
      </c>
      <c r="BL87" s="22" t="s">
        <v>92</v>
      </c>
      <c r="BM87" s="25" t="s">
        <v>525</v>
      </c>
      <c r="BN87" s="27">
        <v>150000000</v>
      </c>
      <c r="BO87" s="27">
        <v>0</v>
      </c>
      <c r="BP87" s="27">
        <v>23999983</v>
      </c>
      <c r="BQ87" s="27">
        <v>23999983</v>
      </c>
      <c r="BR87" s="27">
        <f t="shared" ref="BR87:BS87" si="338">+BN87+BP87</f>
        <v>173999983</v>
      </c>
      <c r="BS87" s="27">
        <f t="shared" si="338"/>
        <v>23999983</v>
      </c>
      <c r="BT87" s="20">
        <f t="shared" si="13"/>
        <v>0.13793095025762159</v>
      </c>
      <c r="BU87" s="27">
        <v>90000000</v>
      </c>
      <c r="BV87" s="27">
        <v>150000000</v>
      </c>
      <c r="BW87" s="27">
        <v>17047850</v>
      </c>
      <c r="BX87" s="27">
        <v>17047850</v>
      </c>
      <c r="BY87" s="28">
        <f t="shared" si="149"/>
        <v>0.11365233333333333</v>
      </c>
      <c r="BZ87" s="27">
        <v>240000000</v>
      </c>
      <c r="CA87" s="20">
        <v>244800000</v>
      </c>
      <c r="CB87" s="29">
        <v>249696000</v>
      </c>
      <c r="CC87" s="29">
        <v>257186880</v>
      </c>
      <c r="CD87" s="29">
        <v>991682880</v>
      </c>
    </row>
    <row r="88" spans="1:82" ht="26.25" customHeight="1">
      <c r="A88" s="12" t="s">
        <v>493</v>
      </c>
      <c r="B88" s="13">
        <v>0.114</v>
      </c>
      <c r="C88" s="12"/>
      <c r="D88" s="14">
        <v>45</v>
      </c>
      <c r="E88" s="14">
        <v>4501</v>
      </c>
      <c r="F88" s="14">
        <v>11</v>
      </c>
      <c r="G88" s="14" t="s">
        <v>494</v>
      </c>
      <c r="H88" s="14">
        <v>1000</v>
      </c>
      <c r="I88" s="14">
        <v>11.1</v>
      </c>
      <c r="J88" s="14" t="s">
        <v>495</v>
      </c>
      <c r="K88" s="14" t="s">
        <v>496</v>
      </c>
      <c r="L88" s="14" t="s">
        <v>497</v>
      </c>
      <c r="M88" s="14" t="s">
        <v>498</v>
      </c>
      <c r="N88" s="14" t="s">
        <v>499</v>
      </c>
      <c r="O88" s="16">
        <v>4501025</v>
      </c>
      <c r="P88" s="17">
        <v>2024257990011</v>
      </c>
      <c r="Q88" s="14" t="s">
        <v>500</v>
      </c>
      <c r="R88" s="18">
        <v>87</v>
      </c>
      <c r="S88" s="14" t="s">
        <v>526</v>
      </c>
      <c r="T88" s="14">
        <v>1</v>
      </c>
      <c r="U88" s="14" t="s">
        <v>88</v>
      </c>
      <c r="V88" s="14" t="s">
        <v>114</v>
      </c>
      <c r="W88" s="14" t="s">
        <v>527</v>
      </c>
      <c r="X88" s="14" t="s">
        <v>417</v>
      </c>
      <c r="Y88" s="29" t="s">
        <v>124</v>
      </c>
      <c r="Z88" s="14">
        <f t="shared" si="321"/>
        <v>1</v>
      </c>
      <c r="AA88" s="20">
        <f t="shared" si="1"/>
        <v>0.6</v>
      </c>
      <c r="AB88" s="20">
        <f t="shared" si="2"/>
        <v>0.8</v>
      </c>
      <c r="AC88" s="21"/>
      <c r="AD88" s="21"/>
      <c r="AE88" s="21">
        <f t="shared" si="3"/>
        <v>0.37</v>
      </c>
      <c r="AF88" s="14">
        <v>1</v>
      </c>
      <c r="AG88" s="14">
        <v>1</v>
      </c>
      <c r="AH88" s="14">
        <v>1</v>
      </c>
      <c r="AI88" s="14">
        <v>1</v>
      </c>
      <c r="AJ88" s="26"/>
      <c r="AK88" s="26"/>
      <c r="AL88" s="26"/>
      <c r="AM88" s="26"/>
      <c r="AN88" s="44">
        <v>0.5</v>
      </c>
      <c r="AO88" s="26">
        <v>0.5</v>
      </c>
      <c r="AP88" s="26">
        <v>0.5</v>
      </c>
      <c r="AQ88" s="26">
        <v>0.1</v>
      </c>
      <c r="AR88" s="22">
        <f t="shared" ref="AR88:AS88" si="339">(AJ88+AL88+AN88+AP88)</f>
        <v>1</v>
      </c>
      <c r="AS88" s="22">
        <f t="shared" si="339"/>
        <v>0.6</v>
      </c>
      <c r="AT88" s="22">
        <f t="shared" si="323"/>
        <v>0.6</v>
      </c>
      <c r="AU88" s="23" t="str">
        <f t="shared" si="324"/>
        <v>100%</v>
      </c>
      <c r="AV88" s="24">
        <f t="shared" si="7"/>
        <v>0.6</v>
      </c>
      <c r="AW88" s="14" t="s">
        <v>92</v>
      </c>
      <c r="AX88" s="30" t="s">
        <v>528</v>
      </c>
      <c r="AY88" s="46">
        <v>0.1</v>
      </c>
      <c r="AZ88" s="46">
        <v>0.1</v>
      </c>
      <c r="BA88" s="46">
        <v>0.3</v>
      </c>
      <c r="BB88" s="46">
        <v>0.3</v>
      </c>
      <c r="BC88" s="46">
        <v>0.4</v>
      </c>
      <c r="BD88" s="46">
        <v>0.4</v>
      </c>
      <c r="BE88" s="46">
        <v>0.2</v>
      </c>
      <c r="BF88" s="26"/>
      <c r="BG88" s="22">
        <f t="shared" ref="BG88:BH88" si="340">(AY88+BA88+BC88+BE88)</f>
        <v>1</v>
      </c>
      <c r="BH88" s="22">
        <f t="shared" si="340"/>
        <v>0.8</v>
      </c>
      <c r="BI88" s="22">
        <f t="shared" si="312"/>
        <v>0.8</v>
      </c>
      <c r="BJ88" s="23" t="str">
        <f t="shared" si="313"/>
        <v>100%</v>
      </c>
      <c r="BK88" s="24">
        <f t="shared" si="314"/>
        <v>0.8</v>
      </c>
      <c r="BL88" s="22" t="s">
        <v>92</v>
      </c>
      <c r="BM88" s="25" t="s">
        <v>528</v>
      </c>
      <c r="BN88" s="27">
        <v>169000000</v>
      </c>
      <c r="BO88" s="27">
        <v>0</v>
      </c>
      <c r="BP88" s="27">
        <v>0</v>
      </c>
      <c r="BQ88" s="27">
        <v>0</v>
      </c>
      <c r="BR88" s="27">
        <f t="shared" ref="BR88:BS88" si="341">+BN88+BP88</f>
        <v>169000000</v>
      </c>
      <c r="BS88" s="27">
        <f t="shared" si="341"/>
        <v>0</v>
      </c>
      <c r="BT88" s="20">
        <f t="shared" si="13"/>
        <v>0</v>
      </c>
      <c r="BU88" s="27">
        <v>135000000</v>
      </c>
      <c r="BV88" s="27">
        <v>169000000</v>
      </c>
      <c r="BW88" s="27">
        <v>0</v>
      </c>
      <c r="BX88" s="27">
        <v>0</v>
      </c>
      <c r="BY88" s="28">
        <f t="shared" si="149"/>
        <v>0</v>
      </c>
      <c r="BZ88" s="27">
        <v>100000000</v>
      </c>
      <c r="CA88" s="20">
        <v>102000000</v>
      </c>
      <c r="CB88" s="29">
        <v>104040000</v>
      </c>
      <c r="CC88" s="29">
        <v>107161200</v>
      </c>
      <c r="CD88" s="29">
        <v>413201200</v>
      </c>
    </row>
    <row r="89" spans="1:82" ht="39.75" customHeight="1">
      <c r="A89" s="12" t="s">
        <v>493</v>
      </c>
      <c r="B89" s="13">
        <v>0.114</v>
      </c>
      <c r="C89" s="12"/>
      <c r="D89" s="14">
        <v>45</v>
      </c>
      <c r="E89" s="14">
        <v>4502</v>
      </c>
      <c r="F89" s="14">
        <v>12</v>
      </c>
      <c r="G89" s="14" t="s">
        <v>529</v>
      </c>
      <c r="H89" s="14">
        <v>1000</v>
      </c>
      <c r="I89" s="14">
        <v>12.1</v>
      </c>
      <c r="J89" s="14" t="s">
        <v>530</v>
      </c>
      <c r="K89" s="14" t="s">
        <v>531</v>
      </c>
      <c r="L89" s="14" t="s">
        <v>532</v>
      </c>
      <c r="M89" s="14" t="s">
        <v>533</v>
      </c>
      <c r="N89" s="20">
        <v>0.73</v>
      </c>
      <c r="O89" s="16">
        <v>4502002</v>
      </c>
      <c r="P89" s="17">
        <v>2024257990012</v>
      </c>
      <c r="Q89" s="14" t="s">
        <v>534</v>
      </c>
      <c r="R89" s="18">
        <v>88</v>
      </c>
      <c r="S89" s="14" t="s">
        <v>535</v>
      </c>
      <c r="T89" s="14">
        <v>2</v>
      </c>
      <c r="U89" s="14" t="s">
        <v>88</v>
      </c>
      <c r="V89" s="14" t="s">
        <v>89</v>
      </c>
      <c r="W89" s="14" t="s">
        <v>536</v>
      </c>
      <c r="X89" s="14" t="s">
        <v>206</v>
      </c>
      <c r="Y89" s="29"/>
      <c r="Z89" s="18">
        <f>SUM(AF89:AI89)</f>
        <v>2</v>
      </c>
      <c r="AA89" s="20">
        <f t="shared" si="1"/>
        <v>4.9849999999999998E-2</v>
      </c>
      <c r="AB89" s="20">
        <f t="shared" si="2"/>
        <v>0</v>
      </c>
      <c r="AC89" s="21"/>
      <c r="AD89" s="21"/>
      <c r="AE89" s="21">
        <f t="shared" si="3"/>
        <v>7.4774999999999998E-3</v>
      </c>
      <c r="AF89" s="49">
        <v>0.1</v>
      </c>
      <c r="AG89" s="29">
        <v>0</v>
      </c>
      <c r="AH89" s="29">
        <v>0.9</v>
      </c>
      <c r="AI89" s="29">
        <v>1</v>
      </c>
      <c r="AJ89" s="26"/>
      <c r="AK89" s="26"/>
      <c r="AL89" s="26"/>
      <c r="AM89" s="26"/>
      <c r="AN89" s="50">
        <v>4.9849999999999998E-2</v>
      </c>
      <c r="AO89" s="50">
        <v>4.9849999999999998E-2</v>
      </c>
      <c r="AP89" s="50">
        <v>4.9849999999999998E-2</v>
      </c>
      <c r="AQ89" s="50">
        <v>4.9849999999999998E-2</v>
      </c>
      <c r="AR89" s="22">
        <f t="shared" ref="AR89:AS89" si="342">(AJ89+AL89+AN89+AP89)</f>
        <v>9.9699999999999997E-2</v>
      </c>
      <c r="AS89" s="22">
        <f t="shared" si="342"/>
        <v>9.9699999999999997E-2</v>
      </c>
      <c r="AT89" s="22">
        <f t="shared" si="323"/>
        <v>1</v>
      </c>
      <c r="AU89" s="23" t="str">
        <f t="shared" si="324"/>
        <v>100%</v>
      </c>
      <c r="AV89" s="24">
        <f t="shared" si="7"/>
        <v>1</v>
      </c>
      <c r="AW89" s="14" t="s">
        <v>92</v>
      </c>
      <c r="AX89" s="30" t="s">
        <v>537</v>
      </c>
      <c r="AY89" s="51">
        <v>0</v>
      </c>
      <c r="AZ89" s="52"/>
      <c r="BA89" s="51">
        <v>0</v>
      </c>
      <c r="BB89" s="52"/>
      <c r="BC89" s="51">
        <v>0</v>
      </c>
      <c r="BD89" s="52"/>
      <c r="BE89" s="51">
        <v>0</v>
      </c>
      <c r="BF89" s="32"/>
      <c r="BG89" s="22">
        <f t="shared" ref="BG89:BH89" si="343">(AY89+BA89+BC89+BE89)</f>
        <v>0</v>
      </c>
      <c r="BH89" s="22">
        <f t="shared" si="343"/>
        <v>0</v>
      </c>
      <c r="BI89" s="23" t="str">
        <f>IF(BF89&gt; 1, IF(BF89 = BG89, "100%", BF89 &amp; "%"), IF(BF89 &lt;= 0.01, "0%", BF89 * 100 &amp; "%"))</f>
        <v>0%</v>
      </c>
      <c r="BJ89" s="24">
        <f t="shared" ref="BJ89:BK89" si="344">IF(BF89=0, 0, BG89/BF89)</f>
        <v>0</v>
      </c>
      <c r="BK89" s="24">
        <f t="shared" si="344"/>
        <v>0</v>
      </c>
      <c r="BL89" s="26" t="s">
        <v>192</v>
      </c>
      <c r="BM89" s="25" t="s">
        <v>538</v>
      </c>
      <c r="BN89" s="42">
        <v>0</v>
      </c>
      <c r="BO89" s="42">
        <v>0</v>
      </c>
      <c r="BP89" s="42">
        <v>15000000</v>
      </c>
      <c r="BQ89" s="42">
        <v>15000000</v>
      </c>
      <c r="BR89" s="27">
        <f t="shared" ref="BR89:BS89" si="345">+BN89+BP89</f>
        <v>15000000</v>
      </c>
      <c r="BS89" s="27">
        <f t="shared" si="345"/>
        <v>15000000</v>
      </c>
      <c r="BT89" s="43">
        <f t="shared" si="13"/>
        <v>1</v>
      </c>
      <c r="BU89" s="27">
        <v>0</v>
      </c>
      <c r="BV89" s="27">
        <v>0</v>
      </c>
      <c r="BW89" s="27">
        <v>0</v>
      </c>
      <c r="BX89" s="27">
        <v>0</v>
      </c>
      <c r="BY89" s="28" t="str">
        <f t="shared" si="149"/>
        <v/>
      </c>
      <c r="BZ89" s="27">
        <v>0</v>
      </c>
      <c r="CA89" s="20">
        <v>0</v>
      </c>
      <c r="CB89" s="29">
        <v>700000000</v>
      </c>
      <c r="CC89" s="29">
        <v>750000000</v>
      </c>
      <c r="CD89" s="29">
        <v>1450000000</v>
      </c>
    </row>
    <row r="90" spans="1:82" ht="27" customHeight="1">
      <c r="A90" s="12" t="s">
        <v>493</v>
      </c>
      <c r="B90" s="13">
        <v>0.114</v>
      </c>
      <c r="C90" s="12"/>
      <c r="D90" s="14">
        <v>45</v>
      </c>
      <c r="E90" s="14">
        <v>4502</v>
      </c>
      <c r="F90" s="14">
        <v>12</v>
      </c>
      <c r="G90" s="14" t="s">
        <v>529</v>
      </c>
      <c r="H90" s="14">
        <v>1000</v>
      </c>
      <c r="I90" s="14">
        <v>12.1</v>
      </c>
      <c r="J90" s="14" t="s">
        <v>530</v>
      </c>
      <c r="K90" s="14" t="s">
        <v>531</v>
      </c>
      <c r="L90" s="14" t="s">
        <v>532</v>
      </c>
      <c r="M90" s="14" t="s">
        <v>533</v>
      </c>
      <c r="N90" s="20">
        <v>0.73</v>
      </c>
      <c r="O90" s="16">
        <v>4502001</v>
      </c>
      <c r="P90" s="17">
        <v>2024257990012</v>
      </c>
      <c r="Q90" s="14" t="s">
        <v>534</v>
      </c>
      <c r="R90" s="18">
        <v>89</v>
      </c>
      <c r="S90" s="14" t="s">
        <v>539</v>
      </c>
      <c r="T90" s="20">
        <v>0.75</v>
      </c>
      <c r="U90" s="14" t="s">
        <v>109</v>
      </c>
      <c r="V90" s="14" t="s">
        <v>89</v>
      </c>
      <c r="W90" s="14" t="s">
        <v>540</v>
      </c>
      <c r="X90" s="14" t="s">
        <v>206</v>
      </c>
      <c r="Y90" s="29"/>
      <c r="Z90" s="24">
        <f>SUM(AF90:AI90)/3</f>
        <v>1</v>
      </c>
      <c r="AA90" s="20">
        <f t="shared" si="1"/>
        <v>0</v>
      </c>
      <c r="AB90" s="20">
        <f t="shared" si="2"/>
        <v>0.35</v>
      </c>
      <c r="AC90" s="21"/>
      <c r="AD90" s="21"/>
      <c r="AE90" s="21">
        <f t="shared" si="3"/>
        <v>0.12249999999999998</v>
      </c>
      <c r="AF90" s="14">
        <v>0</v>
      </c>
      <c r="AG90" s="20">
        <v>1</v>
      </c>
      <c r="AH90" s="20">
        <v>1</v>
      </c>
      <c r="AI90" s="20">
        <v>1</v>
      </c>
      <c r="AJ90" s="26"/>
      <c r="AK90" s="26"/>
      <c r="AL90" s="26"/>
      <c r="AM90" s="26"/>
      <c r="AN90" s="34">
        <v>0</v>
      </c>
      <c r="AO90" s="34">
        <v>0</v>
      </c>
      <c r="AP90" s="34">
        <v>0</v>
      </c>
      <c r="AQ90" s="34">
        <v>0</v>
      </c>
      <c r="AR90" s="34">
        <v>0</v>
      </c>
      <c r="AS90" s="34">
        <f>(AK90+AM90+AO90+AQ90)/2</f>
        <v>0</v>
      </c>
      <c r="AT90" s="24">
        <f>IF(AQ90=0, 0, AR90/AQ90)</f>
        <v>0</v>
      </c>
      <c r="AU90" s="23" t="str">
        <f>IF(AR90&gt; 1, IF(AR90 = AS90, "100%", AR90 &amp; "%"), IF(AR90 &lt;= 0.01, "0%", AR90 * 100 &amp; "%"))</f>
        <v>0%</v>
      </c>
      <c r="AV90" s="24">
        <f t="shared" si="7"/>
        <v>0</v>
      </c>
      <c r="AW90" s="26" t="s">
        <v>192</v>
      </c>
      <c r="AX90" s="26"/>
      <c r="AY90" s="24">
        <v>0.15</v>
      </c>
      <c r="AZ90" s="24">
        <v>0.15</v>
      </c>
      <c r="BA90" s="24">
        <v>0.3</v>
      </c>
      <c r="BB90" s="24">
        <v>0.2</v>
      </c>
      <c r="BC90" s="24">
        <v>0.3</v>
      </c>
      <c r="BD90" s="24">
        <v>0</v>
      </c>
      <c r="BE90" s="24">
        <v>0.25</v>
      </c>
      <c r="BF90" s="26"/>
      <c r="BG90" s="53">
        <f t="shared" ref="BG90:BH90" si="346">(AY90+BA90+BC90+BE90)</f>
        <v>1</v>
      </c>
      <c r="BH90" s="53">
        <f t="shared" si="346"/>
        <v>0.35</v>
      </c>
      <c r="BI90" s="53">
        <f t="shared" ref="BI90:BI104" si="347">BH90/BG90</f>
        <v>0.35</v>
      </c>
      <c r="BJ90" s="54" t="str">
        <f t="shared" ref="BJ90:BJ104" si="348">MIN((BG90 /BG90) * 100, 100) &amp; "%"</f>
        <v>100%</v>
      </c>
      <c r="BK90" s="45">
        <f t="shared" ref="BK90:BK104" si="349">IF(BG90=0, 0, BH90/BG90)</f>
        <v>0.35</v>
      </c>
      <c r="BL90" s="22" t="s">
        <v>92</v>
      </c>
      <c r="BM90" s="25" t="s">
        <v>541</v>
      </c>
      <c r="BN90" s="27">
        <v>50000000</v>
      </c>
      <c r="BO90" s="27">
        <v>47750000</v>
      </c>
      <c r="BP90" s="27">
        <v>0</v>
      </c>
      <c r="BQ90" s="27">
        <v>0</v>
      </c>
      <c r="BR90" s="27">
        <f t="shared" ref="BR90:BS90" si="350">+BN90+BP90</f>
        <v>50000000</v>
      </c>
      <c r="BS90" s="27">
        <f t="shared" si="350"/>
        <v>47750000</v>
      </c>
      <c r="BT90" s="20">
        <f t="shared" si="13"/>
        <v>0.95499999999999996</v>
      </c>
      <c r="BU90" s="27">
        <v>50000000</v>
      </c>
      <c r="BV90" s="27">
        <v>50000000</v>
      </c>
      <c r="BW90" s="27">
        <v>47750000</v>
      </c>
      <c r="BX90" s="27">
        <v>21937500</v>
      </c>
      <c r="BY90" s="28">
        <f t="shared" si="149"/>
        <v>0.95499999999999996</v>
      </c>
      <c r="BZ90" s="27">
        <v>0</v>
      </c>
      <c r="CA90" s="20">
        <v>300000000</v>
      </c>
      <c r="CB90" s="29">
        <v>750000000</v>
      </c>
      <c r="CC90" s="29">
        <v>500000000</v>
      </c>
      <c r="CD90" s="29">
        <v>1550000000</v>
      </c>
    </row>
    <row r="91" spans="1:82" ht="34.5" customHeight="1">
      <c r="A91" s="12" t="s">
        <v>493</v>
      </c>
      <c r="B91" s="13">
        <v>0.114</v>
      </c>
      <c r="C91" s="12"/>
      <c r="D91" s="14">
        <v>45</v>
      </c>
      <c r="E91" s="14">
        <v>4502</v>
      </c>
      <c r="F91" s="14">
        <v>12</v>
      </c>
      <c r="G91" s="14" t="s">
        <v>529</v>
      </c>
      <c r="H91" s="14">
        <v>1000</v>
      </c>
      <c r="I91" s="14">
        <v>12.1</v>
      </c>
      <c r="J91" s="14" t="s">
        <v>530</v>
      </c>
      <c r="K91" s="14" t="s">
        <v>531</v>
      </c>
      <c r="L91" s="14" t="s">
        <v>532</v>
      </c>
      <c r="M91" s="14" t="s">
        <v>533</v>
      </c>
      <c r="N91" s="20">
        <v>0.73</v>
      </c>
      <c r="O91" s="16">
        <v>4502001</v>
      </c>
      <c r="P91" s="17">
        <v>2024257990012</v>
      </c>
      <c r="Q91" s="14" t="s">
        <v>534</v>
      </c>
      <c r="R91" s="18">
        <v>90</v>
      </c>
      <c r="S91" s="14" t="s">
        <v>542</v>
      </c>
      <c r="T91" s="14">
        <v>0</v>
      </c>
      <c r="U91" s="14" t="s">
        <v>88</v>
      </c>
      <c r="V91" s="14" t="s">
        <v>89</v>
      </c>
      <c r="W91" s="14" t="s">
        <v>543</v>
      </c>
      <c r="X91" s="14" t="s">
        <v>206</v>
      </c>
      <c r="Y91" s="29"/>
      <c r="Z91" s="14">
        <f>SUM(AF91:AI91)/4</f>
        <v>1</v>
      </c>
      <c r="AA91" s="20">
        <f t="shared" si="1"/>
        <v>1</v>
      </c>
      <c r="AB91" s="20">
        <f t="shared" si="2"/>
        <v>0.8</v>
      </c>
      <c r="AC91" s="21"/>
      <c r="AD91" s="21"/>
      <c r="AE91" s="21">
        <f t="shared" si="3"/>
        <v>0.42999999999999994</v>
      </c>
      <c r="AF91" s="14">
        <v>1</v>
      </c>
      <c r="AG91" s="14">
        <v>1</v>
      </c>
      <c r="AH91" s="14">
        <v>1</v>
      </c>
      <c r="AI91" s="14">
        <v>1</v>
      </c>
      <c r="AJ91" s="26"/>
      <c r="AK91" s="26"/>
      <c r="AL91" s="26"/>
      <c r="AM91" s="26"/>
      <c r="AN91" s="26">
        <v>0.5</v>
      </c>
      <c r="AO91" s="26">
        <v>0.5</v>
      </c>
      <c r="AP91" s="26">
        <v>0.5</v>
      </c>
      <c r="AQ91" s="26">
        <v>0.5</v>
      </c>
      <c r="AR91" s="22">
        <f t="shared" ref="AR91:AS91" si="351">(AJ91+AL91+AN91+AP91)</f>
        <v>1</v>
      </c>
      <c r="AS91" s="22">
        <f t="shared" si="351"/>
        <v>1</v>
      </c>
      <c r="AT91" s="22">
        <f>AS91/AR91</f>
        <v>1</v>
      </c>
      <c r="AU91" s="23" t="str">
        <f>MIN((AR91 /AR91) * 100, 100) &amp; "%"</f>
        <v>100%</v>
      </c>
      <c r="AV91" s="24">
        <f t="shared" si="7"/>
        <v>1</v>
      </c>
      <c r="AW91" s="14" t="s">
        <v>92</v>
      </c>
      <c r="AX91" s="30" t="s">
        <v>544</v>
      </c>
      <c r="AY91" s="46">
        <v>0.3</v>
      </c>
      <c r="AZ91" s="46">
        <v>0.3</v>
      </c>
      <c r="BA91" s="46">
        <v>0.3</v>
      </c>
      <c r="BB91" s="46">
        <v>0.3</v>
      </c>
      <c r="BC91" s="46">
        <v>0.2</v>
      </c>
      <c r="BD91" s="46">
        <v>0.2</v>
      </c>
      <c r="BE91" s="46">
        <v>0.2</v>
      </c>
      <c r="BF91" s="26"/>
      <c r="BG91" s="22">
        <f t="shared" ref="BG91:BH91" si="352">(AY91+BA91+BC91+BE91)</f>
        <v>1</v>
      </c>
      <c r="BH91" s="22">
        <f t="shared" si="352"/>
        <v>0.8</v>
      </c>
      <c r="BI91" s="22">
        <f t="shared" si="347"/>
        <v>0.8</v>
      </c>
      <c r="BJ91" s="23" t="str">
        <f t="shared" si="348"/>
        <v>100%</v>
      </c>
      <c r="BK91" s="24">
        <f t="shared" si="349"/>
        <v>0.8</v>
      </c>
      <c r="BL91" s="22" t="s">
        <v>92</v>
      </c>
      <c r="BM91" s="25" t="s">
        <v>545</v>
      </c>
      <c r="BN91" s="27">
        <v>700000000</v>
      </c>
      <c r="BO91" s="27">
        <v>199895695</v>
      </c>
      <c r="BP91" s="27">
        <v>179999328</v>
      </c>
      <c r="BQ91" s="27">
        <v>179999328</v>
      </c>
      <c r="BR91" s="27">
        <f t="shared" ref="BR91:BS91" si="353">+BN91+BP91</f>
        <v>879999328</v>
      </c>
      <c r="BS91" s="27">
        <f t="shared" si="353"/>
        <v>379895023</v>
      </c>
      <c r="BT91" s="20">
        <f t="shared" si="13"/>
        <v>0.4316992194339494</v>
      </c>
      <c r="BU91" s="27">
        <v>200000000</v>
      </c>
      <c r="BV91" s="27">
        <v>700000000</v>
      </c>
      <c r="BW91" s="27">
        <v>699773248</v>
      </c>
      <c r="BX91" s="27">
        <v>199895695</v>
      </c>
      <c r="BY91" s="28">
        <f t="shared" si="149"/>
        <v>0.99967606857142854</v>
      </c>
      <c r="BZ91" s="27">
        <v>200000000</v>
      </c>
      <c r="CA91" s="20">
        <v>204000000</v>
      </c>
      <c r="CB91" s="29">
        <v>208080000</v>
      </c>
      <c r="CC91" s="29">
        <v>214322400</v>
      </c>
      <c r="CD91" s="29">
        <v>826402400</v>
      </c>
    </row>
    <row r="92" spans="1:82" ht="43.5" customHeight="1">
      <c r="A92" s="12" t="s">
        <v>493</v>
      </c>
      <c r="B92" s="13">
        <v>0.114</v>
      </c>
      <c r="C92" s="12"/>
      <c r="D92" s="14">
        <v>45</v>
      </c>
      <c r="E92" s="14">
        <v>4502</v>
      </c>
      <c r="F92" s="14">
        <v>12</v>
      </c>
      <c r="G92" s="14" t="s">
        <v>529</v>
      </c>
      <c r="H92" s="14">
        <v>1000</v>
      </c>
      <c r="I92" s="14">
        <v>13.1</v>
      </c>
      <c r="J92" s="14" t="s">
        <v>546</v>
      </c>
      <c r="K92" s="14" t="s">
        <v>547</v>
      </c>
      <c r="L92" s="14" t="s">
        <v>548</v>
      </c>
      <c r="M92" s="14" t="s">
        <v>549</v>
      </c>
      <c r="N92" s="20">
        <v>0.7</v>
      </c>
      <c r="O92" s="16">
        <v>4502001</v>
      </c>
      <c r="P92" s="17">
        <v>2024257990012</v>
      </c>
      <c r="Q92" s="14" t="s">
        <v>534</v>
      </c>
      <c r="R92" s="18">
        <v>91</v>
      </c>
      <c r="S92" s="14" t="s">
        <v>550</v>
      </c>
      <c r="T92" s="14">
        <v>9</v>
      </c>
      <c r="U92" s="14" t="s">
        <v>88</v>
      </c>
      <c r="V92" s="14" t="s">
        <v>89</v>
      </c>
      <c r="W92" s="14" t="s">
        <v>551</v>
      </c>
      <c r="X92" s="14" t="s">
        <v>417</v>
      </c>
      <c r="Y92" s="29"/>
      <c r="Z92" s="14">
        <f t="shared" ref="Z92:Z93" si="354">SUM(AF92:AI92)</f>
        <v>20</v>
      </c>
      <c r="AA92" s="20">
        <f t="shared" si="1"/>
        <v>0</v>
      </c>
      <c r="AB92" s="20">
        <f t="shared" si="2"/>
        <v>4.1666666666666671E-2</v>
      </c>
      <c r="AC92" s="21"/>
      <c r="AD92" s="21"/>
      <c r="AE92" s="21">
        <f t="shared" si="3"/>
        <v>1.4583333333333334E-2</v>
      </c>
      <c r="AF92" s="14">
        <v>0</v>
      </c>
      <c r="AG92" s="14">
        <v>6</v>
      </c>
      <c r="AH92" s="14">
        <v>10</v>
      </c>
      <c r="AI92" s="14">
        <v>4</v>
      </c>
      <c r="AJ92" s="26"/>
      <c r="AK92" s="26"/>
      <c r="AL92" s="26"/>
      <c r="AM92" s="26"/>
      <c r="AN92" s="34">
        <v>0</v>
      </c>
      <c r="AO92" s="34">
        <v>0</v>
      </c>
      <c r="AP92" s="34">
        <v>0</v>
      </c>
      <c r="AQ92" s="34">
        <v>0</v>
      </c>
      <c r="AR92" s="34">
        <v>0</v>
      </c>
      <c r="AS92" s="34">
        <f t="shared" ref="AS92:AS93" si="355">(AK92+AM92+AO92+AQ92)/2</f>
        <v>0</v>
      </c>
      <c r="AT92" s="24">
        <f t="shared" ref="AT92:AT93" si="356">IF(AQ92=0, 0, AR92/AQ92)</f>
        <v>0</v>
      </c>
      <c r="AU92" s="23" t="str">
        <f t="shared" ref="AU92:AU93" si="357">IF(AR92&gt; 1, IF(AR92 = AS92, "100%", AR92 &amp; "%"), IF(AR92 &lt;= 0.01, "0%", AR92 * 100 &amp; "%"))</f>
        <v>0%</v>
      </c>
      <c r="AV92" s="24">
        <f t="shared" si="7"/>
        <v>0</v>
      </c>
      <c r="AW92" s="26" t="s">
        <v>192</v>
      </c>
      <c r="AX92" s="30" t="s">
        <v>552</v>
      </c>
      <c r="AY92" s="26">
        <v>0</v>
      </c>
      <c r="AZ92" s="26">
        <v>0</v>
      </c>
      <c r="BA92" s="26">
        <v>0</v>
      </c>
      <c r="BB92" s="26">
        <v>0</v>
      </c>
      <c r="BC92" s="26">
        <v>5</v>
      </c>
      <c r="BD92" s="26">
        <v>5</v>
      </c>
      <c r="BE92" s="26">
        <v>1</v>
      </c>
      <c r="BF92" s="26"/>
      <c r="BG92" s="22">
        <f t="shared" ref="BG92:BH92" si="358">(AY92+BA92+BC92+BE92)</f>
        <v>6</v>
      </c>
      <c r="BH92" s="22">
        <f t="shared" si="358"/>
        <v>5</v>
      </c>
      <c r="BI92" s="22">
        <f t="shared" si="347"/>
        <v>0.83333333333333337</v>
      </c>
      <c r="BJ92" s="23" t="str">
        <f t="shared" si="348"/>
        <v>100%</v>
      </c>
      <c r="BK92" s="24">
        <f t="shared" si="349"/>
        <v>0.83333333333333337</v>
      </c>
      <c r="BL92" s="22" t="s">
        <v>92</v>
      </c>
      <c r="BM92" s="25" t="s">
        <v>552</v>
      </c>
      <c r="BN92" s="27">
        <v>120000000</v>
      </c>
      <c r="BO92" s="27">
        <v>0</v>
      </c>
      <c r="BP92" s="27">
        <v>0</v>
      </c>
      <c r="BQ92" s="27">
        <v>0</v>
      </c>
      <c r="BR92" s="27">
        <f t="shared" ref="BR92:BS92" si="359">+BN92+BP92</f>
        <v>120000000</v>
      </c>
      <c r="BS92" s="27">
        <f t="shared" si="359"/>
        <v>0</v>
      </c>
      <c r="BT92" s="20">
        <f t="shared" si="13"/>
        <v>0</v>
      </c>
      <c r="BU92" s="27">
        <v>120000000</v>
      </c>
      <c r="BV92" s="27">
        <v>160000000</v>
      </c>
      <c r="BW92" s="27">
        <v>0</v>
      </c>
      <c r="BX92" s="27">
        <v>0</v>
      </c>
      <c r="BY92" s="28">
        <f t="shared" si="149"/>
        <v>0</v>
      </c>
      <c r="BZ92" s="27">
        <v>125000000</v>
      </c>
      <c r="CA92" s="20">
        <v>176500000</v>
      </c>
      <c r="CB92" s="29">
        <v>203030000</v>
      </c>
      <c r="CC92" s="29">
        <v>210370900</v>
      </c>
      <c r="CD92" s="29">
        <v>714900900</v>
      </c>
    </row>
    <row r="93" spans="1:82" ht="45.75" customHeight="1">
      <c r="A93" s="12" t="s">
        <v>493</v>
      </c>
      <c r="B93" s="13">
        <v>0.114</v>
      </c>
      <c r="C93" s="12"/>
      <c r="D93" s="14">
        <v>45</v>
      </c>
      <c r="E93" s="14">
        <v>4502</v>
      </c>
      <c r="F93" s="14">
        <v>12</v>
      </c>
      <c r="G93" s="14" t="s">
        <v>529</v>
      </c>
      <c r="H93" s="14">
        <v>1000</v>
      </c>
      <c r="I93" s="14">
        <v>13.1</v>
      </c>
      <c r="J93" s="14" t="s">
        <v>546</v>
      </c>
      <c r="K93" s="14" t="s">
        <v>547</v>
      </c>
      <c r="L93" s="14" t="s">
        <v>548</v>
      </c>
      <c r="M93" s="14" t="s">
        <v>549</v>
      </c>
      <c r="N93" s="20">
        <v>0.7</v>
      </c>
      <c r="O93" s="16">
        <v>4502001</v>
      </c>
      <c r="P93" s="17">
        <v>2024257990012</v>
      </c>
      <c r="Q93" s="14" t="s">
        <v>534</v>
      </c>
      <c r="R93" s="18">
        <v>92</v>
      </c>
      <c r="S93" s="14" t="s">
        <v>553</v>
      </c>
      <c r="T93" s="14">
        <v>0</v>
      </c>
      <c r="U93" s="14" t="s">
        <v>88</v>
      </c>
      <c r="V93" s="14" t="s">
        <v>89</v>
      </c>
      <c r="W93" s="14" t="s">
        <v>554</v>
      </c>
      <c r="X93" s="14" t="s">
        <v>417</v>
      </c>
      <c r="Y93" s="29"/>
      <c r="Z93" s="14">
        <f t="shared" si="354"/>
        <v>1</v>
      </c>
      <c r="AA93" s="20">
        <f t="shared" si="1"/>
        <v>0</v>
      </c>
      <c r="AB93" s="20">
        <f t="shared" si="2"/>
        <v>0.85</v>
      </c>
      <c r="AC93" s="21"/>
      <c r="AD93" s="21"/>
      <c r="AE93" s="21">
        <f t="shared" si="3"/>
        <v>0.29749999999999999</v>
      </c>
      <c r="AF93" s="14">
        <v>0</v>
      </c>
      <c r="AG93" s="14">
        <v>0.5</v>
      </c>
      <c r="AH93" s="14">
        <v>0.5</v>
      </c>
      <c r="AI93" s="14">
        <v>0</v>
      </c>
      <c r="AJ93" s="26"/>
      <c r="AK93" s="26"/>
      <c r="AL93" s="26"/>
      <c r="AM93" s="26"/>
      <c r="AN93" s="34">
        <v>0</v>
      </c>
      <c r="AO93" s="34">
        <v>0</v>
      </c>
      <c r="AP93" s="34">
        <v>0</v>
      </c>
      <c r="AQ93" s="34">
        <v>0</v>
      </c>
      <c r="AR93" s="34">
        <v>0</v>
      </c>
      <c r="AS93" s="34">
        <f t="shared" si="355"/>
        <v>0</v>
      </c>
      <c r="AT93" s="24">
        <f t="shared" si="356"/>
        <v>0</v>
      </c>
      <c r="AU93" s="23" t="str">
        <f t="shared" si="357"/>
        <v>0%</v>
      </c>
      <c r="AV93" s="24">
        <f t="shared" si="7"/>
        <v>0</v>
      </c>
      <c r="AW93" s="26" t="s">
        <v>192</v>
      </c>
      <c r="AX93" s="30" t="s">
        <v>555</v>
      </c>
      <c r="AY93" s="26">
        <v>15</v>
      </c>
      <c r="AZ93" s="26">
        <v>15</v>
      </c>
      <c r="BA93" s="26">
        <v>30</v>
      </c>
      <c r="BB93" s="26">
        <v>30</v>
      </c>
      <c r="BC93" s="26">
        <v>40</v>
      </c>
      <c r="BD93" s="26">
        <v>40</v>
      </c>
      <c r="BE93" s="26">
        <v>15</v>
      </c>
      <c r="BF93" s="26"/>
      <c r="BG93" s="22">
        <f t="shared" ref="BG93:BH93" si="360">(AY93+BA93+BC93+BE93)</f>
        <v>100</v>
      </c>
      <c r="BH93" s="22">
        <f t="shared" si="360"/>
        <v>85</v>
      </c>
      <c r="BI93" s="22">
        <f t="shared" si="347"/>
        <v>0.85</v>
      </c>
      <c r="BJ93" s="23" t="str">
        <f t="shared" si="348"/>
        <v>100%</v>
      </c>
      <c r="BK93" s="24">
        <f t="shared" si="349"/>
        <v>0.85</v>
      </c>
      <c r="BL93" s="22" t="s">
        <v>92</v>
      </c>
      <c r="BM93" s="25" t="s">
        <v>555</v>
      </c>
      <c r="BN93" s="27">
        <v>25000000</v>
      </c>
      <c r="BO93" s="27">
        <v>17700000</v>
      </c>
      <c r="BP93" s="27">
        <v>0</v>
      </c>
      <c r="BQ93" s="27">
        <v>0</v>
      </c>
      <c r="BR93" s="27">
        <f t="shared" ref="BR93:BS93" si="361">+BN93+BP93</f>
        <v>25000000</v>
      </c>
      <c r="BS93" s="27">
        <f t="shared" si="361"/>
        <v>17700000</v>
      </c>
      <c r="BT93" s="20">
        <f t="shared" si="13"/>
        <v>0.70799999999999996</v>
      </c>
      <c r="BU93" s="27">
        <v>25000000</v>
      </c>
      <c r="BV93" s="27">
        <v>17700000</v>
      </c>
      <c r="BW93" s="27">
        <v>17700000</v>
      </c>
      <c r="BX93" s="27">
        <v>17700000</v>
      </c>
      <c r="BY93" s="28">
        <f t="shared" si="149"/>
        <v>1</v>
      </c>
      <c r="BZ93" s="27">
        <v>0</v>
      </c>
      <c r="CA93" s="20">
        <v>0</v>
      </c>
      <c r="CB93" s="29">
        <v>50000000</v>
      </c>
      <c r="CC93" s="29">
        <v>50000000</v>
      </c>
      <c r="CD93" s="29">
        <v>100000000</v>
      </c>
    </row>
    <row r="94" spans="1:82" ht="56.25" customHeight="1">
      <c r="A94" s="12" t="s">
        <v>493</v>
      </c>
      <c r="B94" s="13">
        <v>0.114</v>
      </c>
      <c r="C94" s="12"/>
      <c r="D94" s="14">
        <v>45</v>
      </c>
      <c r="E94" s="14">
        <v>4502</v>
      </c>
      <c r="F94" s="14">
        <v>12</v>
      </c>
      <c r="G94" s="14" t="s">
        <v>529</v>
      </c>
      <c r="H94" s="14">
        <v>1000</v>
      </c>
      <c r="I94" s="14">
        <v>13.1</v>
      </c>
      <c r="J94" s="14" t="s">
        <v>546</v>
      </c>
      <c r="K94" s="14" t="s">
        <v>547</v>
      </c>
      <c r="L94" s="14" t="s">
        <v>548</v>
      </c>
      <c r="M94" s="14" t="s">
        <v>549</v>
      </c>
      <c r="N94" s="20">
        <v>0.7</v>
      </c>
      <c r="O94" s="16">
        <v>4502022</v>
      </c>
      <c r="P94" s="17">
        <v>2024257990012</v>
      </c>
      <c r="Q94" s="14" t="s">
        <v>534</v>
      </c>
      <c r="R94" s="18">
        <v>93</v>
      </c>
      <c r="S94" s="14" t="s">
        <v>556</v>
      </c>
      <c r="T94" s="20">
        <v>1</v>
      </c>
      <c r="U94" s="14" t="s">
        <v>109</v>
      </c>
      <c r="V94" s="14" t="s">
        <v>114</v>
      </c>
      <c r="W94" s="14" t="s">
        <v>557</v>
      </c>
      <c r="X94" s="14" t="s">
        <v>417</v>
      </c>
      <c r="Y94" s="29"/>
      <c r="Z94" s="24">
        <f>SUM(AF94:AI94)/4</f>
        <v>1</v>
      </c>
      <c r="AA94" s="20">
        <f t="shared" si="1"/>
        <v>0.5</v>
      </c>
      <c r="AB94" s="20">
        <f t="shared" si="2"/>
        <v>0.85</v>
      </c>
      <c r="AC94" s="21"/>
      <c r="AD94" s="21"/>
      <c r="AE94" s="21">
        <f t="shared" si="3"/>
        <v>0.3725</v>
      </c>
      <c r="AF94" s="20">
        <v>1</v>
      </c>
      <c r="AG94" s="20">
        <v>1</v>
      </c>
      <c r="AH94" s="20">
        <v>1</v>
      </c>
      <c r="AI94" s="20">
        <v>1</v>
      </c>
      <c r="AJ94" s="26"/>
      <c r="AK94" s="26"/>
      <c r="AL94" s="26"/>
      <c r="AM94" s="26"/>
      <c r="AN94" s="24">
        <v>0.7</v>
      </c>
      <c r="AO94" s="24">
        <v>0.7</v>
      </c>
      <c r="AP94" s="24">
        <v>0.3</v>
      </c>
      <c r="AQ94" s="24">
        <v>0.3</v>
      </c>
      <c r="AR94" s="24">
        <f t="shared" ref="AR94:AS94" si="362">(AJ94+AL94+AN94+AP94)/2</f>
        <v>0.5</v>
      </c>
      <c r="AS94" s="24">
        <f t="shared" si="362"/>
        <v>0.5</v>
      </c>
      <c r="AT94" s="24">
        <f>AS94/AR94</f>
        <v>1</v>
      </c>
      <c r="AU94" s="23" t="str">
        <f>MIN((AR94 /AR94) * 100, 100) &amp; "%"</f>
        <v>100%</v>
      </c>
      <c r="AV94" s="24">
        <f t="shared" si="7"/>
        <v>1</v>
      </c>
      <c r="AW94" s="14" t="s">
        <v>92</v>
      </c>
      <c r="AX94" s="30" t="s">
        <v>558</v>
      </c>
      <c r="AY94" s="24">
        <v>0.25</v>
      </c>
      <c r="AZ94" s="24">
        <v>0.25</v>
      </c>
      <c r="BA94" s="24">
        <v>0.25</v>
      </c>
      <c r="BB94" s="24">
        <v>0.25</v>
      </c>
      <c r="BC94" s="24">
        <v>0.35</v>
      </c>
      <c r="BD94" s="24">
        <v>0.35</v>
      </c>
      <c r="BE94" s="24">
        <v>0.15</v>
      </c>
      <c r="BF94" s="26"/>
      <c r="BG94" s="20">
        <f t="shared" ref="BG94:BH94" si="363">(AY94+BA94+BC94+BE94)</f>
        <v>1</v>
      </c>
      <c r="BH94" s="20">
        <f t="shared" si="363"/>
        <v>0.85</v>
      </c>
      <c r="BI94" s="20">
        <f t="shared" si="347"/>
        <v>0.85</v>
      </c>
      <c r="BJ94" s="23" t="str">
        <f t="shared" si="348"/>
        <v>100%</v>
      </c>
      <c r="BK94" s="24">
        <f t="shared" si="349"/>
        <v>0.85</v>
      </c>
      <c r="BL94" s="22" t="s">
        <v>92</v>
      </c>
      <c r="BM94" s="25" t="s">
        <v>558</v>
      </c>
      <c r="BN94" s="27">
        <v>25000000</v>
      </c>
      <c r="BO94" s="27">
        <v>25000000</v>
      </c>
      <c r="BP94" s="27">
        <v>17920000</v>
      </c>
      <c r="BQ94" s="27">
        <v>17920000</v>
      </c>
      <c r="BR94" s="27">
        <f t="shared" ref="BR94:BS94" si="364">+BN94+BP94</f>
        <v>42920000</v>
      </c>
      <c r="BS94" s="27">
        <f t="shared" si="364"/>
        <v>42920000</v>
      </c>
      <c r="BT94" s="20">
        <f t="shared" si="13"/>
        <v>1</v>
      </c>
      <c r="BU94" s="27">
        <v>25000000</v>
      </c>
      <c r="BV94" s="27">
        <v>25000000</v>
      </c>
      <c r="BW94" s="27">
        <v>25000000</v>
      </c>
      <c r="BX94" s="27">
        <v>12820000</v>
      </c>
      <c r="BY94" s="28">
        <f t="shared" si="149"/>
        <v>1</v>
      </c>
      <c r="BZ94" s="27">
        <v>50000000</v>
      </c>
      <c r="CA94" s="20">
        <v>51000000</v>
      </c>
      <c r="CB94" s="29">
        <v>52020000</v>
      </c>
      <c r="CC94" s="29">
        <v>53580600</v>
      </c>
      <c r="CD94" s="29">
        <v>206600600</v>
      </c>
    </row>
    <row r="95" spans="1:82" ht="42" customHeight="1">
      <c r="A95" s="12" t="s">
        <v>493</v>
      </c>
      <c r="B95" s="13">
        <v>0.114</v>
      </c>
      <c r="C95" s="12"/>
      <c r="D95" s="14">
        <v>45</v>
      </c>
      <c r="E95" s="14">
        <v>4502</v>
      </c>
      <c r="F95" s="14">
        <v>12</v>
      </c>
      <c r="G95" s="14" t="s">
        <v>529</v>
      </c>
      <c r="H95" s="14">
        <v>1000</v>
      </c>
      <c r="I95" s="14">
        <v>13.1</v>
      </c>
      <c r="J95" s="14" t="s">
        <v>546</v>
      </c>
      <c r="K95" s="14" t="s">
        <v>547</v>
      </c>
      <c r="L95" s="14" t="s">
        <v>548</v>
      </c>
      <c r="M95" s="14" t="s">
        <v>549</v>
      </c>
      <c r="N95" s="20">
        <v>0.7</v>
      </c>
      <c r="O95" s="16">
        <v>4502034</v>
      </c>
      <c r="P95" s="17">
        <v>2024257990012</v>
      </c>
      <c r="Q95" s="14" t="s">
        <v>534</v>
      </c>
      <c r="R95" s="18">
        <v>94</v>
      </c>
      <c r="S95" s="14" t="s">
        <v>559</v>
      </c>
      <c r="T95" s="14">
        <v>0</v>
      </c>
      <c r="U95" s="14" t="s">
        <v>88</v>
      </c>
      <c r="V95" s="14" t="s">
        <v>89</v>
      </c>
      <c r="W95" s="14" t="s">
        <v>560</v>
      </c>
      <c r="X95" s="14" t="s">
        <v>135</v>
      </c>
      <c r="Y95" s="29"/>
      <c r="Z95" s="14">
        <f t="shared" ref="Z95:Z101" si="365">SUM(AF95:AI95)</f>
        <v>4</v>
      </c>
      <c r="AA95" s="20">
        <f t="shared" si="1"/>
        <v>0</v>
      </c>
      <c r="AB95" s="20">
        <f t="shared" si="2"/>
        <v>0.125</v>
      </c>
      <c r="AC95" s="21"/>
      <c r="AD95" s="21"/>
      <c r="AE95" s="21">
        <f t="shared" si="3"/>
        <v>4.3749999999999997E-2</v>
      </c>
      <c r="AF95" s="14">
        <v>0</v>
      </c>
      <c r="AG95" s="14">
        <v>2</v>
      </c>
      <c r="AH95" s="14">
        <v>1</v>
      </c>
      <c r="AI95" s="14">
        <v>1</v>
      </c>
      <c r="AJ95" s="26"/>
      <c r="AK95" s="26"/>
      <c r="AL95" s="26"/>
      <c r="AM95" s="26"/>
      <c r="AN95" s="34">
        <v>0</v>
      </c>
      <c r="AO95" s="34">
        <v>0</v>
      </c>
      <c r="AP95" s="34">
        <v>0</v>
      </c>
      <c r="AQ95" s="34">
        <v>0</v>
      </c>
      <c r="AR95" s="34">
        <v>0</v>
      </c>
      <c r="AS95" s="34">
        <f>(AK95+AM95+AO95+AQ95)/2</f>
        <v>0</v>
      </c>
      <c r="AT95" s="24">
        <f>IF(AQ95=0, 0, AR95/AQ95)</f>
        <v>0</v>
      </c>
      <c r="AU95" s="23" t="str">
        <f>IF(AR95&gt; 1, IF(AR95 = AS95, "100%", AR95 &amp; "%"), IF(AR95 &lt;= 0.01, "0%", AR95 * 100 &amp; "%"))</f>
        <v>0%</v>
      </c>
      <c r="AV95" s="24">
        <f t="shared" si="7"/>
        <v>0</v>
      </c>
      <c r="AW95" s="26" t="s">
        <v>192</v>
      </c>
      <c r="AX95" s="55"/>
      <c r="AY95" s="26">
        <v>0</v>
      </c>
      <c r="AZ95" s="26">
        <v>0</v>
      </c>
      <c r="BA95" s="26">
        <v>1</v>
      </c>
      <c r="BB95" s="26">
        <v>1</v>
      </c>
      <c r="BC95" s="26">
        <v>1</v>
      </c>
      <c r="BD95" s="26">
        <v>0</v>
      </c>
      <c r="BE95" s="26">
        <v>0</v>
      </c>
      <c r="BF95" s="26"/>
      <c r="BG95" s="22">
        <f t="shared" ref="BG95:BH95" si="366">(AY95+BA95+BC95+BE95)</f>
        <v>2</v>
      </c>
      <c r="BH95" s="22">
        <f t="shared" si="366"/>
        <v>1</v>
      </c>
      <c r="BI95" s="22">
        <f t="shared" si="347"/>
        <v>0.5</v>
      </c>
      <c r="BJ95" s="23" t="str">
        <f t="shared" si="348"/>
        <v>100%</v>
      </c>
      <c r="BK95" s="24">
        <f t="shared" si="349"/>
        <v>0.5</v>
      </c>
      <c r="BL95" s="22" t="s">
        <v>192</v>
      </c>
      <c r="BM95" s="25" t="s">
        <v>561</v>
      </c>
      <c r="BN95" s="27">
        <v>10000000</v>
      </c>
      <c r="BO95" s="27">
        <v>0</v>
      </c>
      <c r="BP95" s="27">
        <v>0</v>
      </c>
      <c r="BQ95" s="27">
        <v>0</v>
      </c>
      <c r="BR95" s="27">
        <f t="shared" ref="BR95:BS95" si="367">+BN95+BP95</f>
        <v>10000000</v>
      </c>
      <c r="BS95" s="27">
        <f t="shared" si="367"/>
        <v>0</v>
      </c>
      <c r="BT95" s="20">
        <f t="shared" si="13"/>
        <v>0</v>
      </c>
      <c r="BU95" s="27">
        <v>10000000</v>
      </c>
      <c r="BV95" s="27">
        <v>10000000</v>
      </c>
      <c r="BW95" s="27">
        <v>0</v>
      </c>
      <c r="BX95" s="27">
        <v>0</v>
      </c>
      <c r="BY95" s="28">
        <f t="shared" si="149"/>
        <v>0</v>
      </c>
      <c r="BZ95" s="27">
        <v>40000000</v>
      </c>
      <c r="CA95" s="20">
        <v>40800000</v>
      </c>
      <c r="CB95" s="29">
        <v>41616000</v>
      </c>
      <c r="CC95" s="29">
        <v>42864480</v>
      </c>
      <c r="CD95" s="29">
        <v>165280480</v>
      </c>
    </row>
    <row r="96" spans="1:82" ht="39.75" customHeight="1">
      <c r="A96" s="12" t="s">
        <v>493</v>
      </c>
      <c r="B96" s="13">
        <v>0.114</v>
      </c>
      <c r="C96" s="12"/>
      <c r="D96" s="14">
        <v>45</v>
      </c>
      <c r="E96" s="14">
        <v>4502</v>
      </c>
      <c r="F96" s="14">
        <v>12</v>
      </c>
      <c r="G96" s="14" t="s">
        <v>529</v>
      </c>
      <c r="H96" s="14">
        <v>1000</v>
      </c>
      <c r="I96" s="14">
        <v>13.1</v>
      </c>
      <c r="J96" s="14" t="s">
        <v>546</v>
      </c>
      <c r="K96" s="14" t="s">
        <v>547</v>
      </c>
      <c r="L96" s="14" t="s">
        <v>548</v>
      </c>
      <c r="M96" s="14" t="s">
        <v>549</v>
      </c>
      <c r="N96" s="20">
        <v>0.7</v>
      </c>
      <c r="O96" s="16">
        <v>4502002</v>
      </c>
      <c r="P96" s="17">
        <v>2024257990012</v>
      </c>
      <c r="Q96" s="14" t="s">
        <v>534</v>
      </c>
      <c r="R96" s="18">
        <v>95</v>
      </c>
      <c r="S96" s="14" t="s">
        <v>562</v>
      </c>
      <c r="T96" s="14">
        <v>4</v>
      </c>
      <c r="U96" s="14" t="s">
        <v>88</v>
      </c>
      <c r="V96" s="14" t="s">
        <v>114</v>
      </c>
      <c r="W96" s="14" t="s">
        <v>563</v>
      </c>
      <c r="X96" s="14" t="s">
        <v>417</v>
      </c>
      <c r="Y96" s="29"/>
      <c r="Z96" s="14">
        <f t="shared" si="365"/>
        <v>4</v>
      </c>
      <c r="AA96" s="20">
        <f t="shared" si="1"/>
        <v>0.25</v>
      </c>
      <c r="AB96" s="20">
        <f t="shared" si="2"/>
        <v>0.25</v>
      </c>
      <c r="AC96" s="21"/>
      <c r="AD96" s="21"/>
      <c r="AE96" s="21">
        <f t="shared" si="3"/>
        <v>0.125</v>
      </c>
      <c r="AF96" s="14">
        <v>1</v>
      </c>
      <c r="AG96" s="14">
        <v>1</v>
      </c>
      <c r="AH96" s="14">
        <v>1</v>
      </c>
      <c r="AI96" s="14">
        <v>1</v>
      </c>
      <c r="AJ96" s="26"/>
      <c r="AK96" s="26"/>
      <c r="AL96" s="26"/>
      <c r="AM96" s="26"/>
      <c r="AN96" s="44">
        <v>1E-3</v>
      </c>
      <c r="AO96" s="26">
        <v>0</v>
      </c>
      <c r="AP96" s="26">
        <v>1</v>
      </c>
      <c r="AQ96" s="26">
        <v>1</v>
      </c>
      <c r="AR96" s="22">
        <f t="shared" ref="AR96:AS96" si="368">(AJ96+AL96+AN96+AP96)</f>
        <v>1.0009999999999999</v>
      </c>
      <c r="AS96" s="22">
        <f t="shared" si="368"/>
        <v>1</v>
      </c>
      <c r="AT96" s="22">
        <f>AS96/AR96</f>
        <v>0.99900099900099915</v>
      </c>
      <c r="AU96" s="23" t="str">
        <f t="shared" ref="AU96:AU99" si="369">MIN((AR96 /AR96) * 100, 100) &amp; "%"</f>
        <v>100%</v>
      </c>
      <c r="AV96" s="24">
        <f t="shared" si="7"/>
        <v>0.99900099900099915</v>
      </c>
      <c r="AW96" s="14" t="s">
        <v>92</v>
      </c>
      <c r="AX96" s="30" t="s">
        <v>564</v>
      </c>
      <c r="AY96" s="46">
        <v>0</v>
      </c>
      <c r="AZ96" s="26">
        <v>0</v>
      </c>
      <c r="BA96" s="46">
        <v>0.4</v>
      </c>
      <c r="BB96" s="46">
        <v>0.4</v>
      </c>
      <c r="BC96" s="46">
        <v>0.6</v>
      </c>
      <c r="BD96" s="46">
        <v>0.6</v>
      </c>
      <c r="BE96" s="46">
        <v>0</v>
      </c>
      <c r="BF96" s="26"/>
      <c r="BG96" s="22">
        <f t="shared" ref="BG96:BH96" si="370">(AY96+BA96+BC96+BE96)</f>
        <v>1</v>
      </c>
      <c r="BH96" s="22">
        <f t="shared" si="370"/>
        <v>1</v>
      </c>
      <c r="BI96" s="22">
        <f t="shared" si="347"/>
        <v>1</v>
      </c>
      <c r="BJ96" s="23" t="str">
        <f t="shared" si="348"/>
        <v>100%</v>
      </c>
      <c r="BK96" s="24">
        <f t="shared" si="349"/>
        <v>1</v>
      </c>
      <c r="BL96" s="22" t="s">
        <v>92</v>
      </c>
      <c r="BM96" s="25" t="s">
        <v>564</v>
      </c>
      <c r="BN96" s="27">
        <v>80000000</v>
      </c>
      <c r="BO96" s="27">
        <v>0</v>
      </c>
      <c r="BP96" s="27">
        <v>72159990</v>
      </c>
      <c r="BQ96" s="27">
        <v>72159990</v>
      </c>
      <c r="BR96" s="27">
        <f t="shared" ref="BR96:BS96" si="371">+BN96+BP96</f>
        <v>152159990</v>
      </c>
      <c r="BS96" s="27">
        <f t="shared" si="371"/>
        <v>72159990</v>
      </c>
      <c r="BT96" s="20">
        <f t="shared" si="13"/>
        <v>0.47423761003138865</v>
      </c>
      <c r="BU96" s="27">
        <v>80000000</v>
      </c>
      <c r="BV96" s="27">
        <v>117300000</v>
      </c>
      <c r="BW96" s="27">
        <v>0</v>
      </c>
      <c r="BX96" s="27">
        <v>0</v>
      </c>
      <c r="BY96" s="28">
        <f t="shared" si="149"/>
        <v>0</v>
      </c>
      <c r="BZ96" s="27">
        <v>100000000</v>
      </c>
      <c r="CA96" s="20">
        <v>102000000</v>
      </c>
      <c r="CB96" s="29"/>
      <c r="CC96" s="29"/>
      <c r="CD96" s="29">
        <v>202000000</v>
      </c>
    </row>
    <row r="97" spans="1:82" ht="30.75" customHeight="1">
      <c r="A97" s="12" t="s">
        <v>493</v>
      </c>
      <c r="B97" s="13">
        <v>0.114</v>
      </c>
      <c r="C97" s="12"/>
      <c r="D97" s="14">
        <v>45</v>
      </c>
      <c r="E97" s="14">
        <v>4502</v>
      </c>
      <c r="F97" s="14">
        <v>12</v>
      </c>
      <c r="G97" s="14" t="s">
        <v>529</v>
      </c>
      <c r="H97" s="14">
        <v>1000</v>
      </c>
      <c r="I97" s="14">
        <v>13.1</v>
      </c>
      <c r="J97" s="14" t="s">
        <v>546</v>
      </c>
      <c r="K97" s="14" t="s">
        <v>547</v>
      </c>
      <c r="L97" s="14" t="s">
        <v>548</v>
      </c>
      <c r="M97" s="14" t="s">
        <v>549</v>
      </c>
      <c r="N97" s="20">
        <v>0.7</v>
      </c>
      <c r="O97" s="16">
        <v>4502001</v>
      </c>
      <c r="P97" s="17">
        <v>2024257990012</v>
      </c>
      <c r="Q97" s="14" t="s">
        <v>534</v>
      </c>
      <c r="R97" s="18">
        <v>96</v>
      </c>
      <c r="S97" s="14" t="s">
        <v>565</v>
      </c>
      <c r="T97" s="14">
        <v>4</v>
      </c>
      <c r="U97" s="14" t="s">
        <v>88</v>
      </c>
      <c r="V97" s="14" t="s">
        <v>114</v>
      </c>
      <c r="W97" s="14" t="s">
        <v>566</v>
      </c>
      <c r="X97" s="14" t="s">
        <v>567</v>
      </c>
      <c r="Y97" s="29"/>
      <c r="Z97" s="18">
        <f t="shared" si="365"/>
        <v>4</v>
      </c>
      <c r="AA97" s="20">
        <f t="shared" si="1"/>
        <v>0.25</v>
      </c>
      <c r="AB97" s="20">
        <f t="shared" si="2"/>
        <v>0.17500000000000002</v>
      </c>
      <c r="AC97" s="21"/>
      <c r="AD97" s="21"/>
      <c r="AE97" s="21">
        <f t="shared" si="3"/>
        <v>9.8750000000000004E-2</v>
      </c>
      <c r="AF97" s="56">
        <v>1</v>
      </c>
      <c r="AG97" s="56">
        <v>1</v>
      </c>
      <c r="AH97" s="56">
        <v>1</v>
      </c>
      <c r="AI97" s="56">
        <v>1</v>
      </c>
      <c r="AJ97" s="26"/>
      <c r="AK97" s="26"/>
      <c r="AL97" s="26"/>
      <c r="AM97" s="26"/>
      <c r="AN97" s="44">
        <v>1E-3</v>
      </c>
      <c r="AO97" s="26">
        <v>0</v>
      </c>
      <c r="AP97" s="26">
        <v>1</v>
      </c>
      <c r="AQ97" s="26">
        <v>1</v>
      </c>
      <c r="AR97" s="22">
        <f t="shared" ref="AR97:AS97" si="372">(AJ97+AL97+AN97+AP97)</f>
        <v>1.0009999999999999</v>
      </c>
      <c r="AS97" s="22">
        <f t="shared" si="372"/>
        <v>1</v>
      </c>
      <c r="AT97" s="24">
        <f>IF(AQ97=0, 0, AR97/AQ97)</f>
        <v>1.0009999999999999</v>
      </c>
      <c r="AU97" s="23" t="str">
        <f t="shared" si="369"/>
        <v>100%</v>
      </c>
      <c r="AV97" s="24">
        <f t="shared" si="7"/>
        <v>0.99900099900099915</v>
      </c>
      <c r="AW97" s="14" t="s">
        <v>92</v>
      </c>
      <c r="AX97" s="30" t="s">
        <v>568</v>
      </c>
      <c r="AY97" s="46">
        <v>0.1</v>
      </c>
      <c r="AZ97" s="46">
        <v>0.1</v>
      </c>
      <c r="BA97" s="46">
        <v>0.2</v>
      </c>
      <c r="BB97" s="46">
        <v>0.2</v>
      </c>
      <c r="BC97" s="46">
        <v>0.4</v>
      </c>
      <c r="BD97" s="46">
        <v>0.4</v>
      </c>
      <c r="BE97" s="46">
        <v>0.3</v>
      </c>
      <c r="BF97" s="26"/>
      <c r="BG97" s="22">
        <f t="shared" ref="BG97:BH97" si="373">(AY97+BA97+BC97+BE97)</f>
        <v>1</v>
      </c>
      <c r="BH97" s="22">
        <f t="shared" si="373"/>
        <v>0.70000000000000007</v>
      </c>
      <c r="BI97" s="22">
        <f t="shared" si="347"/>
        <v>0.70000000000000007</v>
      </c>
      <c r="BJ97" s="23" t="str">
        <f t="shared" si="348"/>
        <v>100%</v>
      </c>
      <c r="BK97" s="24">
        <f t="shared" si="349"/>
        <v>0.70000000000000007</v>
      </c>
      <c r="BL97" s="22" t="s">
        <v>92</v>
      </c>
      <c r="BM97" s="25" t="s">
        <v>568</v>
      </c>
      <c r="BN97" s="27">
        <v>110000000</v>
      </c>
      <c r="BO97" s="27">
        <v>40000000</v>
      </c>
      <c r="BP97" s="27">
        <v>49500000</v>
      </c>
      <c r="BQ97" s="27">
        <v>49500000</v>
      </c>
      <c r="BR97" s="27">
        <f t="shared" ref="BR97:BS97" si="374">+BN97+BP97</f>
        <v>159500000</v>
      </c>
      <c r="BS97" s="27">
        <f t="shared" si="374"/>
        <v>89500000</v>
      </c>
      <c r="BT97" s="20">
        <f t="shared" si="13"/>
        <v>0.56112852664576807</v>
      </c>
      <c r="BU97" s="27">
        <v>80000000</v>
      </c>
      <c r="BV97" s="27">
        <v>110000000</v>
      </c>
      <c r="BW97" s="27">
        <v>110000000</v>
      </c>
      <c r="BX97" s="27">
        <v>110000000</v>
      </c>
      <c r="BY97" s="28">
        <f t="shared" si="149"/>
        <v>1</v>
      </c>
      <c r="BZ97" s="27">
        <v>80000000</v>
      </c>
      <c r="CA97" s="20">
        <v>81600000</v>
      </c>
      <c r="CB97" s="29">
        <v>83232000</v>
      </c>
      <c r="CC97" s="29">
        <v>85728960</v>
      </c>
      <c r="CD97" s="29">
        <v>330560960</v>
      </c>
    </row>
    <row r="98" spans="1:82" ht="42" customHeight="1">
      <c r="A98" s="12" t="s">
        <v>493</v>
      </c>
      <c r="B98" s="13">
        <v>0.114</v>
      </c>
      <c r="C98" s="12"/>
      <c r="D98" s="14">
        <v>45</v>
      </c>
      <c r="E98" s="14">
        <v>4502</v>
      </c>
      <c r="F98" s="14">
        <v>12</v>
      </c>
      <c r="G98" s="14" t="s">
        <v>529</v>
      </c>
      <c r="H98" s="14">
        <v>1000</v>
      </c>
      <c r="I98" s="14">
        <v>13.1</v>
      </c>
      <c r="J98" s="14" t="s">
        <v>546</v>
      </c>
      <c r="K98" s="14" t="s">
        <v>547</v>
      </c>
      <c r="L98" s="14" t="s">
        <v>548</v>
      </c>
      <c r="M98" s="14" t="s">
        <v>549</v>
      </c>
      <c r="N98" s="20">
        <v>0.7</v>
      </c>
      <c r="O98" s="16">
        <v>4502001</v>
      </c>
      <c r="P98" s="17">
        <v>2024257990012</v>
      </c>
      <c r="Q98" s="14" t="s">
        <v>534</v>
      </c>
      <c r="R98" s="18">
        <v>97</v>
      </c>
      <c r="S98" s="14" t="s">
        <v>569</v>
      </c>
      <c r="T98" s="14">
        <v>4</v>
      </c>
      <c r="U98" s="14" t="s">
        <v>88</v>
      </c>
      <c r="V98" s="14" t="s">
        <v>114</v>
      </c>
      <c r="W98" s="14" t="s">
        <v>570</v>
      </c>
      <c r="X98" s="14" t="s">
        <v>417</v>
      </c>
      <c r="Y98" s="29"/>
      <c r="Z98" s="14">
        <f t="shared" si="365"/>
        <v>4</v>
      </c>
      <c r="AA98" s="20">
        <f t="shared" si="1"/>
        <v>0.25</v>
      </c>
      <c r="AB98" s="20">
        <f t="shared" si="2"/>
        <v>0.2</v>
      </c>
      <c r="AC98" s="21"/>
      <c r="AD98" s="21"/>
      <c r="AE98" s="21">
        <f t="shared" si="3"/>
        <v>0.10749999999999998</v>
      </c>
      <c r="AF98" s="14">
        <v>1</v>
      </c>
      <c r="AG98" s="14">
        <v>1</v>
      </c>
      <c r="AH98" s="14">
        <v>1</v>
      </c>
      <c r="AI98" s="14">
        <v>1</v>
      </c>
      <c r="AJ98" s="26"/>
      <c r="AK98" s="26"/>
      <c r="AL98" s="26"/>
      <c r="AM98" s="26"/>
      <c r="AN98" s="44">
        <v>0.2</v>
      </c>
      <c r="AO98" s="26">
        <v>0.2</v>
      </c>
      <c r="AP98" s="26">
        <v>0.8</v>
      </c>
      <c r="AQ98" s="26">
        <v>0.8</v>
      </c>
      <c r="AR98" s="22">
        <f t="shared" ref="AR98:AS98" si="375">(AJ98+AL98+AN98+AP98)</f>
        <v>1</v>
      </c>
      <c r="AS98" s="22">
        <f t="shared" si="375"/>
        <v>1</v>
      </c>
      <c r="AT98" s="22">
        <f t="shared" ref="AT98:AT99" si="376">AS98/AR98</f>
        <v>1</v>
      </c>
      <c r="AU98" s="23" t="str">
        <f t="shared" si="369"/>
        <v>100%</v>
      </c>
      <c r="AV98" s="24">
        <f t="shared" si="7"/>
        <v>1</v>
      </c>
      <c r="AW98" s="14" t="s">
        <v>92</v>
      </c>
      <c r="AX98" s="30" t="s">
        <v>571</v>
      </c>
      <c r="AY98" s="46">
        <v>0</v>
      </c>
      <c r="AZ98" s="26">
        <v>0</v>
      </c>
      <c r="BA98" s="46">
        <v>0</v>
      </c>
      <c r="BB98" s="46">
        <v>0</v>
      </c>
      <c r="BC98" s="46">
        <v>0.8</v>
      </c>
      <c r="BD98" s="46">
        <v>0.8</v>
      </c>
      <c r="BE98" s="46">
        <v>0.2</v>
      </c>
      <c r="BF98" s="26"/>
      <c r="BG98" s="22">
        <f t="shared" ref="BG98:BH98" si="377">(AY98+BA98+BC98+BE98)</f>
        <v>1</v>
      </c>
      <c r="BH98" s="22">
        <f t="shared" si="377"/>
        <v>0.8</v>
      </c>
      <c r="BI98" s="22">
        <f t="shared" si="347"/>
        <v>0.8</v>
      </c>
      <c r="BJ98" s="23" t="str">
        <f t="shared" si="348"/>
        <v>100%</v>
      </c>
      <c r="BK98" s="24">
        <f t="shared" si="349"/>
        <v>0.8</v>
      </c>
      <c r="BL98" s="22" t="s">
        <v>92</v>
      </c>
      <c r="BM98" s="25" t="s">
        <v>571</v>
      </c>
      <c r="BN98" s="27">
        <v>90000000</v>
      </c>
      <c r="BO98" s="27">
        <v>0</v>
      </c>
      <c r="BP98" s="27">
        <v>89902351</v>
      </c>
      <c r="BQ98" s="27">
        <v>89902351</v>
      </c>
      <c r="BR98" s="27">
        <f t="shared" ref="BR98:BS98" si="378">+BN98+BP98</f>
        <v>179902351</v>
      </c>
      <c r="BS98" s="27">
        <f t="shared" si="378"/>
        <v>89902351</v>
      </c>
      <c r="BT98" s="20">
        <f t="shared" si="13"/>
        <v>0.49972860554779519</v>
      </c>
      <c r="BU98" s="27">
        <v>90000000</v>
      </c>
      <c r="BV98" s="27">
        <v>50000000</v>
      </c>
      <c r="BW98" s="27">
        <v>49993842</v>
      </c>
      <c r="BX98" s="27">
        <v>0</v>
      </c>
      <c r="BY98" s="28">
        <f t="shared" si="149"/>
        <v>0.99987683999999999</v>
      </c>
      <c r="BZ98" s="27">
        <v>30000000</v>
      </c>
      <c r="CA98" s="20">
        <v>30600000</v>
      </c>
      <c r="CB98" s="29">
        <v>31212000</v>
      </c>
      <c r="CC98" s="29">
        <v>32148360</v>
      </c>
      <c r="CD98" s="29">
        <v>123960360</v>
      </c>
    </row>
    <row r="99" spans="1:82" ht="46.5" customHeight="1">
      <c r="A99" s="12" t="s">
        <v>493</v>
      </c>
      <c r="B99" s="13">
        <v>0.114</v>
      </c>
      <c r="C99" s="12"/>
      <c r="D99" s="14">
        <v>45</v>
      </c>
      <c r="E99" s="14">
        <v>4502</v>
      </c>
      <c r="F99" s="14">
        <v>12</v>
      </c>
      <c r="G99" s="14" t="s">
        <v>529</v>
      </c>
      <c r="H99" s="14">
        <v>1000</v>
      </c>
      <c r="I99" s="14">
        <v>13.1</v>
      </c>
      <c r="J99" s="14" t="s">
        <v>546</v>
      </c>
      <c r="K99" s="14" t="s">
        <v>547</v>
      </c>
      <c r="L99" s="14" t="s">
        <v>548</v>
      </c>
      <c r="M99" s="14" t="s">
        <v>549</v>
      </c>
      <c r="N99" s="20">
        <v>0.7</v>
      </c>
      <c r="O99" s="16">
        <v>4502032</v>
      </c>
      <c r="P99" s="17">
        <v>2024257990012</v>
      </c>
      <c r="Q99" s="14" t="s">
        <v>534</v>
      </c>
      <c r="R99" s="18">
        <v>98</v>
      </c>
      <c r="S99" s="14" t="s">
        <v>572</v>
      </c>
      <c r="T99" s="14">
        <v>0</v>
      </c>
      <c r="U99" s="14" t="s">
        <v>109</v>
      </c>
      <c r="V99" s="14" t="s">
        <v>89</v>
      </c>
      <c r="W99" s="14" t="s">
        <v>573</v>
      </c>
      <c r="X99" s="14" t="s">
        <v>417</v>
      </c>
      <c r="Y99" s="29"/>
      <c r="Z99" s="20">
        <f t="shared" si="365"/>
        <v>0.35</v>
      </c>
      <c r="AA99" s="20">
        <f t="shared" si="1"/>
        <v>0.14285714285714288</v>
      </c>
      <c r="AB99" s="20">
        <f t="shared" si="2"/>
        <v>2.3809523809523809</v>
      </c>
      <c r="AC99" s="21"/>
      <c r="AD99" s="21"/>
      <c r="AE99" s="21">
        <f t="shared" si="3"/>
        <v>0.85476190476190472</v>
      </c>
      <c r="AF99" s="20">
        <v>0.05</v>
      </c>
      <c r="AG99" s="20">
        <v>0.12</v>
      </c>
      <c r="AH99" s="20">
        <v>0.12</v>
      </c>
      <c r="AI99" s="20">
        <v>0.06</v>
      </c>
      <c r="AJ99" s="26"/>
      <c r="AK99" s="26"/>
      <c r="AL99" s="26"/>
      <c r="AM99" s="26"/>
      <c r="AN99" s="26">
        <v>0.03</v>
      </c>
      <c r="AO99" s="26">
        <v>0.03</v>
      </c>
      <c r="AP99" s="26">
        <v>0.02</v>
      </c>
      <c r="AQ99" s="26">
        <v>0.02</v>
      </c>
      <c r="AR99" s="22">
        <f t="shared" ref="AR99:AS99" si="379">(AJ99+AL99+AN99+AP99)</f>
        <v>0.05</v>
      </c>
      <c r="AS99" s="22">
        <f t="shared" si="379"/>
        <v>0.05</v>
      </c>
      <c r="AT99" s="22">
        <f t="shared" si="376"/>
        <v>1</v>
      </c>
      <c r="AU99" s="23" t="str">
        <f t="shared" si="369"/>
        <v>100%</v>
      </c>
      <c r="AV99" s="24">
        <f t="shared" si="7"/>
        <v>1</v>
      </c>
      <c r="AW99" s="14" t="s">
        <v>92</v>
      </c>
      <c r="AX99" s="30" t="s">
        <v>574</v>
      </c>
      <c r="AY99" s="24">
        <v>0</v>
      </c>
      <c r="AZ99" s="26">
        <v>0</v>
      </c>
      <c r="BA99" s="24">
        <v>0.05</v>
      </c>
      <c r="BB99" s="24">
        <v>0.05</v>
      </c>
      <c r="BC99" s="24">
        <v>0.05</v>
      </c>
      <c r="BD99" s="24">
        <v>0.05</v>
      </c>
      <c r="BE99" s="24">
        <v>0.02</v>
      </c>
      <c r="BF99" s="26"/>
      <c r="BG99" s="20">
        <f t="shared" ref="BG99:BH99" si="380">(AY99+BA99+BC99+BE99)</f>
        <v>0.12000000000000001</v>
      </c>
      <c r="BH99" s="20">
        <f t="shared" si="380"/>
        <v>0.1</v>
      </c>
      <c r="BI99" s="20">
        <f t="shared" si="347"/>
        <v>0.83333333333333326</v>
      </c>
      <c r="BJ99" s="23" t="str">
        <f t="shared" si="348"/>
        <v>100%</v>
      </c>
      <c r="BK99" s="24">
        <f t="shared" si="349"/>
        <v>0.83333333333333326</v>
      </c>
      <c r="BL99" s="22" t="s">
        <v>92</v>
      </c>
      <c r="BM99" s="25" t="s">
        <v>574</v>
      </c>
      <c r="BN99" s="27">
        <v>90000000</v>
      </c>
      <c r="BO99" s="27">
        <v>0</v>
      </c>
      <c r="BP99" s="27">
        <v>0</v>
      </c>
      <c r="BQ99" s="27">
        <v>0</v>
      </c>
      <c r="BR99" s="27">
        <f t="shared" ref="BR99:BS99" si="381">+BN99+BP99</f>
        <v>90000000</v>
      </c>
      <c r="BS99" s="27">
        <f t="shared" si="381"/>
        <v>0</v>
      </c>
      <c r="BT99" s="20">
        <f t="shared" si="13"/>
        <v>0</v>
      </c>
      <c r="BU99" s="27">
        <v>20000000</v>
      </c>
      <c r="BV99" s="27">
        <v>90000000</v>
      </c>
      <c r="BW99" s="27">
        <v>0</v>
      </c>
      <c r="BX99" s="27">
        <v>0</v>
      </c>
      <c r="BY99" s="28">
        <f t="shared" si="149"/>
        <v>0</v>
      </c>
      <c r="BZ99" s="27">
        <v>0</v>
      </c>
      <c r="CA99" s="20">
        <v>70000000</v>
      </c>
      <c r="CB99" s="29">
        <v>71400000</v>
      </c>
      <c r="CC99" s="29">
        <v>73542000</v>
      </c>
      <c r="CD99" s="29">
        <v>214942000</v>
      </c>
    </row>
    <row r="100" spans="1:82" ht="54" customHeight="1">
      <c r="A100" s="12" t="s">
        <v>493</v>
      </c>
      <c r="B100" s="13">
        <v>0.114</v>
      </c>
      <c r="C100" s="12"/>
      <c r="D100" s="14">
        <v>41</v>
      </c>
      <c r="E100" s="14">
        <v>4103</v>
      </c>
      <c r="F100" s="14">
        <v>13</v>
      </c>
      <c r="G100" s="14" t="s">
        <v>575</v>
      </c>
      <c r="H100" s="14">
        <v>1500</v>
      </c>
      <c r="I100" s="14">
        <v>13.2</v>
      </c>
      <c r="J100" s="14" t="s">
        <v>576</v>
      </c>
      <c r="K100" s="14" t="s">
        <v>577</v>
      </c>
      <c r="L100" s="14" t="s">
        <v>578</v>
      </c>
      <c r="M100" s="14" t="s">
        <v>579</v>
      </c>
      <c r="N100" s="14" t="s">
        <v>580</v>
      </c>
      <c r="O100" s="16">
        <v>4103050</v>
      </c>
      <c r="P100" s="17">
        <v>2024257990013</v>
      </c>
      <c r="Q100" s="14" t="s">
        <v>581</v>
      </c>
      <c r="R100" s="18">
        <v>99</v>
      </c>
      <c r="S100" s="14" t="s">
        <v>582</v>
      </c>
      <c r="T100" s="14" t="s">
        <v>167</v>
      </c>
      <c r="U100" s="14" t="s">
        <v>88</v>
      </c>
      <c r="V100" s="14" t="s">
        <v>89</v>
      </c>
      <c r="W100" s="14" t="s">
        <v>583</v>
      </c>
      <c r="X100" s="14" t="s">
        <v>584</v>
      </c>
      <c r="Y100" s="29" t="s">
        <v>124</v>
      </c>
      <c r="Z100" s="14">
        <f t="shared" si="365"/>
        <v>4</v>
      </c>
      <c r="AA100" s="20">
        <f t="shared" si="1"/>
        <v>0</v>
      </c>
      <c r="AB100" s="20">
        <f t="shared" si="2"/>
        <v>0.22500000000000001</v>
      </c>
      <c r="AC100" s="21"/>
      <c r="AD100" s="21"/>
      <c r="AE100" s="21">
        <f t="shared" si="3"/>
        <v>7.8750000000000001E-2</v>
      </c>
      <c r="AF100" s="14">
        <v>0</v>
      </c>
      <c r="AG100" s="14">
        <v>2</v>
      </c>
      <c r="AH100" s="14">
        <v>1</v>
      </c>
      <c r="AI100" s="14">
        <v>1</v>
      </c>
      <c r="AJ100" s="26"/>
      <c r="AK100" s="26"/>
      <c r="AL100" s="26"/>
      <c r="AM100" s="26"/>
      <c r="AN100" s="34">
        <v>0</v>
      </c>
      <c r="AO100" s="34">
        <v>0</v>
      </c>
      <c r="AP100" s="34">
        <v>0</v>
      </c>
      <c r="AQ100" s="34">
        <v>0</v>
      </c>
      <c r="AR100" s="34">
        <v>0</v>
      </c>
      <c r="AS100" s="34">
        <f t="shared" ref="AS100:AS101" si="382">(AK100+AM100+AO100+AQ100)/2</f>
        <v>0</v>
      </c>
      <c r="AT100" s="24">
        <f t="shared" ref="AT100:AT101" si="383">IF(AQ100=0, 0, AR100/AQ100)</f>
        <v>0</v>
      </c>
      <c r="AU100" s="23" t="str">
        <f t="shared" ref="AU100:AU101" si="384">IF(AR100&gt; 1, IF(AR100 = AS100, "100%", AR100 &amp; "%"), IF(AR100 &lt;= 0.01, "0%", AR100 * 100 &amp; "%"))</f>
        <v>0%</v>
      </c>
      <c r="AV100" s="24">
        <f t="shared" si="7"/>
        <v>0</v>
      </c>
      <c r="AW100" s="26" t="s">
        <v>192</v>
      </c>
      <c r="AX100" s="26"/>
      <c r="AY100" s="26">
        <v>1</v>
      </c>
      <c r="AZ100" s="26">
        <v>1</v>
      </c>
      <c r="BA100" s="26">
        <v>0.3</v>
      </c>
      <c r="BB100" s="26">
        <v>0.3</v>
      </c>
      <c r="BC100" s="26">
        <v>0.5</v>
      </c>
      <c r="BD100" s="26">
        <v>0.5</v>
      </c>
      <c r="BE100" s="26">
        <v>0.2</v>
      </c>
      <c r="BF100" s="26"/>
      <c r="BG100" s="22">
        <f t="shared" ref="BG100:BH100" si="385">(AY100+BA100+BC100+BE100)</f>
        <v>2</v>
      </c>
      <c r="BH100" s="22">
        <f t="shared" si="385"/>
        <v>1.8</v>
      </c>
      <c r="BI100" s="22">
        <f t="shared" si="347"/>
        <v>0.9</v>
      </c>
      <c r="BJ100" s="23" t="str">
        <f t="shared" si="348"/>
        <v>100%</v>
      </c>
      <c r="BK100" s="24">
        <f t="shared" si="349"/>
        <v>0.9</v>
      </c>
      <c r="BL100" s="22" t="s">
        <v>92</v>
      </c>
      <c r="BM100" s="25" t="s">
        <v>585</v>
      </c>
      <c r="BN100" s="27">
        <v>60000000</v>
      </c>
      <c r="BO100" s="27">
        <v>35133333</v>
      </c>
      <c r="BP100" s="27">
        <v>0</v>
      </c>
      <c r="BQ100" s="27">
        <v>0</v>
      </c>
      <c r="BR100" s="27">
        <f t="shared" ref="BR100:BS100" si="386">+BN100+BP100</f>
        <v>60000000</v>
      </c>
      <c r="BS100" s="27">
        <f t="shared" si="386"/>
        <v>35133333</v>
      </c>
      <c r="BT100" s="20">
        <f t="shared" si="13"/>
        <v>0.58555555000000004</v>
      </c>
      <c r="BU100" s="27">
        <v>60000000</v>
      </c>
      <c r="BV100" s="27">
        <v>50000000</v>
      </c>
      <c r="BW100" s="27">
        <v>35133333</v>
      </c>
      <c r="BX100" s="27">
        <v>24819999</v>
      </c>
      <c r="BY100" s="28">
        <f t="shared" si="149"/>
        <v>0.70266666</v>
      </c>
      <c r="BZ100" s="27">
        <v>50000000</v>
      </c>
      <c r="CA100" s="20">
        <v>51000000</v>
      </c>
      <c r="CB100" s="29">
        <v>52020000</v>
      </c>
      <c r="CC100" s="29">
        <v>53580600</v>
      </c>
      <c r="CD100" s="29">
        <v>206600600</v>
      </c>
    </row>
    <row r="101" spans="1:82" ht="32.25" customHeight="1">
      <c r="A101" s="12" t="s">
        <v>493</v>
      </c>
      <c r="B101" s="13">
        <v>0.114</v>
      </c>
      <c r="C101" s="12"/>
      <c r="D101" s="14">
        <v>41</v>
      </c>
      <c r="E101" s="14">
        <v>4103</v>
      </c>
      <c r="F101" s="14">
        <v>13</v>
      </c>
      <c r="G101" s="14" t="s">
        <v>575</v>
      </c>
      <c r="H101" s="14">
        <v>1500</v>
      </c>
      <c r="I101" s="14">
        <v>13.2</v>
      </c>
      <c r="J101" s="14" t="s">
        <v>576</v>
      </c>
      <c r="K101" s="14" t="s">
        <v>577</v>
      </c>
      <c r="L101" s="14" t="s">
        <v>578</v>
      </c>
      <c r="M101" s="14" t="s">
        <v>579</v>
      </c>
      <c r="N101" s="14" t="s">
        <v>580</v>
      </c>
      <c r="O101" s="16">
        <v>4103052</v>
      </c>
      <c r="P101" s="17">
        <v>2024257990013</v>
      </c>
      <c r="Q101" s="14" t="s">
        <v>581</v>
      </c>
      <c r="R101" s="18">
        <v>100</v>
      </c>
      <c r="S101" s="14" t="s">
        <v>586</v>
      </c>
      <c r="T101" s="14">
        <v>0</v>
      </c>
      <c r="U101" s="14" t="s">
        <v>88</v>
      </c>
      <c r="V101" s="14" t="s">
        <v>89</v>
      </c>
      <c r="W101" s="14" t="s">
        <v>587</v>
      </c>
      <c r="X101" s="14" t="s">
        <v>417</v>
      </c>
      <c r="Y101" s="29" t="s">
        <v>124</v>
      </c>
      <c r="Z101" s="14">
        <f t="shared" si="365"/>
        <v>1</v>
      </c>
      <c r="AA101" s="20">
        <f t="shared" si="1"/>
        <v>0</v>
      </c>
      <c r="AB101" s="20">
        <f t="shared" si="2"/>
        <v>0.1</v>
      </c>
      <c r="AC101" s="21"/>
      <c r="AD101" s="21"/>
      <c r="AE101" s="21">
        <f t="shared" si="3"/>
        <v>3.4999999999999996E-2</v>
      </c>
      <c r="AF101" s="14">
        <v>0</v>
      </c>
      <c r="AG101" s="14">
        <v>0.5</v>
      </c>
      <c r="AH101" s="14">
        <v>0.5</v>
      </c>
      <c r="AI101" s="14">
        <v>0</v>
      </c>
      <c r="AJ101" s="26"/>
      <c r="AK101" s="26"/>
      <c r="AL101" s="26"/>
      <c r="AM101" s="26"/>
      <c r="AN101" s="34">
        <v>0</v>
      </c>
      <c r="AO101" s="34">
        <v>0</v>
      </c>
      <c r="AP101" s="34">
        <v>0</v>
      </c>
      <c r="AQ101" s="34">
        <v>0</v>
      </c>
      <c r="AR101" s="34">
        <v>0</v>
      </c>
      <c r="AS101" s="34">
        <f t="shared" si="382"/>
        <v>0</v>
      </c>
      <c r="AT101" s="24">
        <f t="shared" si="383"/>
        <v>0</v>
      </c>
      <c r="AU101" s="23" t="str">
        <f t="shared" si="384"/>
        <v>0%</v>
      </c>
      <c r="AV101" s="24">
        <f t="shared" si="7"/>
        <v>0</v>
      </c>
      <c r="AW101" s="26" t="s">
        <v>192</v>
      </c>
      <c r="AX101" s="30" t="s">
        <v>588</v>
      </c>
      <c r="AY101" s="26">
        <v>0</v>
      </c>
      <c r="AZ101" s="26">
        <v>0</v>
      </c>
      <c r="BA101" s="26">
        <v>0</v>
      </c>
      <c r="BB101" s="26">
        <v>0</v>
      </c>
      <c r="BC101" s="26">
        <v>0.05</v>
      </c>
      <c r="BD101" s="26">
        <v>0.05</v>
      </c>
      <c r="BE101" s="26">
        <v>0.45</v>
      </c>
      <c r="BF101" s="26"/>
      <c r="BG101" s="22">
        <f t="shared" ref="BG101:BH101" si="387">(AY101+BA101+BC101+BE101)</f>
        <v>0.5</v>
      </c>
      <c r="BH101" s="22">
        <f t="shared" si="387"/>
        <v>0.05</v>
      </c>
      <c r="BI101" s="22">
        <f t="shared" si="347"/>
        <v>0.1</v>
      </c>
      <c r="BJ101" s="23" t="str">
        <f t="shared" si="348"/>
        <v>100%</v>
      </c>
      <c r="BK101" s="24">
        <f t="shared" si="349"/>
        <v>0.1</v>
      </c>
      <c r="BL101" s="22" t="s">
        <v>92</v>
      </c>
      <c r="BM101" s="25" t="s">
        <v>588</v>
      </c>
      <c r="BN101" s="27">
        <v>10000000</v>
      </c>
      <c r="BO101" s="27">
        <v>0</v>
      </c>
      <c r="BP101" s="27">
        <v>0</v>
      </c>
      <c r="BQ101" s="27">
        <v>0</v>
      </c>
      <c r="BR101" s="27">
        <f t="shared" ref="BR101:BS101" si="388">+BN101+BP101</f>
        <v>10000000</v>
      </c>
      <c r="BS101" s="27">
        <f t="shared" si="388"/>
        <v>0</v>
      </c>
      <c r="BT101" s="20">
        <f t="shared" si="13"/>
        <v>0</v>
      </c>
      <c r="BU101" s="27">
        <v>10000000</v>
      </c>
      <c r="BV101" s="27">
        <v>10000000</v>
      </c>
      <c r="BW101" s="27">
        <v>0</v>
      </c>
      <c r="BX101" s="27">
        <v>0</v>
      </c>
      <c r="BY101" s="28">
        <f t="shared" si="149"/>
        <v>0</v>
      </c>
      <c r="BZ101" s="27">
        <v>20000000</v>
      </c>
      <c r="CA101" s="20">
        <v>20400000</v>
      </c>
      <c r="CB101" s="29">
        <v>20808000</v>
      </c>
      <c r="CC101" s="29">
        <v>21432240</v>
      </c>
      <c r="CD101" s="29">
        <v>82640240</v>
      </c>
    </row>
    <row r="102" spans="1:82" ht="45" customHeight="1">
      <c r="A102" s="12" t="s">
        <v>493</v>
      </c>
      <c r="B102" s="13">
        <v>0.114</v>
      </c>
      <c r="C102" s="12"/>
      <c r="D102" s="14">
        <v>41</v>
      </c>
      <c r="E102" s="14">
        <v>4101</v>
      </c>
      <c r="F102" s="14">
        <v>14</v>
      </c>
      <c r="G102" s="14" t="s">
        <v>589</v>
      </c>
      <c r="H102" s="14">
        <v>1500</v>
      </c>
      <c r="I102" s="14">
        <v>14.1</v>
      </c>
      <c r="J102" s="14" t="s">
        <v>590</v>
      </c>
      <c r="K102" s="14" t="s">
        <v>591</v>
      </c>
      <c r="L102" s="14" t="s">
        <v>592</v>
      </c>
      <c r="M102" s="14" t="s">
        <v>593</v>
      </c>
      <c r="N102" s="20">
        <v>1</v>
      </c>
      <c r="O102" s="16">
        <v>4101031</v>
      </c>
      <c r="P102" s="17">
        <v>2024257990014</v>
      </c>
      <c r="Q102" s="14" t="s">
        <v>594</v>
      </c>
      <c r="R102" s="18">
        <v>101</v>
      </c>
      <c r="S102" s="14" t="s">
        <v>595</v>
      </c>
      <c r="T102" s="14">
        <v>1</v>
      </c>
      <c r="U102" s="14" t="s">
        <v>88</v>
      </c>
      <c r="V102" s="14" t="s">
        <v>114</v>
      </c>
      <c r="W102" s="14" t="s">
        <v>596</v>
      </c>
      <c r="X102" s="14" t="s">
        <v>584</v>
      </c>
      <c r="Y102" s="29"/>
      <c r="Z102" s="14">
        <f t="shared" ref="Z102:Z109" si="389">SUM(AF102:AI102)/4</f>
        <v>1</v>
      </c>
      <c r="AA102" s="20">
        <f t="shared" si="1"/>
        <v>1</v>
      </c>
      <c r="AB102" s="20">
        <f t="shared" si="2"/>
        <v>0.8</v>
      </c>
      <c r="AC102" s="21"/>
      <c r="AD102" s="21"/>
      <c r="AE102" s="21">
        <f t="shared" si="3"/>
        <v>0.42999999999999994</v>
      </c>
      <c r="AF102" s="14">
        <v>1</v>
      </c>
      <c r="AG102" s="14">
        <v>1</v>
      </c>
      <c r="AH102" s="14">
        <v>1</v>
      </c>
      <c r="AI102" s="14">
        <v>1</v>
      </c>
      <c r="AJ102" s="26"/>
      <c r="AK102" s="26"/>
      <c r="AL102" s="26"/>
      <c r="AM102" s="26"/>
      <c r="AN102" s="26">
        <v>0.7</v>
      </c>
      <c r="AO102" s="26">
        <v>0.7</v>
      </c>
      <c r="AP102" s="26">
        <v>0.3</v>
      </c>
      <c r="AQ102" s="26">
        <v>0.3</v>
      </c>
      <c r="AR102" s="22">
        <f t="shared" ref="AR102:AS102" si="390">(AJ102+AL102+AN102+AP102)</f>
        <v>1</v>
      </c>
      <c r="AS102" s="22">
        <f t="shared" si="390"/>
        <v>1</v>
      </c>
      <c r="AT102" s="22">
        <f t="shared" ref="AT102:AT104" si="391">AS102/AR102</f>
        <v>1</v>
      </c>
      <c r="AU102" s="23" t="str">
        <f t="shared" ref="AU102:AU104" si="392">MIN((AR102 /AR102) * 100, 100) &amp; "%"</f>
        <v>100%</v>
      </c>
      <c r="AV102" s="24">
        <f t="shared" si="7"/>
        <v>1</v>
      </c>
      <c r="AW102" s="14" t="s">
        <v>92</v>
      </c>
      <c r="AX102" s="30" t="s">
        <v>597</v>
      </c>
      <c r="AY102" s="46">
        <v>0.35</v>
      </c>
      <c r="AZ102" s="46">
        <v>0.35</v>
      </c>
      <c r="BA102" s="46">
        <v>0.05</v>
      </c>
      <c r="BB102" s="46">
        <v>0.05</v>
      </c>
      <c r="BC102" s="46">
        <v>0.4</v>
      </c>
      <c r="BD102" s="46">
        <v>0.4</v>
      </c>
      <c r="BE102" s="46">
        <v>0.2</v>
      </c>
      <c r="BF102" s="26"/>
      <c r="BG102" s="22">
        <f t="shared" ref="BG102:BH102" si="393">(AY102+BA102+BC102+BE102)</f>
        <v>1</v>
      </c>
      <c r="BH102" s="22">
        <f t="shared" si="393"/>
        <v>0.8</v>
      </c>
      <c r="BI102" s="22">
        <f t="shared" si="347"/>
        <v>0.8</v>
      </c>
      <c r="BJ102" s="23" t="str">
        <f t="shared" si="348"/>
        <v>100%</v>
      </c>
      <c r="BK102" s="24">
        <f t="shared" si="349"/>
        <v>0.8</v>
      </c>
      <c r="BL102" s="22" t="s">
        <v>92</v>
      </c>
      <c r="BM102" s="25" t="s">
        <v>597</v>
      </c>
      <c r="BN102" s="27">
        <v>20000000</v>
      </c>
      <c r="BO102" s="27">
        <v>20000000</v>
      </c>
      <c r="BP102" s="27">
        <v>10000000</v>
      </c>
      <c r="BQ102" s="27">
        <v>10000000</v>
      </c>
      <c r="BR102" s="27">
        <f t="shared" ref="BR102:BS102" si="394">+BN102+BP102</f>
        <v>30000000</v>
      </c>
      <c r="BS102" s="27">
        <f t="shared" si="394"/>
        <v>30000000</v>
      </c>
      <c r="BT102" s="20">
        <f t="shared" si="13"/>
        <v>1</v>
      </c>
      <c r="BU102" s="27">
        <v>20000000</v>
      </c>
      <c r="BV102" s="27">
        <v>20000000</v>
      </c>
      <c r="BW102" s="27">
        <v>20000000</v>
      </c>
      <c r="BX102" s="27">
        <v>13934030</v>
      </c>
      <c r="BY102" s="28">
        <f t="shared" si="149"/>
        <v>1</v>
      </c>
      <c r="BZ102" s="27">
        <v>25000000</v>
      </c>
      <c r="CA102" s="20">
        <v>25500000</v>
      </c>
      <c r="CB102" s="29">
        <v>26010000</v>
      </c>
      <c r="CC102" s="29">
        <v>26790300</v>
      </c>
      <c r="CD102" s="29">
        <v>103300300</v>
      </c>
    </row>
    <row r="103" spans="1:82" ht="34.5" customHeight="1">
      <c r="A103" s="12" t="s">
        <v>493</v>
      </c>
      <c r="B103" s="13">
        <v>0.114</v>
      </c>
      <c r="C103" s="12"/>
      <c r="D103" s="14">
        <v>41</v>
      </c>
      <c r="E103" s="14">
        <v>4101</v>
      </c>
      <c r="F103" s="14">
        <v>14</v>
      </c>
      <c r="G103" s="14" t="s">
        <v>589</v>
      </c>
      <c r="H103" s="14">
        <v>1500</v>
      </c>
      <c r="I103" s="14">
        <v>14.1</v>
      </c>
      <c r="J103" s="14" t="s">
        <v>590</v>
      </c>
      <c r="K103" s="14" t="s">
        <v>591</v>
      </c>
      <c r="L103" s="14" t="s">
        <v>592</v>
      </c>
      <c r="M103" s="14" t="s">
        <v>593</v>
      </c>
      <c r="N103" s="20">
        <v>1</v>
      </c>
      <c r="O103" s="16">
        <v>4101031</v>
      </c>
      <c r="P103" s="17">
        <v>2024257990014</v>
      </c>
      <c r="Q103" s="14" t="s">
        <v>594</v>
      </c>
      <c r="R103" s="18">
        <v>102</v>
      </c>
      <c r="S103" s="14" t="s">
        <v>598</v>
      </c>
      <c r="T103" s="14">
        <v>1</v>
      </c>
      <c r="U103" s="14" t="s">
        <v>88</v>
      </c>
      <c r="V103" s="14" t="s">
        <v>114</v>
      </c>
      <c r="W103" s="14" t="s">
        <v>599</v>
      </c>
      <c r="X103" s="14" t="s">
        <v>584</v>
      </c>
      <c r="Y103" s="29"/>
      <c r="Z103" s="14">
        <f t="shared" si="389"/>
        <v>1</v>
      </c>
      <c r="AA103" s="20">
        <f t="shared" si="1"/>
        <v>1</v>
      </c>
      <c r="AB103" s="20">
        <f t="shared" si="2"/>
        <v>1</v>
      </c>
      <c r="AC103" s="21"/>
      <c r="AD103" s="21"/>
      <c r="AE103" s="21">
        <f t="shared" si="3"/>
        <v>0.5</v>
      </c>
      <c r="AF103" s="14">
        <v>1</v>
      </c>
      <c r="AG103" s="14">
        <v>1</v>
      </c>
      <c r="AH103" s="14">
        <v>1</v>
      </c>
      <c r="AI103" s="14">
        <v>1</v>
      </c>
      <c r="AJ103" s="26"/>
      <c r="AK103" s="26"/>
      <c r="AL103" s="26"/>
      <c r="AM103" s="26"/>
      <c r="AN103" s="26">
        <v>0.1</v>
      </c>
      <c r="AO103" s="26">
        <v>0.1</v>
      </c>
      <c r="AP103" s="26">
        <v>0.9</v>
      </c>
      <c r="AQ103" s="26">
        <v>0.9</v>
      </c>
      <c r="AR103" s="22">
        <f t="shared" ref="AR103:AS103" si="395">(AJ103+AL103+AN103+AP103)</f>
        <v>1</v>
      </c>
      <c r="AS103" s="22">
        <f t="shared" si="395"/>
        <v>1</v>
      </c>
      <c r="AT103" s="22">
        <f t="shared" si="391"/>
        <v>1</v>
      </c>
      <c r="AU103" s="23" t="str">
        <f t="shared" si="392"/>
        <v>100%</v>
      </c>
      <c r="AV103" s="24">
        <f t="shared" si="7"/>
        <v>1</v>
      </c>
      <c r="AW103" s="14" t="s">
        <v>92</v>
      </c>
      <c r="AX103" s="30" t="s">
        <v>600</v>
      </c>
      <c r="AY103" s="46">
        <v>0</v>
      </c>
      <c r="AZ103" s="46">
        <v>0</v>
      </c>
      <c r="BA103" s="46">
        <v>0</v>
      </c>
      <c r="BB103" s="46">
        <v>0</v>
      </c>
      <c r="BC103" s="46">
        <v>0</v>
      </c>
      <c r="BD103" s="46">
        <v>1</v>
      </c>
      <c r="BE103" s="46">
        <v>1</v>
      </c>
      <c r="BF103" s="26"/>
      <c r="BG103" s="22">
        <f t="shared" ref="BG103:BH103" si="396">(AY103+BA103+BC103+BE103)</f>
        <v>1</v>
      </c>
      <c r="BH103" s="22">
        <f t="shared" si="396"/>
        <v>1</v>
      </c>
      <c r="BI103" s="22">
        <f t="shared" si="347"/>
        <v>1</v>
      </c>
      <c r="BJ103" s="23" t="str">
        <f t="shared" si="348"/>
        <v>100%</v>
      </c>
      <c r="BK103" s="24">
        <f t="shared" si="349"/>
        <v>1</v>
      </c>
      <c r="BL103" s="22" t="s">
        <v>92</v>
      </c>
      <c r="BM103" s="25" t="s">
        <v>600</v>
      </c>
      <c r="BN103" s="27">
        <v>5000000</v>
      </c>
      <c r="BO103" s="27">
        <v>0</v>
      </c>
      <c r="BP103" s="27">
        <v>1041280</v>
      </c>
      <c r="BQ103" s="27">
        <v>1041280</v>
      </c>
      <c r="BR103" s="27">
        <f t="shared" ref="BR103:BS103" si="397">+BN103+BP103</f>
        <v>6041280</v>
      </c>
      <c r="BS103" s="27">
        <f t="shared" si="397"/>
        <v>1041280</v>
      </c>
      <c r="BT103" s="20">
        <f t="shared" si="13"/>
        <v>0.17236082419619683</v>
      </c>
      <c r="BU103" s="27">
        <v>5000000</v>
      </c>
      <c r="BV103" s="27">
        <v>5000000</v>
      </c>
      <c r="BW103" s="27">
        <v>0</v>
      </c>
      <c r="BX103" s="27">
        <v>0</v>
      </c>
      <c r="BY103" s="28">
        <f t="shared" si="149"/>
        <v>0</v>
      </c>
      <c r="BZ103" s="27">
        <v>5000000</v>
      </c>
      <c r="CA103" s="20">
        <v>5100000</v>
      </c>
      <c r="CB103" s="29">
        <v>5202000</v>
      </c>
      <c r="CC103" s="29">
        <v>5358060</v>
      </c>
      <c r="CD103" s="29">
        <v>20660060</v>
      </c>
    </row>
    <row r="104" spans="1:82" ht="31.5" customHeight="1">
      <c r="A104" s="12" t="s">
        <v>493</v>
      </c>
      <c r="B104" s="13">
        <v>0.114</v>
      </c>
      <c r="C104" s="12"/>
      <c r="D104" s="14">
        <v>41</v>
      </c>
      <c r="E104" s="14">
        <v>4101</v>
      </c>
      <c r="F104" s="14">
        <v>14</v>
      </c>
      <c r="G104" s="14" t="s">
        <v>589</v>
      </c>
      <c r="H104" s="14">
        <v>1500</v>
      </c>
      <c r="I104" s="14">
        <v>14.1</v>
      </c>
      <c r="J104" s="14" t="s">
        <v>590</v>
      </c>
      <c r="K104" s="14" t="s">
        <v>591</v>
      </c>
      <c r="L104" s="14" t="s">
        <v>592</v>
      </c>
      <c r="M104" s="14" t="s">
        <v>593</v>
      </c>
      <c r="N104" s="20">
        <v>1</v>
      </c>
      <c r="O104" s="16">
        <v>4101025</v>
      </c>
      <c r="P104" s="17">
        <v>2024257990014</v>
      </c>
      <c r="Q104" s="14" t="s">
        <v>594</v>
      </c>
      <c r="R104" s="18">
        <v>103</v>
      </c>
      <c r="S104" s="14" t="s">
        <v>601</v>
      </c>
      <c r="T104" s="20">
        <v>1</v>
      </c>
      <c r="U104" s="14" t="s">
        <v>109</v>
      </c>
      <c r="V104" s="14" t="s">
        <v>114</v>
      </c>
      <c r="W104" s="14" t="s">
        <v>602</v>
      </c>
      <c r="X104" s="14" t="s">
        <v>584</v>
      </c>
      <c r="Y104" s="29"/>
      <c r="Z104" s="24">
        <f t="shared" si="389"/>
        <v>1</v>
      </c>
      <c r="AA104" s="20">
        <f t="shared" si="1"/>
        <v>0.48499999999999999</v>
      </c>
      <c r="AB104" s="20">
        <f t="shared" si="2"/>
        <v>0.95000000000000007</v>
      </c>
      <c r="AC104" s="21"/>
      <c r="AD104" s="21"/>
      <c r="AE104" s="21">
        <f t="shared" si="3"/>
        <v>0.40525</v>
      </c>
      <c r="AF104" s="20">
        <v>1</v>
      </c>
      <c r="AG104" s="20">
        <v>1</v>
      </c>
      <c r="AH104" s="20">
        <v>1</v>
      </c>
      <c r="AI104" s="20">
        <v>1</v>
      </c>
      <c r="AJ104" s="26"/>
      <c r="AK104" s="26"/>
      <c r="AL104" s="26"/>
      <c r="AM104" s="26"/>
      <c r="AN104" s="24">
        <v>0.7</v>
      </c>
      <c r="AO104" s="24">
        <v>0.7</v>
      </c>
      <c r="AP104" s="24">
        <v>0.3</v>
      </c>
      <c r="AQ104" s="24">
        <v>0.27</v>
      </c>
      <c r="AR104" s="24">
        <f t="shared" ref="AR104:AS104" si="398">(AJ104+AL104+AN104+AP104)/2</f>
        <v>0.5</v>
      </c>
      <c r="AS104" s="24">
        <f t="shared" si="398"/>
        <v>0.48499999999999999</v>
      </c>
      <c r="AT104" s="24">
        <f t="shared" si="391"/>
        <v>0.97</v>
      </c>
      <c r="AU104" s="23" t="str">
        <f t="shared" si="392"/>
        <v>100%</v>
      </c>
      <c r="AV104" s="24">
        <f t="shared" si="7"/>
        <v>0.97</v>
      </c>
      <c r="AW104" s="14" t="s">
        <v>92</v>
      </c>
      <c r="AX104" s="30" t="s">
        <v>603</v>
      </c>
      <c r="AY104" s="24">
        <v>0.15</v>
      </c>
      <c r="AZ104" s="24">
        <v>0.15</v>
      </c>
      <c r="BA104" s="24">
        <v>0.3</v>
      </c>
      <c r="BB104" s="24">
        <v>0.4</v>
      </c>
      <c r="BC104" s="24">
        <v>0.4</v>
      </c>
      <c r="BD104" s="24">
        <v>0.4</v>
      </c>
      <c r="BE104" s="24">
        <v>0.15</v>
      </c>
      <c r="BF104" s="26"/>
      <c r="BG104" s="20">
        <f t="shared" ref="BG104:BH104" si="399">(AY104+BA104+BC104+BE104)</f>
        <v>1</v>
      </c>
      <c r="BH104" s="20">
        <f t="shared" si="399"/>
        <v>0.95000000000000007</v>
      </c>
      <c r="BI104" s="20">
        <f t="shared" si="347"/>
        <v>0.95000000000000007</v>
      </c>
      <c r="BJ104" s="23" t="str">
        <f t="shared" si="348"/>
        <v>100%</v>
      </c>
      <c r="BK104" s="24">
        <f t="shared" si="349"/>
        <v>0.95000000000000007</v>
      </c>
      <c r="BL104" s="22" t="s">
        <v>92</v>
      </c>
      <c r="BM104" s="25" t="s">
        <v>603</v>
      </c>
      <c r="BN104" s="27">
        <v>118000000</v>
      </c>
      <c r="BO104" s="27">
        <v>115000000</v>
      </c>
      <c r="BP104" s="27">
        <v>27000000</v>
      </c>
      <c r="BQ104" s="27">
        <v>27000000</v>
      </c>
      <c r="BR104" s="27">
        <f t="shared" ref="BR104:BS104" si="400">+BN104+BP104</f>
        <v>145000000</v>
      </c>
      <c r="BS104" s="27">
        <f t="shared" si="400"/>
        <v>142000000</v>
      </c>
      <c r="BT104" s="20">
        <f t="shared" si="13"/>
        <v>0.97931034482758617</v>
      </c>
      <c r="BU104" s="27">
        <v>118000000</v>
      </c>
      <c r="BV104" s="27">
        <v>118000000</v>
      </c>
      <c r="BW104" s="27">
        <v>115000000</v>
      </c>
      <c r="BX104" s="27">
        <v>49381690</v>
      </c>
      <c r="BY104" s="28">
        <f t="shared" si="149"/>
        <v>0.97457627118644063</v>
      </c>
      <c r="BZ104" s="27">
        <v>70000000</v>
      </c>
      <c r="CA104" s="20">
        <v>71400000</v>
      </c>
      <c r="CB104" s="29">
        <v>72828000</v>
      </c>
      <c r="CC104" s="29">
        <v>75012840</v>
      </c>
      <c r="CD104" s="29">
        <v>289240840</v>
      </c>
    </row>
    <row r="105" spans="1:82" ht="36" customHeight="1">
      <c r="A105" s="12" t="s">
        <v>493</v>
      </c>
      <c r="B105" s="13">
        <v>0.114</v>
      </c>
      <c r="C105" s="12"/>
      <c r="D105" s="14">
        <v>41</v>
      </c>
      <c r="E105" s="14">
        <v>4101</v>
      </c>
      <c r="F105" s="14">
        <v>14</v>
      </c>
      <c r="G105" s="14" t="s">
        <v>589</v>
      </c>
      <c r="H105" s="14">
        <v>1500</v>
      </c>
      <c r="I105" s="14">
        <v>14.1</v>
      </c>
      <c r="J105" s="14" t="s">
        <v>590</v>
      </c>
      <c r="K105" s="14" t="s">
        <v>591</v>
      </c>
      <c r="L105" s="14" t="s">
        <v>592</v>
      </c>
      <c r="M105" s="14" t="s">
        <v>593</v>
      </c>
      <c r="N105" s="20">
        <v>1</v>
      </c>
      <c r="O105" s="16">
        <v>4101027</v>
      </c>
      <c r="P105" s="17">
        <v>2024257990014</v>
      </c>
      <c r="Q105" s="14" t="s">
        <v>594</v>
      </c>
      <c r="R105" s="18">
        <v>104</v>
      </c>
      <c r="S105" s="14" t="s">
        <v>604</v>
      </c>
      <c r="T105" s="20">
        <v>1</v>
      </c>
      <c r="U105" s="14" t="s">
        <v>109</v>
      </c>
      <c r="V105" s="14" t="s">
        <v>114</v>
      </c>
      <c r="W105" s="14" t="s">
        <v>605</v>
      </c>
      <c r="X105" s="14" t="s">
        <v>584</v>
      </c>
      <c r="Y105" s="29"/>
      <c r="Z105" s="24">
        <f t="shared" si="389"/>
        <v>1</v>
      </c>
      <c r="AA105" s="20">
        <f t="shared" si="1"/>
        <v>0</v>
      </c>
      <c r="AB105" s="20">
        <f t="shared" si="2"/>
        <v>0</v>
      </c>
      <c r="AC105" s="21"/>
      <c r="AD105" s="21"/>
      <c r="AE105" s="21">
        <f t="shared" si="3"/>
        <v>0</v>
      </c>
      <c r="AF105" s="20">
        <v>1</v>
      </c>
      <c r="AG105" s="20">
        <v>1</v>
      </c>
      <c r="AH105" s="20">
        <v>1</v>
      </c>
      <c r="AI105" s="20">
        <v>1</v>
      </c>
      <c r="AJ105" s="26"/>
      <c r="AK105" s="26"/>
      <c r="AL105" s="26"/>
      <c r="AM105" s="26"/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4">
        <f>IF(AQ105=0, 0, AR105/AQ105)</f>
        <v>0</v>
      </c>
      <c r="AU105" s="23" t="str">
        <f>IF(AR105&gt; 1, IF(AR105 = AS105, "100%", AR105 &amp; "%"), IF(AR105 &lt;= 0.01, "0%", AR105 * 100 &amp; "%"))</f>
        <v>0%</v>
      </c>
      <c r="AV105" s="24">
        <f t="shared" si="7"/>
        <v>0</v>
      </c>
      <c r="AW105" s="26" t="s">
        <v>192</v>
      </c>
      <c r="AX105" s="30" t="s">
        <v>606</v>
      </c>
      <c r="AY105" s="38">
        <v>0</v>
      </c>
      <c r="AZ105" s="32">
        <v>0</v>
      </c>
      <c r="BA105" s="38">
        <v>0</v>
      </c>
      <c r="BB105" s="32">
        <v>0</v>
      </c>
      <c r="BC105" s="38">
        <v>0</v>
      </c>
      <c r="BD105" s="32"/>
      <c r="BE105" s="38">
        <v>0</v>
      </c>
      <c r="BF105" s="32"/>
      <c r="BG105" s="20">
        <f t="shared" ref="BG105:BH105" si="401">(AY105+BA105+BC105+BE105)</f>
        <v>0</v>
      </c>
      <c r="BH105" s="20">
        <f t="shared" si="401"/>
        <v>0</v>
      </c>
      <c r="BI105" s="20" t="str">
        <f>IF(BF105&gt; 1, IF(BF105 = BG105, "100%", BF105 &amp; "%"), IF(BF105 &lt;= 0.01, "0%", BF105 * 100 &amp; "%"))</f>
        <v>0%</v>
      </c>
      <c r="BJ105" s="24">
        <f t="shared" ref="BJ105:BK105" si="402">IF(BF105=0, 0, BG105/BF105)</f>
        <v>0</v>
      </c>
      <c r="BK105" s="24">
        <f t="shared" si="402"/>
        <v>0</v>
      </c>
      <c r="BL105" s="26" t="s">
        <v>192</v>
      </c>
      <c r="BM105" s="25" t="s">
        <v>606</v>
      </c>
      <c r="BN105" s="27">
        <v>3000000</v>
      </c>
      <c r="BO105" s="27">
        <v>0</v>
      </c>
      <c r="BP105" s="27">
        <v>0</v>
      </c>
      <c r="BQ105" s="27">
        <v>0</v>
      </c>
      <c r="BR105" s="27">
        <f t="shared" ref="BR105:BS105" si="403">+BN105+BP105</f>
        <v>3000000</v>
      </c>
      <c r="BS105" s="27">
        <f t="shared" si="403"/>
        <v>0</v>
      </c>
      <c r="BT105" s="20">
        <f t="shared" si="13"/>
        <v>0</v>
      </c>
      <c r="BU105" s="27">
        <v>3000000</v>
      </c>
      <c r="BV105" s="27">
        <v>3000000</v>
      </c>
      <c r="BW105" s="27">
        <v>0</v>
      </c>
      <c r="BX105" s="27">
        <v>0</v>
      </c>
      <c r="BY105" s="28">
        <f t="shared" si="149"/>
        <v>0</v>
      </c>
      <c r="BZ105" s="27">
        <v>3000000</v>
      </c>
      <c r="CA105" s="20">
        <v>3060000</v>
      </c>
      <c r="CB105" s="29">
        <v>3121200</v>
      </c>
      <c r="CC105" s="29">
        <v>3214836</v>
      </c>
      <c r="CD105" s="29">
        <v>12396036</v>
      </c>
    </row>
    <row r="106" spans="1:82" ht="42.75" customHeight="1">
      <c r="A106" s="12" t="s">
        <v>493</v>
      </c>
      <c r="B106" s="13">
        <v>0.114</v>
      </c>
      <c r="C106" s="12"/>
      <c r="D106" s="14">
        <v>41</v>
      </c>
      <c r="E106" s="14">
        <v>4101</v>
      </c>
      <c r="F106" s="14">
        <v>14</v>
      </c>
      <c r="G106" s="14" t="s">
        <v>589</v>
      </c>
      <c r="H106" s="14">
        <v>1500</v>
      </c>
      <c r="I106" s="14">
        <v>14.1</v>
      </c>
      <c r="J106" s="14" t="s">
        <v>590</v>
      </c>
      <c r="K106" s="14" t="s">
        <v>591</v>
      </c>
      <c r="L106" s="14" t="s">
        <v>592</v>
      </c>
      <c r="M106" s="14" t="s">
        <v>593</v>
      </c>
      <c r="N106" s="20">
        <v>1</v>
      </c>
      <c r="O106" s="16">
        <v>4101073</v>
      </c>
      <c r="P106" s="17">
        <v>2024257990014</v>
      </c>
      <c r="Q106" s="14" t="s">
        <v>594</v>
      </c>
      <c r="R106" s="18">
        <v>105</v>
      </c>
      <c r="S106" s="14" t="s">
        <v>607</v>
      </c>
      <c r="T106" s="14">
        <v>1</v>
      </c>
      <c r="U106" s="14" t="s">
        <v>88</v>
      </c>
      <c r="V106" s="14" t="s">
        <v>114</v>
      </c>
      <c r="W106" s="14" t="s">
        <v>608</v>
      </c>
      <c r="X106" s="14" t="s">
        <v>584</v>
      </c>
      <c r="Y106" s="29"/>
      <c r="Z106" s="14">
        <f t="shared" si="389"/>
        <v>1</v>
      </c>
      <c r="AA106" s="20">
        <f t="shared" si="1"/>
        <v>0.5</v>
      </c>
      <c r="AB106" s="20">
        <f t="shared" si="2"/>
        <v>0.8</v>
      </c>
      <c r="AC106" s="21"/>
      <c r="AD106" s="21"/>
      <c r="AE106" s="21">
        <f t="shared" si="3"/>
        <v>0.35499999999999998</v>
      </c>
      <c r="AF106" s="14">
        <v>1</v>
      </c>
      <c r="AG106" s="14">
        <v>1</v>
      </c>
      <c r="AH106" s="14">
        <v>1</v>
      </c>
      <c r="AI106" s="14">
        <v>1</v>
      </c>
      <c r="AJ106" s="26"/>
      <c r="AK106" s="26"/>
      <c r="AL106" s="26"/>
      <c r="AM106" s="26"/>
      <c r="AN106" s="24">
        <v>0.7</v>
      </c>
      <c r="AO106" s="24">
        <v>0.7</v>
      </c>
      <c r="AP106" s="24">
        <v>0.3</v>
      </c>
      <c r="AQ106" s="24">
        <v>0.3</v>
      </c>
      <c r="AR106" s="24">
        <f t="shared" ref="AR106:AS106" si="404">(AJ106+AL106+AN106+AP106)/2</f>
        <v>0.5</v>
      </c>
      <c r="AS106" s="24">
        <f t="shared" si="404"/>
        <v>0.5</v>
      </c>
      <c r="AT106" s="24">
        <f t="shared" ref="AT106:AT109" si="405">AS106/AR106</f>
        <v>1</v>
      </c>
      <c r="AU106" s="23" t="str">
        <f t="shared" ref="AU106:AU109" si="406">MIN((AR106 /AR106) * 100, 100) &amp; "%"</f>
        <v>100%</v>
      </c>
      <c r="AV106" s="24">
        <f t="shared" si="7"/>
        <v>1</v>
      </c>
      <c r="AW106" s="14" t="s">
        <v>92</v>
      </c>
      <c r="AX106" s="30" t="s">
        <v>609</v>
      </c>
      <c r="AY106" s="46">
        <v>0</v>
      </c>
      <c r="AZ106" s="46">
        <v>0</v>
      </c>
      <c r="BA106" s="46">
        <v>0.3</v>
      </c>
      <c r="BB106" s="46">
        <v>0.3</v>
      </c>
      <c r="BC106" s="46">
        <v>0.5</v>
      </c>
      <c r="BD106" s="46">
        <v>0.5</v>
      </c>
      <c r="BE106" s="46">
        <v>0.2</v>
      </c>
      <c r="BF106" s="26"/>
      <c r="BG106" s="22">
        <f t="shared" ref="BG106:BH106" si="407">(AY106+BA106+BC106+BE106)</f>
        <v>1</v>
      </c>
      <c r="BH106" s="22">
        <f t="shared" si="407"/>
        <v>0.8</v>
      </c>
      <c r="BI106" s="22">
        <f t="shared" ref="BI106:BI157" si="408">BH106/BG106</f>
        <v>0.8</v>
      </c>
      <c r="BJ106" s="23" t="str">
        <f t="shared" ref="BJ106:BJ157" si="409">MIN((BG106 /BG106) * 100, 100) &amp; "%"</f>
        <v>100%</v>
      </c>
      <c r="BK106" s="24">
        <f t="shared" ref="BK106:BK187" si="410">IF(BG106=0, 0, BH106/BG106)</f>
        <v>0.8</v>
      </c>
      <c r="BL106" s="22" t="s">
        <v>92</v>
      </c>
      <c r="BM106" s="25" t="s">
        <v>609</v>
      </c>
      <c r="BN106" s="27">
        <v>30000000</v>
      </c>
      <c r="BO106" s="27">
        <v>0</v>
      </c>
      <c r="BP106" s="27">
        <v>11000000</v>
      </c>
      <c r="BQ106" s="27">
        <v>11000000</v>
      </c>
      <c r="BR106" s="27">
        <f t="shared" ref="BR106:BS106" si="411">+BN106+BP106</f>
        <v>41000000</v>
      </c>
      <c r="BS106" s="27">
        <f t="shared" si="411"/>
        <v>11000000</v>
      </c>
      <c r="BT106" s="20">
        <f t="shared" si="13"/>
        <v>0.26829268292682928</v>
      </c>
      <c r="BU106" s="27">
        <v>30000000</v>
      </c>
      <c r="BV106" s="27">
        <v>30000000</v>
      </c>
      <c r="BW106" s="27">
        <v>0</v>
      </c>
      <c r="BX106" s="27">
        <v>0</v>
      </c>
      <c r="BY106" s="28">
        <f t="shared" si="149"/>
        <v>0</v>
      </c>
      <c r="BZ106" s="27">
        <v>30000000</v>
      </c>
      <c r="CA106" s="20">
        <v>30600000</v>
      </c>
      <c r="CB106" s="29">
        <v>31212000</v>
      </c>
      <c r="CC106" s="29">
        <v>32148360</v>
      </c>
      <c r="CD106" s="29">
        <v>123960360</v>
      </c>
    </row>
    <row r="107" spans="1:82" ht="44.25" customHeight="1">
      <c r="A107" s="12" t="s">
        <v>493</v>
      </c>
      <c r="B107" s="13">
        <v>0.114</v>
      </c>
      <c r="C107" s="12"/>
      <c r="D107" s="14">
        <v>41</v>
      </c>
      <c r="E107" s="14">
        <v>4101</v>
      </c>
      <c r="F107" s="14">
        <v>14</v>
      </c>
      <c r="G107" s="14" t="s">
        <v>589</v>
      </c>
      <c r="H107" s="14">
        <v>1500</v>
      </c>
      <c r="I107" s="14">
        <v>14.1</v>
      </c>
      <c r="J107" s="14" t="s">
        <v>590</v>
      </c>
      <c r="K107" s="14" t="s">
        <v>591</v>
      </c>
      <c r="L107" s="14" t="s">
        <v>592</v>
      </c>
      <c r="M107" s="14" t="s">
        <v>593</v>
      </c>
      <c r="N107" s="20">
        <v>1</v>
      </c>
      <c r="O107" s="16">
        <v>4101014</v>
      </c>
      <c r="P107" s="17">
        <v>2024257990014</v>
      </c>
      <c r="Q107" s="14" t="s">
        <v>594</v>
      </c>
      <c r="R107" s="18">
        <v>106</v>
      </c>
      <c r="S107" s="14" t="s">
        <v>610</v>
      </c>
      <c r="T107" s="20">
        <v>1</v>
      </c>
      <c r="U107" s="14" t="s">
        <v>109</v>
      </c>
      <c r="V107" s="14" t="s">
        <v>114</v>
      </c>
      <c r="W107" s="14" t="s">
        <v>611</v>
      </c>
      <c r="X107" s="14" t="s">
        <v>584</v>
      </c>
      <c r="Y107" s="29" t="s">
        <v>124</v>
      </c>
      <c r="Z107" s="20">
        <f t="shared" si="389"/>
        <v>1</v>
      </c>
      <c r="AA107" s="20">
        <f t="shared" si="1"/>
        <v>0.5</v>
      </c>
      <c r="AB107" s="20">
        <f t="shared" si="2"/>
        <v>0.88</v>
      </c>
      <c r="AC107" s="21"/>
      <c r="AD107" s="21"/>
      <c r="AE107" s="21">
        <f t="shared" si="3"/>
        <v>0.38300000000000001</v>
      </c>
      <c r="AF107" s="20">
        <v>1</v>
      </c>
      <c r="AG107" s="20">
        <v>1</v>
      </c>
      <c r="AH107" s="20">
        <v>1</v>
      </c>
      <c r="AI107" s="20">
        <v>1</v>
      </c>
      <c r="AJ107" s="26"/>
      <c r="AK107" s="26"/>
      <c r="AL107" s="26"/>
      <c r="AM107" s="26"/>
      <c r="AN107" s="24">
        <v>0.7</v>
      </c>
      <c r="AO107" s="24">
        <v>0.7</v>
      </c>
      <c r="AP107" s="24">
        <v>0.3</v>
      </c>
      <c r="AQ107" s="24">
        <v>0.3</v>
      </c>
      <c r="AR107" s="24">
        <f t="shared" ref="AR107:AS107" si="412">(AJ107+AL107+AN107+AP107)/2</f>
        <v>0.5</v>
      </c>
      <c r="AS107" s="24">
        <f t="shared" si="412"/>
        <v>0.5</v>
      </c>
      <c r="AT107" s="24">
        <f t="shared" si="405"/>
        <v>1</v>
      </c>
      <c r="AU107" s="23" t="str">
        <f t="shared" si="406"/>
        <v>100%</v>
      </c>
      <c r="AV107" s="24">
        <f t="shared" si="7"/>
        <v>1</v>
      </c>
      <c r="AW107" s="14" t="s">
        <v>92</v>
      </c>
      <c r="AX107" s="30" t="s">
        <v>612</v>
      </c>
      <c r="AY107" s="24">
        <v>0.18</v>
      </c>
      <c r="AZ107" s="24">
        <v>0.18</v>
      </c>
      <c r="BA107" s="24">
        <v>0.3</v>
      </c>
      <c r="BB107" s="24">
        <v>0.3</v>
      </c>
      <c r="BC107" s="24">
        <v>0.4</v>
      </c>
      <c r="BD107" s="24">
        <v>0.4</v>
      </c>
      <c r="BE107" s="24">
        <v>0.12</v>
      </c>
      <c r="BF107" s="26"/>
      <c r="BG107" s="20">
        <f t="shared" ref="BG107:BH107" si="413">(AY107+BA107+BC107+BE107)</f>
        <v>1</v>
      </c>
      <c r="BH107" s="20">
        <f t="shared" si="413"/>
        <v>0.88</v>
      </c>
      <c r="BI107" s="20">
        <f t="shared" si="408"/>
        <v>0.88</v>
      </c>
      <c r="BJ107" s="23" t="str">
        <f t="shared" si="409"/>
        <v>100%</v>
      </c>
      <c r="BK107" s="24">
        <f t="shared" si="410"/>
        <v>0.88</v>
      </c>
      <c r="BL107" s="22" t="s">
        <v>92</v>
      </c>
      <c r="BM107" s="25" t="s">
        <v>612</v>
      </c>
      <c r="BN107" s="27">
        <v>44000000</v>
      </c>
      <c r="BO107" s="27">
        <v>22800000</v>
      </c>
      <c r="BP107" s="27">
        <v>34167399</v>
      </c>
      <c r="BQ107" s="27">
        <v>34167399</v>
      </c>
      <c r="BR107" s="27">
        <f t="shared" ref="BR107:BS107" si="414">+BN107+BP107</f>
        <v>78167399</v>
      </c>
      <c r="BS107" s="27">
        <f t="shared" si="414"/>
        <v>56967399</v>
      </c>
      <c r="BT107" s="20">
        <f t="shared" si="13"/>
        <v>0.72878718914518315</v>
      </c>
      <c r="BU107" s="27">
        <v>44000000</v>
      </c>
      <c r="BV107" s="27">
        <v>44000000</v>
      </c>
      <c r="BW107" s="27">
        <v>40813332</v>
      </c>
      <c r="BX107" s="27">
        <v>28813332</v>
      </c>
      <c r="BY107" s="28">
        <f t="shared" si="149"/>
        <v>0.9275757272727273</v>
      </c>
      <c r="BZ107" s="27">
        <v>48000000</v>
      </c>
      <c r="CA107" s="20">
        <v>48960000</v>
      </c>
      <c r="CB107" s="29">
        <v>49939200</v>
      </c>
      <c r="CC107" s="29">
        <v>51437376</v>
      </c>
      <c r="CD107" s="29">
        <v>198336576</v>
      </c>
    </row>
    <row r="108" spans="1:82" ht="33.75" customHeight="1">
      <c r="A108" s="12" t="s">
        <v>493</v>
      </c>
      <c r="B108" s="13">
        <v>0.114</v>
      </c>
      <c r="C108" s="12"/>
      <c r="D108" s="14">
        <v>41</v>
      </c>
      <c r="E108" s="14">
        <v>4101</v>
      </c>
      <c r="F108" s="14">
        <v>14</v>
      </c>
      <c r="G108" s="14" t="s">
        <v>589</v>
      </c>
      <c r="H108" s="14">
        <v>1500</v>
      </c>
      <c r="I108" s="14">
        <v>14.1</v>
      </c>
      <c r="J108" s="14" t="s">
        <v>590</v>
      </c>
      <c r="K108" s="14" t="s">
        <v>591</v>
      </c>
      <c r="L108" s="14" t="s">
        <v>592</v>
      </c>
      <c r="M108" s="14" t="s">
        <v>593</v>
      </c>
      <c r="N108" s="20">
        <v>1</v>
      </c>
      <c r="O108" s="16">
        <v>4101031</v>
      </c>
      <c r="P108" s="17">
        <v>2024257990014</v>
      </c>
      <c r="Q108" s="14" t="s">
        <v>594</v>
      </c>
      <c r="R108" s="18">
        <v>107</v>
      </c>
      <c r="S108" s="14" t="s">
        <v>613</v>
      </c>
      <c r="T108" s="14">
        <v>1</v>
      </c>
      <c r="U108" s="14" t="s">
        <v>88</v>
      </c>
      <c r="V108" s="14" t="s">
        <v>114</v>
      </c>
      <c r="W108" s="14" t="s">
        <v>614</v>
      </c>
      <c r="X108" s="14" t="s">
        <v>584</v>
      </c>
      <c r="Y108" s="29"/>
      <c r="Z108" s="14">
        <f t="shared" si="389"/>
        <v>1</v>
      </c>
      <c r="AA108" s="20">
        <f t="shared" si="1"/>
        <v>1</v>
      </c>
      <c r="AB108" s="20">
        <f t="shared" si="2"/>
        <v>1</v>
      </c>
      <c r="AC108" s="21"/>
      <c r="AD108" s="21"/>
      <c r="AE108" s="21">
        <f t="shared" si="3"/>
        <v>0.5</v>
      </c>
      <c r="AF108" s="14">
        <v>1</v>
      </c>
      <c r="AG108" s="14">
        <v>1</v>
      </c>
      <c r="AH108" s="14">
        <v>1</v>
      </c>
      <c r="AI108" s="14">
        <v>1</v>
      </c>
      <c r="AJ108" s="26"/>
      <c r="AK108" s="26"/>
      <c r="AL108" s="26"/>
      <c r="AM108" s="26"/>
      <c r="AN108" s="26">
        <v>1</v>
      </c>
      <c r="AO108" s="26">
        <v>1</v>
      </c>
      <c r="AP108" s="26">
        <v>0</v>
      </c>
      <c r="AQ108" s="26">
        <v>0</v>
      </c>
      <c r="AR108" s="22">
        <f t="shared" ref="AR108:AS108" si="415">(AJ108+AL108+AN108+AP108)</f>
        <v>1</v>
      </c>
      <c r="AS108" s="22">
        <f t="shared" si="415"/>
        <v>1</v>
      </c>
      <c r="AT108" s="22">
        <f t="shared" si="405"/>
        <v>1</v>
      </c>
      <c r="AU108" s="23" t="str">
        <f t="shared" si="406"/>
        <v>100%</v>
      </c>
      <c r="AV108" s="24">
        <f t="shared" si="7"/>
        <v>1</v>
      </c>
      <c r="AW108" s="14" t="s">
        <v>92</v>
      </c>
      <c r="AX108" s="30" t="s">
        <v>615</v>
      </c>
      <c r="AY108" s="46">
        <v>0.3</v>
      </c>
      <c r="AZ108" s="46">
        <v>0.3</v>
      </c>
      <c r="BA108" s="46">
        <v>0.7</v>
      </c>
      <c r="BB108" s="46">
        <v>0.7</v>
      </c>
      <c r="BC108" s="46">
        <v>0</v>
      </c>
      <c r="BD108" s="57"/>
      <c r="BE108" s="46">
        <v>0</v>
      </c>
      <c r="BF108" s="26"/>
      <c r="BG108" s="22">
        <f t="shared" ref="BG108:BH108" si="416">(AY108+BA108+BC108+BE108)</f>
        <v>1</v>
      </c>
      <c r="BH108" s="22">
        <f t="shared" si="416"/>
        <v>1</v>
      </c>
      <c r="BI108" s="22">
        <f t="shared" si="408"/>
        <v>1</v>
      </c>
      <c r="BJ108" s="23" t="str">
        <f t="shared" si="409"/>
        <v>100%</v>
      </c>
      <c r="BK108" s="24">
        <f t="shared" si="410"/>
        <v>1</v>
      </c>
      <c r="BL108" s="22" t="s">
        <v>92</v>
      </c>
      <c r="BM108" s="25" t="s">
        <v>615</v>
      </c>
      <c r="BN108" s="27">
        <v>8000000</v>
      </c>
      <c r="BO108" s="27">
        <v>0</v>
      </c>
      <c r="BP108" s="27">
        <v>0</v>
      </c>
      <c r="BQ108" s="27">
        <v>0</v>
      </c>
      <c r="BR108" s="27">
        <f t="shared" ref="BR108:BS108" si="417">+BN108+BP108</f>
        <v>8000000</v>
      </c>
      <c r="BS108" s="27">
        <f t="shared" si="417"/>
        <v>0</v>
      </c>
      <c r="BT108" s="20">
        <f t="shared" si="13"/>
        <v>0</v>
      </c>
      <c r="BU108" s="27">
        <v>8000000</v>
      </c>
      <c r="BV108" s="27">
        <v>8000000</v>
      </c>
      <c r="BW108" s="27">
        <v>5295500</v>
      </c>
      <c r="BX108" s="27">
        <v>5295500</v>
      </c>
      <c r="BY108" s="28">
        <f t="shared" si="149"/>
        <v>0.66193749999999996</v>
      </c>
      <c r="BZ108" s="27">
        <v>8000000</v>
      </c>
      <c r="CA108" s="20">
        <v>8160000</v>
      </c>
      <c r="CB108" s="29">
        <v>8323200</v>
      </c>
      <c r="CC108" s="29">
        <v>8572896</v>
      </c>
      <c r="CD108" s="29">
        <v>33056096</v>
      </c>
    </row>
    <row r="109" spans="1:82" ht="27" customHeight="1">
      <c r="A109" s="12" t="s">
        <v>493</v>
      </c>
      <c r="B109" s="13">
        <v>0.114</v>
      </c>
      <c r="C109" s="12"/>
      <c r="D109" s="14">
        <v>41</v>
      </c>
      <c r="E109" s="14">
        <v>4101</v>
      </c>
      <c r="F109" s="14">
        <v>14</v>
      </c>
      <c r="G109" s="14" t="s">
        <v>589</v>
      </c>
      <c r="H109" s="14">
        <v>1500</v>
      </c>
      <c r="I109" s="14">
        <v>14.1</v>
      </c>
      <c r="J109" s="14" t="s">
        <v>590</v>
      </c>
      <c r="K109" s="14" t="s">
        <v>591</v>
      </c>
      <c r="L109" s="14" t="s">
        <v>592</v>
      </c>
      <c r="M109" s="14" t="s">
        <v>593</v>
      </c>
      <c r="N109" s="20">
        <v>1</v>
      </c>
      <c r="O109" s="16">
        <v>4101038</v>
      </c>
      <c r="P109" s="17">
        <v>2024257990014</v>
      </c>
      <c r="Q109" s="14" t="s">
        <v>594</v>
      </c>
      <c r="R109" s="18">
        <v>108</v>
      </c>
      <c r="S109" s="14" t="s">
        <v>616</v>
      </c>
      <c r="T109" s="14">
        <v>1</v>
      </c>
      <c r="U109" s="14" t="s">
        <v>88</v>
      </c>
      <c r="V109" s="14" t="s">
        <v>114</v>
      </c>
      <c r="W109" s="14" t="s">
        <v>617</v>
      </c>
      <c r="X109" s="14" t="s">
        <v>584</v>
      </c>
      <c r="Y109" s="29"/>
      <c r="Z109" s="14">
        <f t="shared" si="389"/>
        <v>1</v>
      </c>
      <c r="AA109" s="20">
        <f t="shared" si="1"/>
        <v>1</v>
      </c>
      <c r="AB109" s="20">
        <f t="shared" si="2"/>
        <v>1</v>
      </c>
      <c r="AC109" s="21"/>
      <c r="AD109" s="21"/>
      <c r="AE109" s="21">
        <f t="shared" si="3"/>
        <v>0.5</v>
      </c>
      <c r="AF109" s="14">
        <v>1</v>
      </c>
      <c r="AG109" s="14">
        <v>1</v>
      </c>
      <c r="AH109" s="14">
        <v>1</v>
      </c>
      <c r="AI109" s="14">
        <v>1</v>
      </c>
      <c r="AJ109" s="26"/>
      <c r="AK109" s="26"/>
      <c r="AL109" s="26"/>
      <c r="AM109" s="26"/>
      <c r="AN109" s="26">
        <v>0.7</v>
      </c>
      <c r="AO109" s="26">
        <v>0.7</v>
      </c>
      <c r="AP109" s="26">
        <v>0.3</v>
      </c>
      <c r="AQ109" s="26">
        <v>0.3</v>
      </c>
      <c r="AR109" s="22">
        <f t="shared" ref="AR109:AS109" si="418">(AJ109+AL109+AN109+AP109)</f>
        <v>1</v>
      </c>
      <c r="AS109" s="22">
        <f t="shared" si="418"/>
        <v>1</v>
      </c>
      <c r="AT109" s="22">
        <f t="shared" si="405"/>
        <v>1</v>
      </c>
      <c r="AU109" s="23" t="str">
        <f t="shared" si="406"/>
        <v>100%</v>
      </c>
      <c r="AV109" s="24">
        <f t="shared" si="7"/>
        <v>1</v>
      </c>
      <c r="AW109" s="14" t="s">
        <v>92</v>
      </c>
      <c r="AX109" s="30" t="s">
        <v>618</v>
      </c>
      <c r="AY109" s="46">
        <v>0</v>
      </c>
      <c r="AZ109" s="46">
        <v>0</v>
      </c>
      <c r="BA109" s="46">
        <v>0.5</v>
      </c>
      <c r="BB109" s="46">
        <v>0.5</v>
      </c>
      <c r="BC109" s="46">
        <v>0.3</v>
      </c>
      <c r="BD109" s="46">
        <v>0.3</v>
      </c>
      <c r="BE109" s="46">
        <v>0.2</v>
      </c>
      <c r="BF109" s="46">
        <v>0.2</v>
      </c>
      <c r="BG109" s="22">
        <f t="shared" ref="BG109:BH109" si="419">(AY109+BA109+BC109+BE109)</f>
        <v>1</v>
      </c>
      <c r="BH109" s="22">
        <f t="shared" si="419"/>
        <v>1</v>
      </c>
      <c r="BI109" s="22">
        <f t="shared" si="408"/>
        <v>1</v>
      </c>
      <c r="BJ109" s="23" t="str">
        <f t="shared" si="409"/>
        <v>100%</v>
      </c>
      <c r="BK109" s="24">
        <f t="shared" si="410"/>
        <v>1</v>
      </c>
      <c r="BL109" s="22" t="s">
        <v>92</v>
      </c>
      <c r="BM109" s="25" t="s">
        <v>618</v>
      </c>
      <c r="BN109" s="27">
        <v>6000000</v>
      </c>
      <c r="BO109" s="27">
        <v>0</v>
      </c>
      <c r="BP109" s="27">
        <v>2018200</v>
      </c>
      <c r="BQ109" s="27">
        <v>2018200</v>
      </c>
      <c r="BR109" s="27">
        <f t="shared" ref="BR109:BS109" si="420">+BN109+BP109</f>
        <v>8018200</v>
      </c>
      <c r="BS109" s="27">
        <f t="shared" si="420"/>
        <v>2018200</v>
      </c>
      <c r="BT109" s="20">
        <f t="shared" si="13"/>
        <v>0.25170237709211546</v>
      </c>
      <c r="BU109" s="27">
        <v>6000000</v>
      </c>
      <c r="BV109" s="27">
        <v>6000000</v>
      </c>
      <c r="BW109" s="27">
        <v>0</v>
      </c>
      <c r="BX109" s="27">
        <v>0</v>
      </c>
      <c r="BY109" s="28">
        <f t="shared" si="149"/>
        <v>0</v>
      </c>
      <c r="BZ109" s="27">
        <v>6000000</v>
      </c>
      <c r="CA109" s="20">
        <v>6120000</v>
      </c>
      <c r="CB109" s="29">
        <v>6242400</v>
      </c>
      <c r="CC109" s="29">
        <v>6429672</v>
      </c>
      <c r="CD109" s="29">
        <v>24792072</v>
      </c>
    </row>
    <row r="110" spans="1:82" ht="45" customHeight="1">
      <c r="A110" s="12" t="s">
        <v>493</v>
      </c>
      <c r="B110" s="13">
        <v>0.114</v>
      </c>
      <c r="C110" s="12"/>
      <c r="D110" s="14">
        <v>45</v>
      </c>
      <c r="E110" s="14">
        <v>4502</v>
      </c>
      <c r="F110" s="14">
        <v>15</v>
      </c>
      <c r="G110" s="14" t="s">
        <v>619</v>
      </c>
      <c r="H110" s="14">
        <v>1000</v>
      </c>
      <c r="I110" s="14">
        <v>15.1</v>
      </c>
      <c r="J110" s="14" t="s">
        <v>620</v>
      </c>
      <c r="K110" s="14" t="s">
        <v>621</v>
      </c>
      <c r="L110" s="14" t="s">
        <v>622</v>
      </c>
      <c r="M110" s="14" t="s">
        <v>623</v>
      </c>
      <c r="N110" s="14">
        <v>0</v>
      </c>
      <c r="O110" s="14">
        <v>4502024</v>
      </c>
      <c r="P110" s="17">
        <v>2024257990015</v>
      </c>
      <c r="Q110" s="14" t="s">
        <v>624</v>
      </c>
      <c r="R110" s="18">
        <v>109</v>
      </c>
      <c r="S110" s="14" t="s">
        <v>625</v>
      </c>
      <c r="T110" s="14">
        <v>0</v>
      </c>
      <c r="U110" s="14" t="s">
        <v>109</v>
      </c>
      <c r="V110" s="14" t="s">
        <v>89</v>
      </c>
      <c r="W110" s="14" t="s">
        <v>626</v>
      </c>
      <c r="X110" s="14" t="s">
        <v>417</v>
      </c>
      <c r="Y110" s="29"/>
      <c r="Z110" s="20">
        <f t="shared" ref="Z110:Z114" si="421">SUM(AF110:AI110)</f>
        <v>0.35000000000000003</v>
      </c>
      <c r="AA110" s="20">
        <f t="shared" si="1"/>
        <v>0</v>
      </c>
      <c r="AB110" s="20">
        <f t="shared" si="2"/>
        <v>1.714285714285714</v>
      </c>
      <c r="AC110" s="21"/>
      <c r="AD110" s="21"/>
      <c r="AE110" s="21">
        <f t="shared" si="3"/>
        <v>0.59999999999999987</v>
      </c>
      <c r="AF110" s="20">
        <v>0</v>
      </c>
      <c r="AG110" s="20">
        <v>0.15</v>
      </c>
      <c r="AH110" s="20">
        <v>0.13</v>
      </c>
      <c r="AI110" s="20">
        <v>7.0000000000000007E-2</v>
      </c>
      <c r="AJ110" s="26"/>
      <c r="AK110" s="26"/>
      <c r="AL110" s="26"/>
      <c r="AM110" s="26"/>
      <c r="AN110" s="34">
        <v>0</v>
      </c>
      <c r="AO110" s="34">
        <v>0</v>
      </c>
      <c r="AP110" s="34">
        <v>0</v>
      </c>
      <c r="AQ110" s="34">
        <v>0</v>
      </c>
      <c r="AR110" s="34">
        <v>0</v>
      </c>
      <c r="AS110" s="34">
        <f t="shared" ref="AS110:AS113" si="422">(AK110+AM110+AO110+AQ110)/2</f>
        <v>0</v>
      </c>
      <c r="AT110" s="24">
        <f t="shared" ref="AT110:AT113" si="423">IF(AQ110=0, 0, AR110/AQ110)</f>
        <v>0</v>
      </c>
      <c r="AU110" s="23" t="str">
        <f t="shared" ref="AU110:AU113" si="424">IF(AR110&gt; 1, IF(AR110 = AS110, "100%", AR110 &amp; "%"), IF(AR110 &lt;= 0.01, "0%", AR110 * 100 &amp; "%"))</f>
        <v>0%</v>
      </c>
      <c r="AV110" s="24">
        <f t="shared" si="7"/>
        <v>0</v>
      </c>
      <c r="AW110" s="26" t="s">
        <v>192</v>
      </c>
      <c r="AX110" s="30" t="s">
        <v>627</v>
      </c>
      <c r="AY110" s="26">
        <v>0</v>
      </c>
      <c r="AZ110" s="26">
        <v>0</v>
      </c>
      <c r="BA110" s="24">
        <v>0</v>
      </c>
      <c r="BB110" s="26">
        <v>0</v>
      </c>
      <c r="BC110" s="26">
        <v>0.09</v>
      </c>
      <c r="BD110" s="26">
        <v>0.09</v>
      </c>
      <c r="BE110" s="26">
        <v>0.06</v>
      </c>
      <c r="BF110" s="26"/>
      <c r="BG110" s="22">
        <f t="shared" ref="BG110:BH110" si="425">(AY110+BA110+BC110+BE110)</f>
        <v>0.15</v>
      </c>
      <c r="BH110" s="22">
        <f t="shared" si="425"/>
        <v>0.09</v>
      </c>
      <c r="BI110" s="22">
        <f t="shared" si="408"/>
        <v>0.6</v>
      </c>
      <c r="BJ110" s="23" t="str">
        <f t="shared" si="409"/>
        <v>100%</v>
      </c>
      <c r="BK110" s="24">
        <f t="shared" si="410"/>
        <v>0.6</v>
      </c>
      <c r="BL110" s="26" t="s">
        <v>92</v>
      </c>
      <c r="BM110" s="25" t="s">
        <v>627</v>
      </c>
      <c r="BN110" s="27">
        <v>0</v>
      </c>
      <c r="BO110" s="27">
        <v>0</v>
      </c>
      <c r="BP110" s="27">
        <v>0</v>
      </c>
      <c r="BQ110" s="27">
        <v>0</v>
      </c>
      <c r="BR110" s="27">
        <f t="shared" ref="BR110:BS110" si="426">+BN110+BP110</f>
        <v>0</v>
      </c>
      <c r="BS110" s="27">
        <f t="shared" si="426"/>
        <v>0</v>
      </c>
      <c r="BT110" s="20" t="str">
        <f t="shared" si="13"/>
        <v/>
      </c>
      <c r="BU110" s="27">
        <v>0</v>
      </c>
      <c r="BV110" s="27">
        <v>0</v>
      </c>
      <c r="BW110" s="27">
        <v>0</v>
      </c>
      <c r="BX110" s="27">
        <v>0</v>
      </c>
      <c r="BY110" s="28" t="str">
        <f t="shared" si="149"/>
        <v/>
      </c>
      <c r="BZ110" s="29">
        <v>30000000</v>
      </c>
      <c r="CA110" s="29">
        <v>30600000</v>
      </c>
      <c r="CB110" s="29">
        <v>31212000</v>
      </c>
      <c r="CC110" s="29">
        <v>32148360</v>
      </c>
      <c r="CD110" s="29">
        <v>123960360</v>
      </c>
    </row>
    <row r="111" spans="1:82" ht="40.5" customHeight="1">
      <c r="A111" s="12" t="s">
        <v>493</v>
      </c>
      <c r="B111" s="13">
        <v>0.114</v>
      </c>
      <c r="C111" s="12"/>
      <c r="D111" s="14">
        <v>45</v>
      </c>
      <c r="E111" s="14">
        <v>4502</v>
      </c>
      <c r="F111" s="14">
        <v>15</v>
      </c>
      <c r="G111" s="14" t="s">
        <v>619</v>
      </c>
      <c r="H111" s="14">
        <v>1000</v>
      </c>
      <c r="I111" s="14">
        <v>15.1</v>
      </c>
      <c r="J111" s="14" t="s">
        <v>620</v>
      </c>
      <c r="K111" s="14" t="s">
        <v>621</v>
      </c>
      <c r="L111" s="14" t="s">
        <v>622</v>
      </c>
      <c r="M111" s="14" t="s">
        <v>623</v>
      </c>
      <c r="N111" s="14">
        <v>0</v>
      </c>
      <c r="O111" s="14">
        <v>4502020</v>
      </c>
      <c r="P111" s="17">
        <v>2024257990015</v>
      </c>
      <c r="Q111" s="14" t="s">
        <v>624</v>
      </c>
      <c r="R111" s="18">
        <v>110</v>
      </c>
      <c r="S111" s="14" t="s">
        <v>628</v>
      </c>
      <c r="T111" s="14">
        <v>0</v>
      </c>
      <c r="U111" s="14" t="s">
        <v>88</v>
      </c>
      <c r="V111" s="14" t="s">
        <v>89</v>
      </c>
      <c r="W111" s="14" t="s">
        <v>629</v>
      </c>
      <c r="X111" s="14" t="s">
        <v>417</v>
      </c>
      <c r="Y111" s="29"/>
      <c r="Z111" s="17">
        <f t="shared" si="421"/>
        <v>0.99</v>
      </c>
      <c r="AA111" s="20">
        <f t="shared" si="1"/>
        <v>0</v>
      </c>
      <c r="AB111" s="20">
        <f t="shared" si="2"/>
        <v>0.67340067340067333</v>
      </c>
      <c r="AC111" s="21"/>
      <c r="AD111" s="21"/>
      <c r="AE111" s="21">
        <f t="shared" si="3"/>
        <v>0.23569023569023564</v>
      </c>
      <c r="AF111" s="14">
        <v>0</v>
      </c>
      <c r="AG111" s="14">
        <v>0.33</v>
      </c>
      <c r="AH111" s="14">
        <v>0.33</v>
      </c>
      <c r="AI111" s="14">
        <v>0.33</v>
      </c>
      <c r="AJ111" s="26"/>
      <c r="AK111" s="26"/>
      <c r="AL111" s="26"/>
      <c r="AM111" s="26"/>
      <c r="AN111" s="34">
        <v>0</v>
      </c>
      <c r="AO111" s="34">
        <v>0</v>
      </c>
      <c r="AP111" s="34">
        <v>0</v>
      </c>
      <c r="AQ111" s="34">
        <v>0</v>
      </c>
      <c r="AR111" s="34">
        <v>0</v>
      </c>
      <c r="AS111" s="34">
        <f t="shared" si="422"/>
        <v>0</v>
      </c>
      <c r="AT111" s="24">
        <f t="shared" si="423"/>
        <v>0</v>
      </c>
      <c r="AU111" s="23" t="str">
        <f t="shared" si="424"/>
        <v>0%</v>
      </c>
      <c r="AV111" s="24">
        <f t="shared" si="7"/>
        <v>0</v>
      </c>
      <c r="AW111" s="26" t="s">
        <v>192</v>
      </c>
      <c r="AX111" s="30" t="s">
        <v>630</v>
      </c>
      <c r="AY111" s="26">
        <v>0</v>
      </c>
      <c r="AZ111" s="26">
        <v>0</v>
      </c>
      <c r="BA111" s="26">
        <v>0</v>
      </c>
      <c r="BB111" s="26">
        <v>0</v>
      </c>
      <c r="BC111" s="26">
        <v>0.22</v>
      </c>
      <c r="BD111" s="26">
        <v>0.22</v>
      </c>
      <c r="BE111" s="26">
        <v>0.11</v>
      </c>
      <c r="BF111" s="26"/>
      <c r="BG111" s="22">
        <f t="shared" ref="BG111:BH111" si="427">(AY111+BA111+BC111+BE111)</f>
        <v>0.33</v>
      </c>
      <c r="BH111" s="22">
        <f t="shared" si="427"/>
        <v>0.22</v>
      </c>
      <c r="BI111" s="22">
        <f t="shared" si="408"/>
        <v>0.66666666666666663</v>
      </c>
      <c r="BJ111" s="23" t="str">
        <f t="shared" si="409"/>
        <v>100%</v>
      </c>
      <c r="BK111" s="24">
        <f t="shared" si="410"/>
        <v>0.66666666666666663</v>
      </c>
      <c r="BL111" s="22" t="s">
        <v>92</v>
      </c>
      <c r="BM111" s="25" t="s">
        <v>630</v>
      </c>
      <c r="BN111" s="27">
        <v>10000000</v>
      </c>
      <c r="BO111" s="27">
        <v>0</v>
      </c>
      <c r="BP111" s="27">
        <v>0</v>
      </c>
      <c r="BQ111" s="27">
        <v>0</v>
      </c>
      <c r="BR111" s="27">
        <f t="shared" ref="BR111:BS111" si="428">+BN111+BP111</f>
        <v>10000000</v>
      </c>
      <c r="BS111" s="27">
        <f t="shared" si="428"/>
        <v>0</v>
      </c>
      <c r="BT111" s="20">
        <f t="shared" si="13"/>
        <v>0</v>
      </c>
      <c r="BU111" s="27">
        <v>10000000</v>
      </c>
      <c r="BV111" s="27">
        <v>10000000</v>
      </c>
      <c r="BW111" s="27">
        <v>0</v>
      </c>
      <c r="BX111" s="27">
        <v>0</v>
      </c>
      <c r="BY111" s="28">
        <f t="shared" si="149"/>
        <v>0</v>
      </c>
      <c r="BZ111" s="29">
        <v>60000000</v>
      </c>
      <c r="CA111" s="29">
        <v>61200000</v>
      </c>
      <c r="CB111" s="29">
        <v>62424000</v>
      </c>
      <c r="CC111" s="29">
        <v>64296720</v>
      </c>
      <c r="CD111" s="29">
        <v>247920720</v>
      </c>
    </row>
    <row r="112" spans="1:82" ht="24.75" customHeight="1">
      <c r="A112" s="12" t="s">
        <v>493</v>
      </c>
      <c r="B112" s="13">
        <v>0.114</v>
      </c>
      <c r="C112" s="12"/>
      <c r="D112" s="14">
        <v>45</v>
      </c>
      <c r="E112" s="14">
        <v>4502</v>
      </c>
      <c r="F112" s="14">
        <v>15</v>
      </c>
      <c r="G112" s="14" t="s">
        <v>619</v>
      </c>
      <c r="H112" s="14">
        <v>1000</v>
      </c>
      <c r="I112" s="14">
        <v>15.1</v>
      </c>
      <c r="J112" s="14" t="s">
        <v>620</v>
      </c>
      <c r="K112" s="14" t="s">
        <v>621</v>
      </c>
      <c r="L112" s="14" t="s">
        <v>622</v>
      </c>
      <c r="M112" s="14" t="s">
        <v>623</v>
      </c>
      <c r="N112" s="14">
        <v>0</v>
      </c>
      <c r="O112" s="14">
        <v>4502019</v>
      </c>
      <c r="P112" s="17">
        <v>2024257990015</v>
      </c>
      <c r="Q112" s="14" t="s">
        <v>624</v>
      </c>
      <c r="R112" s="18">
        <v>111</v>
      </c>
      <c r="S112" s="14" t="s">
        <v>631</v>
      </c>
      <c r="T112" s="14">
        <v>0</v>
      </c>
      <c r="U112" s="14" t="s">
        <v>88</v>
      </c>
      <c r="V112" s="14" t="s">
        <v>89</v>
      </c>
      <c r="W112" s="14" t="s">
        <v>632</v>
      </c>
      <c r="X112" s="14" t="s">
        <v>417</v>
      </c>
      <c r="Y112" s="29"/>
      <c r="Z112" s="14">
        <f t="shared" si="421"/>
        <v>1</v>
      </c>
      <c r="AA112" s="20">
        <f t="shared" si="1"/>
        <v>0</v>
      </c>
      <c r="AB112" s="20">
        <f t="shared" si="2"/>
        <v>0.8666666666666667</v>
      </c>
      <c r="AC112" s="21"/>
      <c r="AD112" s="21"/>
      <c r="AE112" s="21">
        <f t="shared" si="3"/>
        <v>0.30333333333333334</v>
      </c>
      <c r="AF112" s="14">
        <v>0</v>
      </c>
      <c r="AG112" s="14">
        <v>0.3</v>
      </c>
      <c r="AH112" s="14">
        <v>0.7</v>
      </c>
      <c r="AI112" s="14">
        <v>0</v>
      </c>
      <c r="AJ112" s="26"/>
      <c r="AK112" s="26"/>
      <c r="AL112" s="26"/>
      <c r="AM112" s="26"/>
      <c r="AN112" s="34">
        <v>0</v>
      </c>
      <c r="AO112" s="34">
        <v>0</v>
      </c>
      <c r="AP112" s="34">
        <v>0</v>
      </c>
      <c r="AQ112" s="34">
        <v>0</v>
      </c>
      <c r="AR112" s="34">
        <v>0</v>
      </c>
      <c r="AS112" s="34">
        <f t="shared" si="422"/>
        <v>0</v>
      </c>
      <c r="AT112" s="24">
        <f t="shared" si="423"/>
        <v>0</v>
      </c>
      <c r="AU112" s="23" t="str">
        <f t="shared" si="424"/>
        <v>0%</v>
      </c>
      <c r="AV112" s="24">
        <f t="shared" si="7"/>
        <v>0</v>
      </c>
      <c r="AW112" s="26" t="s">
        <v>192</v>
      </c>
      <c r="AX112" s="30" t="s">
        <v>633</v>
      </c>
      <c r="AY112" s="26">
        <v>0</v>
      </c>
      <c r="AZ112" s="26">
        <v>0</v>
      </c>
      <c r="BA112" s="26">
        <v>0.1</v>
      </c>
      <c r="BB112" s="26">
        <v>0.1</v>
      </c>
      <c r="BC112" s="26">
        <v>0.16</v>
      </c>
      <c r="BD112" s="26">
        <v>0.16</v>
      </c>
      <c r="BE112" s="26">
        <v>0.04</v>
      </c>
      <c r="BF112" s="26"/>
      <c r="BG112" s="22">
        <f t="shared" ref="BG112:BH112" si="429">(AY112+BA112+BC112+BE112)</f>
        <v>0.3</v>
      </c>
      <c r="BH112" s="22">
        <f t="shared" si="429"/>
        <v>0.26</v>
      </c>
      <c r="BI112" s="22">
        <f t="shared" si="408"/>
        <v>0.8666666666666667</v>
      </c>
      <c r="BJ112" s="23" t="str">
        <f t="shared" si="409"/>
        <v>100%</v>
      </c>
      <c r="BK112" s="24">
        <f t="shared" si="410"/>
        <v>0.8666666666666667</v>
      </c>
      <c r="BL112" s="22" t="s">
        <v>92</v>
      </c>
      <c r="BM112" s="25" t="s">
        <v>633</v>
      </c>
      <c r="BN112" s="27">
        <v>8500000</v>
      </c>
      <c r="BO112" s="27">
        <v>0</v>
      </c>
      <c r="BP112" s="27">
        <v>0</v>
      </c>
      <c r="BQ112" s="27">
        <v>0</v>
      </c>
      <c r="BR112" s="27">
        <f t="shared" ref="BR112:BS112" si="430">+BN112+BP112</f>
        <v>8500000</v>
      </c>
      <c r="BS112" s="27">
        <f t="shared" si="430"/>
        <v>0</v>
      </c>
      <c r="BT112" s="20">
        <f t="shared" si="13"/>
        <v>0</v>
      </c>
      <c r="BU112" s="27">
        <v>8500000</v>
      </c>
      <c r="BV112" s="27">
        <v>8500000</v>
      </c>
      <c r="BW112" s="27">
        <v>0</v>
      </c>
      <c r="BX112" s="27">
        <v>0</v>
      </c>
      <c r="BY112" s="28">
        <f t="shared" si="149"/>
        <v>0</v>
      </c>
      <c r="BZ112" s="29">
        <v>10000000</v>
      </c>
      <c r="CA112" s="29">
        <v>10200000</v>
      </c>
      <c r="CB112" s="29">
        <v>10404000</v>
      </c>
      <c r="CC112" s="29">
        <v>10716120</v>
      </c>
      <c r="CD112" s="29">
        <v>41320120</v>
      </c>
    </row>
    <row r="113" spans="1:82" ht="24.75" customHeight="1">
      <c r="A113" s="12" t="s">
        <v>493</v>
      </c>
      <c r="B113" s="13">
        <v>0.114</v>
      </c>
      <c r="C113" s="12"/>
      <c r="D113" s="14">
        <v>45</v>
      </c>
      <c r="E113" s="14">
        <v>4502</v>
      </c>
      <c r="F113" s="14">
        <v>15</v>
      </c>
      <c r="G113" s="14" t="s">
        <v>619</v>
      </c>
      <c r="H113" s="14">
        <v>1000</v>
      </c>
      <c r="I113" s="14">
        <v>15.1</v>
      </c>
      <c r="J113" s="14" t="s">
        <v>620</v>
      </c>
      <c r="K113" s="14" t="s">
        <v>621</v>
      </c>
      <c r="L113" s="14" t="s">
        <v>622</v>
      </c>
      <c r="M113" s="14" t="s">
        <v>623</v>
      </c>
      <c r="N113" s="14">
        <v>0</v>
      </c>
      <c r="O113" s="14">
        <v>4502022</v>
      </c>
      <c r="P113" s="17">
        <v>2024257990015</v>
      </c>
      <c r="Q113" s="14" t="s">
        <v>624</v>
      </c>
      <c r="R113" s="18">
        <v>112</v>
      </c>
      <c r="S113" s="14" t="s">
        <v>634</v>
      </c>
      <c r="T113" s="14">
        <v>0</v>
      </c>
      <c r="U113" s="14" t="s">
        <v>109</v>
      </c>
      <c r="V113" s="14" t="s">
        <v>89</v>
      </c>
      <c r="W113" s="14" t="s">
        <v>635</v>
      </c>
      <c r="X113" s="14" t="s">
        <v>417</v>
      </c>
      <c r="Y113" s="29"/>
      <c r="Z113" s="20">
        <f t="shared" si="421"/>
        <v>0.2</v>
      </c>
      <c r="AA113" s="20">
        <f t="shared" si="1"/>
        <v>0</v>
      </c>
      <c r="AB113" s="20">
        <f t="shared" si="2"/>
        <v>4.1666666666666661</v>
      </c>
      <c r="AC113" s="21"/>
      <c r="AD113" s="21"/>
      <c r="AE113" s="21">
        <f t="shared" si="3"/>
        <v>1.458333333333333</v>
      </c>
      <c r="AF113" s="20">
        <v>0</v>
      </c>
      <c r="AG113" s="20">
        <v>0.08</v>
      </c>
      <c r="AH113" s="20">
        <v>0.08</v>
      </c>
      <c r="AI113" s="20">
        <v>0.04</v>
      </c>
      <c r="AJ113" s="26"/>
      <c r="AK113" s="26"/>
      <c r="AL113" s="26"/>
      <c r="AM113" s="26"/>
      <c r="AN113" s="34">
        <v>0</v>
      </c>
      <c r="AO113" s="34">
        <v>0</v>
      </c>
      <c r="AP113" s="34">
        <v>0</v>
      </c>
      <c r="AQ113" s="34">
        <v>0</v>
      </c>
      <c r="AR113" s="34">
        <v>0</v>
      </c>
      <c r="AS113" s="34">
        <f t="shared" si="422"/>
        <v>0</v>
      </c>
      <c r="AT113" s="24">
        <f t="shared" si="423"/>
        <v>0</v>
      </c>
      <c r="AU113" s="23" t="str">
        <f t="shared" si="424"/>
        <v>0%</v>
      </c>
      <c r="AV113" s="24">
        <f t="shared" si="7"/>
        <v>0</v>
      </c>
      <c r="AW113" s="26" t="s">
        <v>192</v>
      </c>
      <c r="AX113" s="26"/>
      <c r="AY113" s="24">
        <v>0</v>
      </c>
      <c r="AZ113" s="26">
        <v>0</v>
      </c>
      <c r="BA113" s="24">
        <v>0.02</v>
      </c>
      <c r="BB113" s="24">
        <v>0.02</v>
      </c>
      <c r="BC113" s="24">
        <v>0.03</v>
      </c>
      <c r="BD113" s="24">
        <v>0.03</v>
      </c>
      <c r="BE113" s="24">
        <v>0.01</v>
      </c>
      <c r="BF113" s="26"/>
      <c r="BG113" s="20">
        <f t="shared" ref="BG113:BH113" si="431">(AY113+BA113+BC113+BE113)</f>
        <v>6.0000000000000005E-2</v>
      </c>
      <c r="BH113" s="20">
        <f t="shared" si="431"/>
        <v>0.05</v>
      </c>
      <c r="BI113" s="20">
        <f t="shared" si="408"/>
        <v>0.83333333333333326</v>
      </c>
      <c r="BJ113" s="23" t="str">
        <f t="shared" si="409"/>
        <v>100%</v>
      </c>
      <c r="BK113" s="24">
        <f t="shared" si="410"/>
        <v>0.83333333333333326</v>
      </c>
      <c r="BL113" s="22" t="s">
        <v>92</v>
      </c>
      <c r="BM113" s="25" t="s">
        <v>636</v>
      </c>
      <c r="BN113" s="27">
        <v>8500000</v>
      </c>
      <c r="BO113" s="27">
        <v>0</v>
      </c>
      <c r="BP113" s="27">
        <v>0</v>
      </c>
      <c r="BQ113" s="27">
        <v>0</v>
      </c>
      <c r="BR113" s="27">
        <f t="shared" ref="BR113:BS113" si="432">+BN113+BP113</f>
        <v>8500000</v>
      </c>
      <c r="BS113" s="27">
        <f t="shared" si="432"/>
        <v>0</v>
      </c>
      <c r="BT113" s="20">
        <f t="shared" si="13"/>
        <v>0</v>
      </c>
      <c r="BU113" s="27">
        <v>8500000</v>
      </c>
      <c r="BV113" s="27">
        <v>8500000</v>
      </c>
      <c r="BW113" s="27">
        <v>0</v>
      </c>
      <c r="BX113" s="27">
        <v>0</v>
      </c>
      <c r="BY113" s="28">
        <f t="shared" si="149"/>
        <v>0</v>
      </c>
      <c r="BZ113" s="27">
        <v>60000000</v>
      </c>
      <c r="CA113" s="20"/>
      <c r="CB113" s="29"/>
      <c r="CC113" s="29"/>
      <c r="CD113" s="29">
        <v>60000000</v>
      </c>
    </row>
    <row r="114" spans="1:82" ht="36" customHeight="1">
      <c r="A114" s="12" t="s">
        <v>493</v>
      </c>
      <c r="B114" s="13">
        <v>0.114</v>
      </c>
      <c r="C114" s="12"/>
      <c r="D114" s="14">
        <v>45</v>
      </c>
      <c r="E114" s="14">
        <v>4503</v>
      </c>
      <c r="F114" s="14">
        <v>16</v>
      </c>
      <c r="G114" s="14" t="s">
        <v>637</v>
      </c>
      <c r="H114" s="14">
        <v>1000</v>
      </c>
      <c r="I114" s="14">
        <v>16.100000000000001</v>
      </c>
      <c r="J114" s="14" t="s">
        <v>638</v>
      </c>
      <c r="K114" s="14" t="s">
        <v>639</v>
      </c>
      <c r="L114" s="14" t="s">
        <v>640</v>
      </c>
      <c r="M114" s="14" t="s">
        <v>267</v>
      </c>
      <c r="N114" s="14">
        <v>0</v>
      </c>
      <c r="O114" s="16">
        <v>4503015</v>
      </c>
      <c r="P114" s="17">
        <v>2024257990016</v>
      </c>
      <c r="Q114" s="14" t="s">
        <v>641</v>
      </c>
      <c r="R114" s="18">
        <v>113</v>
      </c>
      <c r="S114" s="14" t="s">
        <v>642</v>
      </c>
      <c r="T114" s="14">
        <v>0</v>
      </c>
      <c r="U114" s="14" t="s">
        <v>88</v>
      </c>
      <c r="V114" s="14" t="s">
        <v>89</v>
      </c>
      <c r="W114" s="14" t="s">
        <v>643</v>
      </c>
      <c r="X114" s="14" t="s">
        <v>206</v>
      </c>
      <c r="Y114" s="29"/>
      <c r="Z114" s="14">
        <f t="shared" si="421"/>
        <v>1</v>
      </c>
      <c r="AA114" s="20">
        <f t="shared" si="1"/>
        <v>0.1</v>
      </c>
      <c r="AB114" s="20">
        <f t="shared" si="2"/>
        <v>1</v>
      </c>
      <c r="AC114" s="21"/>
      <c r="AD114" s="21"/>
      <c r="AE114" s="21">
        <f t="shared" si="3"/>
        <v>0.36499999999999999</v>
      </c>
      <c r="AF114" s="14">
        <v>0.1</v>
      </c>
      <c r="AG114" s="14">
        <v>0.6</v>
      </c>
      <c r="AH114" s="14">
        <v>0.3</v>
      </c>
      <c r="AI114" s="14">
        <v>0</v>
      </c>
      <c r="AJ114" s="26"/>
      <c r="AK114" s="26"/>
      <c r="AL114" s="26"/>
      <c r="AM114" s="26"/>
      <c r="AN114" s="26">
        <v>0.03</v>
      </c>
      <c r="AO114" s="26">
        <v>0.03</v>
      </c>
      <c r="AP114" s="26">
        <v>7.0000000000000007E-2</v>
      </c>
      <c r="AQ114" s="26">
        <v>7.0000000000000007E-2</v>
      </c>
      <c r="AR114" s="22">
        <f t="shared" ref="AR114:AT114" si="433">(AJ114+AL114+AN114+AP114)</f>
        <v>0.1</v>
      </c>
      <c r="AS114" s="22">
        <f t="shared" si="433"/>
        <v>0.1</v>
      </c>
      <c r="AT114" s="22">
        <f t="shared" si="433"/>
        <v>0.2</v>
      </c>
      <c r="AU114" s="23" t="str">
        <f t="shared" ref="AU114:AU118" si="434">MIN((AR114 /AR114) * 100, 100) &amp; "%"</f>
        <v>100%</v>
      </c>
      <c r="AV114" s="24">
        <f t="shared" si="7"/>
        <v>1</v>
      </c>
      <c r="AW114" s="14" t="s">
        <v>92</v>
      </c>
      <c r="AX114" s="30" t="s">
        <v>644</v>
      </c>
      <c r="AY114" s="26">
        <v>0</v>
      </c>
      <c r="AZ114" s="26">
        <v>0</v>
      </c>
      <c r="BA114" s="26">
        <v>0.02</v>
      </c>
      <c r="BB114" s="26">
        <v>0.02</v>
      </c>
      <c r="BC114" s="26">
        <v>0.04</v>
      </c>
      <c r="BD114" s="26">
        <v>0.04</v>
      </c>
      <c r="BE114" s="26">
        <v>0</v>
      </c>
      <c r="BF114" s="26">
        <v>0</v>
      </c>
      <c r="BG114" s="22">
        <f t="shared" ref="BG114:BH114" si="435">(AY114+BA114+BC114+BE114)</f>
        <v>0.06</v>
      </c>
      <c r="BH114" s="22">
        <f t="shared" si="435"/>
        <v>0.06</v>
      </c>
      <c r="BI114" s="22">
        <f t="shared" si="408"/>
        <v>1</v>
      </c>
      <c r="BJ114" s="23" t="str">
        <f t="shared" si="409"/>
        <v>100%</v>
      </c>
      <c r="BK114" s="24">
        <f t="shared" si="410"/>
        <v>1</v>
      </c>
      <c r="BL114" s="22" t="s">
        <v>92</v>
      </c>
      <c r="BM114" s="25" t="s">
        <v>645</v>
      </c>
      <c r="BN114" s="27">
        <v>675933234</v>
      </c>
      <c r="BO114" s="27">
        <v>0</v>
      </c>
      <c r="BP114" s="27">
        <v>298450620</v>
      </c>
      <c r="BQ114" s="27">
        <v>298450620</v>
      </c>
      <c r="BR114" s="27">
        <f t="shared" ref="BR114:BS114" si="436">+BN114+BP114</f>
        <v>974383854</v>
      </c>
      <c r="BS114" s="27">
        <f t="shared" si="436"/>
        <v>298450620</v>
      </c>
      <c r="BT114" s="20">
        <f t="shared" si="13"/>
        <v>0.30629676258982841</v>
      </c>
      <c r="BU114" s="27">
        <v>0</v>
      </c>
      <c r="BV114" s="27">
        <v>675933234</v>
      </c>
      <c r="BW114" s="27">
        <v>0</v>
      </c>
      <c r="BX114" s="27">
        <v>0</v>
      </c>
      <c r="BY114" s="28">
        <f t="shared" si="149"/>
        <v>0</v>
      </c>
      <c r="BZ114" s="27">
        <v>0</v>
      </c>
      <c r="CA114" s="20">
        <v>400000000</v>
      </c>
      <c r="CB114" s="29">
        <v>0</v>
      </c>
      <c r="CC114" s="29">
        <v>0</v>
      </c>
      <c r="CD114" s="29">
        <v>400000000</v>
      </c>
    </row>
    <row r="115" spans="1:82" ht="30.75" customHeight="1">
      <c r="A115" s="12" t="s">
        <v>493</v>
      </c>
      <c r="B115" s="13">
        <v>0.114</v>
      </c>
      <c r="C115" s="12"/>
      <c r="D115" s="14">
        <v>45</v>
      </c>
      <c r="E115" s="14">
        <v>4503</v>
      </c>
      <c r="F115" s="14">
        <v>16</v>
      </c>
      <c r="G115" s="14" t="s">
        <v>637</v>
      </c>
      <c r="H115" s="14">
        <v>1000</v>
      </c>
      <c r="I115" s="14">
        <v>16.100000000000001</v>
      </c>
      <c r="J115" s="14" t="s">
        <v>638</v>
      </c>
      <c r="K115" s="14" t="s">
        <v>639</v>
      </c>
      <c r="L115" s="14" t="s">
        <v>640</v>
      </c>
      <c r="M115" s="14" t="s">
        <v>267</v>
      </c>
      <c r="N115" s="14">
        <v>0</v>
      </c>
      <c r="O115" s="16">
        <v>4503024</v>
      </c>
      <c r="P115" s="17">
        <v>2024257990016</v>
      </c>
      <c r="Q115" s="14" t="s">
        <v>641</v>
      </c>
      <c r="R115" s="18">
        <v>114</v>
      </c>
      <c r="S115" s="14" t="s">
        <v>646</v>
      </c>
      <c r="T115" s="20">
        <v>1</v>
      </c>
      <c r="U115" s="14" t="s">
        <v>109</v>
      </c>
      <c r="V115" s="14" t="s">
        <v>114</v>
      </c>
      <c r="W115" s="14" t="s">
        <v>647</v>
      </c>
      <c r="X115" s="14" t="s">
        <v>417</v>
      </c>
      <c r="Y115" s="29" t="s">
        <v>124</v>
      </c>
      <c r="Z115" s="24">
        <f>SUM(AF115:AI115)/4</f>
        <v>1</v>
      </c>
      <c r="AA115" s="20">
        <f t="shared" si="1"/>
        <v>0.5</v>
      </c>
      <c r="AB115" s="20">
        <f t="shared" si="2"/>
        <v>0.85</v>
      </c>
      <c r="AC115" s="21"/>
      <c r="AD115" s="21"/>
      <c r="AE115" s="21">
        <f t="shared" si="3"/>
        <v>0.3725</v>
      </c>
      <c r="AF115" s="20">
        <v>1</v>
      </c>
      <c r="AG115" s="20">
        <v>1</v>
      </c>
      <c r="AH115" s="20">
        <v>1</v>
      </c>
      <c r="AI115" s="20">
        <v>1</v>
      </c>
      <c r="AJ115" s="26"/>
      <c r="AK115" s="26"/>
      <c r="AL115" s="26"/>
      <c r="AM115" s="26"/>
      <c r="AN115" s="24">
        <v>0.7</v>
      </c>
      <c r="AO115" s="24">
        <v>0.7</v>
      </c>
      <c r="AP115" s="24">
        <v>0.3</v>
      </c>
      <c r="AQ115" s="24">
        <v>0.3</v>
      </c>
      <c r="AR115" s="24">
        <f t="shared" ref="AR115:AS115" si="437">(AJ115+AL115+AN115+AP115)/2</f>
        <v>0.5</v>
      </c>
      <c r="AS115" s="24">
        <f t="shared" si="437"/>
        <v>0.5</v>
      </c>
      <c r="AT115" s="24">
        <f>AS115/AR115</f>
        <v>1</v>
      </c>
      <c r="AU115" s="23" t="str">
        <f t="shared" si="434"/>
        <v>100%</v>
      </c>
      <c r="AV115" s="24">
        <f t="shared" si="7"/>
        <v>1</v>
      </c>
      <c r="AW115" s="14" t="s">
        <v>92</v>
      </c>
      <c r="AX115" s="30" t="s">
        <v>648</v>
      </c>
      <c r="AY115" s="24">
        <v>0.15</v>
      </c>
      <c r="AZ115" s="24">
        <v>0.15</v>
      </c>
      <c r="BA115" s="24">
        <v>0.3</v>
      </c>
      <c r="BB115" s="24">
        <v>0.3</v>
      </c>
      <c r="BC115" s="24">
        <v>0.4</v>
      </c>
      <c r="BD115" s="24">
        <v>0.4</v>
      </c>
      <c r="BE115" s="24">
        <v>0.15</v>
      </c>
      <c r="BF115" s="26"/>
      <c r="BG115" s="20">
        <f t="shared" ref="BG115:BH115" si="438">(AY115+BA115+BC115+BE115)</f>
        <v>1</v>
      </c>
      <c r="BH115" s="20">
        <f t="shared" si="438"/>
        <v>0.85</v>
      </c>
      <c r="BI115" s="20">
        <f t="shared" si="408"/>
        <v>0.85</v>
      </c>
      <c r="BJ115" s="23" t="str">
        <f t="shared" si="409"/>
        <v>100%</v>
      </c>
      <c r="BK115" s="24">
        <f t="shared" si="410"/>
        <v>0.85</v>
      </c>
      <c r="BL115" s="22" t="s">
        <v>92</v>
      </c>
      <c r="BM115" s="25" t="s">
        <v>648</v>
      </c>
      <c r="BN115" s="27">
        <v>2370400567</v>
      </c>
      <c r="BO115" s="27">
        <v>2334800000</v>
      </c>
      <c r="BP115" s="27">
        <v>151963036</v>
      </c>
      <c r="BQ115" s="27">
        <v>151963036</v>
      </c>
      <c r="BR115" s="27">
        <f t="shared" ref="BR115:BS115" si="439">+BN115+BP115</f>
        <v>2522363603</v>
      </c>
      <c r="BS115" s="27">
        <f t="shared" si="439"/>
        <v>2486763036</v>
      </c>
      <c r="BT115" s="20">
        <f t="shared" si="13"/>
        <v>0.98588602889858623</v>
      </c>
      <c r="BU115" s="27">
        <v>2370400567</v>
      </c>
      <c r="BV115" s="27">
        <v>2370400567</v>
      </c>
      <c r="BW115" s="27">
        <v>2335738832</v>
      </c>
      <c r="BX115" s="27">
        <v>1854800539</v>
      </c>
      <c r="BY115" s="28">
        <f t="shared" si="149"/>
        <v>0.98537726682884308</v>
      </c>
      <c r="BZ115" s="27">
        <v>2486837403</v>
      </c>
      <c r="CA115" s="20">
        <v>2600379273</v>
      </c>
      <c r="CB115" s="29">
        <v>2719382237</v>
      </c>
      <c r="CC115" s="29">
        <v>2847860468</v>
      </c>
      <c r="CD115" s="29">
        <v>10654459381</v>
      </c>
    </row>
    <row r="116" spans="1:82" ht="30.75" customHeight="1">
      <c r="A116" s="12" t="s">
        <v>493</v>
      </c>
      <c r="B116" s="13">
        <v>0.114</v>
      </c>
      <c r="C116" s="12"/>
      <c r="D116" s="14">
        <v>45</v>
      </c>
      <c r="E116" s="14">
        <v>4503</v>
      </c>
      <c r="F116" s="14">
        <v>16</v>
      </c>
      <c r="G116" s="14" t="s">
        <v>637</v>
      </c>
      <c r="H116" s="14">
        <v>1000</v>
      </c>
      <c r="I116" s="14">
        <v>16.100000000000001</v>
      </c>
      <c r="J116" s="14" t="s">
        <v>638</v>
      </c>
      <c r="K116" s="14" t="s">
        <v>639</v>
      </c>
      <c r="L116" s="14" t="s">
        <v>640</v>
      </c>
      <c r="M116" s="14" t="s">
        <v>267</v>
      </c>
      <c r="N116" s="14">
        <v>0</v>
      </c>
      <c r="O116" s="16">
        <v>4503008</v>
      </c>
      <c r="P116" s="17">
        <v>2024257990016</v>
      </c>
      <c r="Q116" s="14" t="s">
        <v>641</v>
      </c>
      <c r="R116" s="18">
        <v>115</v>
      </c>
      <c r="S116" s="14" t="s">
        <v>649</v>
      </c>
      <c r="T116" s="14" t="s">
        <v>650</v>
      </c>
      <c r="U116" s="14" t="s">
        <v>88</v>
      </c>
      <c r="V116" s="14" t="s">
        <v>89</v>
      </c>
      <c r="W116" s="14" t="s">
        <v>651</v>
      </c>
      <c r="X116" s="14" t="s">
        <v>206</v>
      </c>
      <c r="Y116" s="29"/>
      <c r="Z116" s="14">
        <f>SUM(AF116:AI116)</f>
        <v>3</v>
      </c>
      <c r="AA116" s="20">
        <f t="shared" si="1"/>
        <v>7.2333333333333338E-3</v>
      </c>
      <c r="AB116" s="20">
        <f t="shared" si="2"/>
        <v>0.10244851961889151</v>
      </c>
      <c r="AC116" s="21"/>
      <c r="AD116" s="21"/>
      <c r="AE116" s="21">
        <f t="shared" si="3"/>
        <v>3.6941981866612031E-2</v>
      </c>
      <c r="AF116" s="14">
        <v>2.1700000000000001E-2</v>
      </c>
      <c r="AG116" s="14">
        <v>0.97829999999999995</v>
      </c>
      <c r="AH116" s="14">
        <v>1</v>
      </c>
      <c r="AI116" s="14">
        <v>1</v>
      </c>
      <c r="AJ116" s="26"/>
      <c r="AK116" s="26"/>
      <c r="AL116" s="26"/>
      <c r="AM116" s="26"/>
      <c r="AN116" s="26">
        <v>1.085E-2</v>
      </c>
      <c r="AO116" s="26">
        <v>1.085E-2</v>
      </c>
      <c r="AP116" s="26">
        <v>1.085E-2</v>
      </c>
      <c r="AQ116" s="26">
        <v>1.085E-2</v>
      </c>
      <c r="AR116" s="58">
        <f t="shared" ref="AR116:AS116" si="440">(AJ116+AL116+AN116+AP116)</f>
        <v>2.1700000000000001E-2</v>
      </c>
      <c r="AS116" s="58">
        <f t="shared" si="440"/>
        <v>2.1700000000000001E-2</v>
      </c>
      <c r="AT116" s="58">
        <f>(AL116+AN116+AP116+AR116)/2</f>
        <v>2.1700000000000001E-2</v>
      </c>
      <c r="AU116" s="23" t="str">
        <f t="shared" si="434"/>
        <v>100%</v>
      </c>
      <c r="AV116" s="24">
        <f t="shared" si="7"/>
        <v>1</v>
      </c>
      <c r="AW116" s="14" t="s">
        <v>92</v>
      </c>
      <c r="AX116" s="30" t="s">
        <v>652</v>
      </c>
      <c r="AY116" s="26">
        <v>0</v>
      </c>
      <c r="AZ116" s="26">
        <v>0</v>
      </c>
      <c r="BA116" s="26">
        <v>0.1</v>
      </c>
      <c r="BB116" s="26">
        <v>0.1</v>
      </c>
      <c r="BC116" s="26">
        <v>0.3261</v>
      </c>
      <c r="BD116" s="26">
        <v>0.2</v>
      </c>
      <c r="BE116" s="26">
        <v>0.55000000000000004</v>
      </c>
      <c r="BF116" s="26"/>
      <c r="BG116" s="22">
        <f t="shared" ref="BG116:BH116" si="441">(AY116+BA116+BC116+BE116)</f>
        <v>0.97610000000000008</v>
      </c>
      <c r="BH116" s="22">
        <f t="shared" si="441"/>
        <v>0.30000000000000004</v>
      </c>
      <c r="BI116" s="22">
        <f t="shared" si="408"/>
        <v>0.30734555885667453</v>
      </c>
      <c r="BJ116" s="23" t="str">
        <f t="shared" si="409"/>
        <v>100%</v>
      </c>
      <c r="BK116" s="24">
        <f t="shared" si="410"/>
        <v>0.30734555885667453</v>
      </c>
      <c r="BL116" s="22" t="s">
        <v>92</v>
      </c>
      <c r="BM116" s="25" t="s">
        <v>653</v>
      </c>
      <c r="BN116" s="27">
        <v>756035181</v>
      </c>
      <c r="BO116" s="27">
        <v>31450000</v>
      </c>
      <c r="BP116" s="27">
        <v>10000000</v>
      </c>
      <c r="BQ116" s="27">
        <v>10000000</v>
      </c>
      <c r="BR116" s="27">
        <f t="shared" ref="BR116:BS116" si="442">+BN116+BP116</f>
        <v>766035181</v>
      </c>
      <c r="BS116" s="27">
        <f t="shared" si="442"/>
        <v>41450000</v>
      </c>
      <c r="BT116" s="20">
        <f t="shared" si="13"/>
        <v>5.4109786375464132E-2</v>
      </c>
      <c r="BU116" s="27">
        <v>303823444</v>
      </c>
      <c r="BV116" s="27">
        <v>756035181</v>
      </c>
      <c r="BW116" s="27">
        <v>730512569</v>
      </c>
      <c r="BX116" s="27">
        <v>17450000</v>
      </c>
      <c r="BY116" s="28">
        <f t="shared" si="149"/>
        <v>0.96624150219273985</v>
      </c>
      <c r="BZ116" s="27">
        <v>450000000</v>
      </c>
      <c r="CA116" s="20">
        <v>55000000</v>
      </c>
      <c r="CB116" s="29">
        <v>700000000</v>
      </c>
      <c r="CC116" s="29">
        <v>1050000000</v>
      </c>
      <c r="CD116" s="29">
        <v>2255000000</v>
      </c>
    </row>
    <row r="117" spans="1:82" ht="75" customHeight="1">
      <c r="A117" s="12" t="s">
        <v>493</v>
      </c>
      <c r="B117" s="13">
        <v>0.114</v>
      </c>
      <c r="C117" s="12"/>
      <c r="D117" s="14">
        <v>45</v>
      </c>
      <c r="E117" s="14">
        <v>4503</v>
      </c>
      <c r="F117" s="14">
        <v>16</v>
      </c>
      <c r="G117" s="14" t="s">
        <v>637</v>
      </c>
      <c r="H117" s="14">
        <v>1000</v>
      </c>
      <c r="I117" s="14">
        <v>16.100000000000001</v>
      </c>
      <c r="J117" s="14" t="s">
        <v>638</v>
      </c>
      <c r="K117" s="14" t="s">
        <v>639</v>
      </c>
      <c r="L117" s="14" t="s">
        <v>640</v>
      </c>
      <c r="M117" s="14" t="s">
        <v>267</v>
      </c>
      <c r="N117" s="14">
        <v>0</v>
      </c>
      <c r="O117" s="16">
        <v>4503004</v>
      </c>
      <c r="P117" s="17">
        <v>2024257990016</v>
      </c>
      <c r="Q117" s="14" t="s">
        <v>641</v>
      </c>
      <c r="R117" s="18">
        <v>116</v>
      </c>
      <c r="S117" s="14" t="s">
        <v>654</v>
      </c>
      <c r="T117" s="20">
        <v>0</v>
      </c>
      <c r="U117" s="14" t="s">
        <v>109</v>
      </c>
      <c r="V117" s="14" t="s">
        <v>89</v>
      </c>
      <c r="W117" s="14" t="s">
        <v>655</v>
      </c>
      <c r="X117" s="14" t="s">
        <v>417</v>
      </c>
      <c r="Y117" s="29"/>
      <c r="Z117" s="24">
        <f>SUM(AF117:AI117)/4</f>
        <v>1</v>
      </c>
      <c r="AA117" s="20">
        <f t="shared" si="1"/>
        <v>0.5</v>
      </c>
      <c r="AB117" s="20">
        <f t="shared" si="2"/>
        <v>0.85000000000000009</v>
      </c>
      <c r="AC117" s="21"/>
      <c r="AD117" s="21"/>
      <c r="AE117" s="21">
        <f t="shared" si="3"/>
        <v>0.3725</v>
      </c>
      <c r="AF117" s="20">
        <v>1</v>
      </c>
      <c r="AG117" s="20">
        <v>1</v>
      </c>
      <c r="AH117" s="20">
        <v>1</v>
      </c>
      <c r="AI117" s="20">
        <v>1</v>
      </c>
      <c r="AJ117" s="26"/>
      <c r="AK117" s="26"/>
      <c r="AL117" s="26"/>
      <c r="AM117" s="26"/>
      <c r="AN117" s="24">
        <v>0.7</v>
      </c>
      <c r="AO117" s="24">
        <v>0.7</v>
      </c>
      <c r="AP117" s="24">
        <v>0.3</v>
      </c>
      <c r="AQ117" s="24">
        <v>0.3</v>
      </c>
      <c r="AR117" s="24">
        <f t="shared" ref="AR117:AS117" si="443">(AJ117+AL117+AN117+AP117)/2</f>
        <v>0.5</v>
      </c>
      <c r="AS117" s="24">
        <f t="shared" si="443"/>
        <v>0.5</v>
      </c>
      <c r="AT117" s="24">
        <f t="shared" ref="AT117:AT118" si="444">AS117/AR117</f>
        <v>1</v>
      </c>
      <c r="AU117" s="23" t="str">
        <f t="shared" si="434"/>
        <v>100%</v>
      </c>
      <c r="AV117" s="24">
        <f t="shared" si="7"/>
        <v>1</v>
      </c>
      <c r="AW117" s="14" t="s">
        <v>92</v>
      </c>
      <c r="AX117" s="30" t="s">
        <v>656</v>
      </c>
      <c r="AY117" s="26">
        <v>0</v>
      </c>
      <c r="AZ117" s="26">
        <v>0</v>
      </c>
      <c r="BA117" s="24">
        <v>0.45</v>
      </c>
      <c r="BB117" s="24">
        <v>0.45</v>
      </c>
      <c r="BC117" s="24">
        <v>0.4</v>
      </c>
      <c r="BD117" s="24">
        <v>0.4</v>
      </c>
      <c r="BE117" s="24">
        <v>0.15</v>
      </c>
      <c r="BF117" s="26"/>
      <c r="BG117" s="24">
        <f t="shared" ref="BG117:BH117" si="445">(AY117+BA117+BC117+BE117)</f>
        <v>1</v>
      </c>
      <c r="BH117" s="24">
        <f t="shared" si="445"/>
        <v>0.85000000000000009</v>
      </c>
      <c r="BI117" s="24">
        <f t="shared" si="408"/>
        <v>0.85000000000000009</v>
      </c>
      <c r="BJ117" s="23" t="str">
        <f t="shared" si="409"/>
        <v>100%</v>
      </c>
      <c r="BK117" s="24">
        <f t="shared" si="410"/>
        <v>0.85000000000000009</v>
      </c>
      <c r="BL117" s="22" t="s">
        <v>92</v>
      </c>
      <c r="BM117" s="25" t="s">
        <v>656</v>
      </c>
      <c r="BN117" s="27">
        <v>292000000</v>
      </c>
      <c r="BO117" s="27">
        <v>112000000</v>
      </c>
      <c r="BP117" s="27">
        <v>100928283</v>
      </c>
      <c r="BQ117" s="27">
        <v>100928283</v>
      </c>
      <c r="BR117" s="27">
        <f t="shared" ref="BR117:BS117" si="446">+BN117+BP117</f>
        <v>392928283</v>
      </c>
      <c r="BS117" s="27">
        <f t="shared" si="446"/>
        <v>212928283</v>
      </c>
      <c r="BT117" s="20">
        <f t="shared" si="13"/>
        <v>0.54190113619283542</v>
      </c>
      <c r="BU117" s="27">
        <v>292000000</v>
      </c>
      <c r="BV117" s="27">
        <v>292000000</v>
      </c>
      <c r="BW117" s="27">
        <v>280000000</v>
      </c>
      <c r="BX117" s="27">
        <v>109350420</v>
      </c>
      <c r="BY117" s="28">
        <f t="shared" si="149"/>
        <v>0.95890410958904104</v>
      </c>
      <c r="BZ117" s="27">
        <v>300000000</v>
      </c>
      <c r="CA117" s="20">
        <v>333250000</v>
      </c>
      <c r="CB117" s="29">
        <v>496290000</v>
      </c>
      <c r="CC117" s="29">
        <v>646909219</v>
      </c>
      <c r="CD117" s="29">
        <v>1776449219</v>
      </c>
    </row>
    <row r="118" spans="1:82" ht="36" customHeight="1">
      <c r="A118" s="12" t="s">
        <v>657</v>
      </c>
      <c r="B118" s="13">
        <v>0.113</v>
      </c>
      <c r="C118" s="12"/>
      <c r="D118" s="14">
        <v>35</v>
      </c>
      <c r="E118" s="14">
        <v>3502</v>
      </c>
      <c r="F118" s="14">
        <v>17</v>
      </c>
      <c r="G118" s="14" t="s">
        <v>658</v>
      </c>
      <c r="H118" s="14">
        <v>200</v>
      </c>
      <c r="I118" s="14">
        <v>17.100000000000001</v>
      </c>
      <c r="J118" s="14" t="s">
        <v>659</v>
      </c>
      <c r="K118" s="14" t="s">
        <v>660</v>
      </c>
      <c r="L118" s="14" t="s">
        <v>661</v>
      </c>
      <c r="M118" s="14" t="s">
        <v>662</v>
      </c>
      <c r="N118" s="14">
        <v>0</v>
      </c>
      <c r="O118" s="16">
        <v>3502048</v>
      </c>
      <c r="P118" s="17">
        <v>2024257990017</v>
      </c>
      <c r="Q118" s="14" t="s">
        <v>663</v>
      </c>
      <c r="R118" s="18">
        <v>117</v>
      </c>
      <c r="S118" s="14" t="s">
        <v>664</v>
      </c>
      <c r="T118" s="14">
        <v>1</v>
      </c>
      <c r="U118" s="14" t="s">
        <v>88</v>
      </c>
      <c r="V118" s="14" t="s">
        <v>89</v>
      </c>
      <c r="W118" s="14" t="s">
        <v>665</v>
      </c>
      <c r="X118" s="14" t="s">
        <v>666</v>
      </c>
      <c r="Y118" s="19"/>
      <c r="Z118" s="18">
        <f t="shared" ref="Z118:Z122" si="447">SUM(AF118:AI118)</f>
        <v>0.99999999999999989</v>
      </c>
      <c r="AA118" s="20">
        <f t="shared" si="1"/>
        <v>5.000000000000001E-2</v>
      </c>
      <c r="AB118" s="20">
        <f t="shared" si="2"/>
        <v>0.71428571428571441</v>
      </c>
      <c r="AC118" s="21"/>
      <c r="AD118" s="21"/>
      <c r="AE118" s="21">
        <f t="shared" si="3"/>
        <v>0.25750000000000006</v>
      </c>
      <c r="AF118" s="33">
        <v>0.2</v>
      </c>
      <c r="AG118" s="22">
        <v>0.7</v>
      </c>
      <c r="AH118" s="33">
        <v>0.1</v>
      </c>
      <c r="AI118" s="33">
        <v>0</v>
      </c>
      <c r="AJ118" s="26"/>
      <c r="AK118" s="26"/>
      <c r="AL118" s="26"/>
      <c r="AM118" s="26"/>
      <c r="AN118" s="26">
        <v>0.1</v>
      </c>
      <c r="AO118" s="26">
        <v>0.03</v>
      </c>
      <c r="AP118" s="26">
        <v>0.1</v>
      </c>
      <c r="AQ118" s="26">
        <v>0.02</v>
      </c>
      <c r="AR118" s="22">
        <f t="shared" ref="AR118:AS118" si="448">(AJ118+AL118+AN118+AP118)</f>
        <v>0.2</v>
      </c>
      <c r="AS118" s="22">
        <f t="shared" si="448"/>
        <v>0.05</v>
      </c>
      <c r="AT118" s="22">
        <f t="shared" si="444"/>
        <v>0.25</v>
      </c>
      <c r="AU118" s="23" t="str">
        <f t="shared" si="434"/>
        <v>100%</v>
      </c>
      <c r="AV118" s="24">
        <f t="shared" si="7"/>
        <v>0.25</v>
      </c>
      <c r="AW118" s="14" t="s">
        <v>92</v>
      </c>
      <c r="AX118" s="30" t="s">
        <v>667</v>
      </c>
      <c r="AY118" s="46">
        <v>0.1</v>
      </c>
      <c r="AZ118" s="46">
        <v>0.1</v>
      </c>
      <c r="BA118" s="46">
        <v>0.2</v>
      </c>
      <c r="BB118" s="46">
        <v>0.2</v>
      </c>
      <c r="BC118" s="46">
        <v>0.2</v>
      </c>
      <c r="BD118" s="46">
        <v>0.2</v>
      </c>
      <c r="BE118" s="46">
        <v>0.2</v>
      </c>
      <c r="BF118" s="22"/>
      <c r="BG118" s="22">
        <f t="shared" ref="BG118:BH118" si="449">(AY118+BA118+BC118+BE118)</f>
        <v>0.7</v>
      </c>
      <c r="BH118" s="22">
        <f t="shared" si="449"/>
        <v>0.5</v>
      </c>
      <c r="BI118" s="22">
        <f t="shared" si="408"/>
        <v>0.7142857142857143</v>
      </c>
      <c r="BJ118" s="23" t="str">
        <f t="shared" si="409"/>
        <v>100%</v>
      </c>
      <c r="BK118" s="24">
        <f t="shared" si="410"/>
        <v>0.7142857142857143</v>
      </c>
      <c r="BL118" s="22" t="s">
        <v>92</v>
      </c>
      <c r="BM118" s="25" t="s">
        <v>667</v>
      </c>
      <c r="BN118" s="27">
        <v>70000000</v>
      </c>
      <c r="BO118" s="27">
        <v>30000000</v>
      </c>
      <c r="BP118" s="27">
        <v>39287200</v>
      </c>
      <c r="BQ118" s="27">
        <v>39287200</v>
      </c>
      <c r="BR118" s="27">
        <f t="shared" ref="BR118:BS118" si="450">+BN118+BP118</f>
        <v>109287200</v>
      </c>
      <c r="BS118" s="27">
        <f t="shared" si="450"/>
        <v>69287200</v>
      </c>
      <c r="BT118" s="20">
        <f t="shared" si="13"/>
        <v>0.63399190390091431</v>
      </c>
      <c r="BU118" s="27">
        <v>70000000</v>
      </c>
      <c r="BV118" s="27">
        <v>70000000</v>
      </c>
      <c r="BW118" s="27">
        <v>70000000</v>
      </c>
      <c r="BX118" s="27">
        <v>70000000</v>
      </c>
      <c r="BY118" s="28">
        <f t="shared" si="149"/>
        <v>1</v>
      </c>
      <c r="BZ118" s="27">
        <v>0</v>
      </c>
      <c r="CA118" s="20">
        <v>80000000</v>
      </c>
      <c r="CB118" s="29">
        <v>84000000</v>
      </c>
      <c r="CC118" s="29">
        <v>88200000</v>
      </c>
      <c r="CD118" s="29">
        <v>252200000</v>
      </c>
    </row>
    <row r="119" spans="1:82" ht="39.75" customHeight="1">
      <c r="A119" s="12" t="s">
        <v>657</v>
      </c>
      <c r="B119" s="13">
        <v>0.113</v>
      </c>
      <c r="C119" s="12"/>
      <c r="D119" s="14">
        <v>35</v>
      </c>
      <c r="E119" s="14">
        <v>3502</v>
      </c>
      <c r="F119" s="14">
        <v>17</v>
      </c>
      <c r="G119" s="14" t="s">
        <v>658</v>
      </c>
      <c r="H119" s="14">
        <v>200</v>
      </c>
      <c r="I119" s="14">
        <v>17.100000000000001</v>
      </c>
      <c r="J119" s="14" t="s">
        <v>659</v>
      </c>
      <c r="K119" s="14" t="s">
        <v>660</v>
      </c>
      <c r="L119" s="14" t="s">
        <v>661</v>
      </c>
      <c r="M119" s="14" t="s">
        <v>662</v>
      </c>
      <c r="N119" s="14">
        <v>0</v>
      </c>
      <c r="O119" s="16">
        <v>3502046</v>
      </c>
      <c r="P119" s="17">
        <v>2024257990017</v>
      </c>
      <c r="Q119" s="14" t="s">
        <v>663</v>
      </c>
      <c r="R119" s="18">
        <v>118</v>
      </c>
      <c r="S119" s="14" t="s">
        <v>668</v>
      </c>
      <c r="T119" s="14">
        <v>0</v>
      </c>
      <c r="U119" s="14" t="s">
        <v>88</v>
      </c>
      <c r="V119" s="14" t="s">
        <v>89</v>
      </c>
      <c r="W119" s="14" t="s">
        <v>669</v>
      </c>
      <c r="X119" s="14" t="s">
        <v>666</v>
      </c>
      <c r="Y119" s="19"/>
      <c r="Z119" s="18">
        <f t="shared" si="447"/>
        <v>1</v>
      </c>
      <c r="AA119" s="20">
        <f t="shared" si="1"/>
        <v>0</v>
      </c>
      <c r="AB119" s="20">
        <f t="shared" si="2"/>
        <v>0.83333333333333337</v>
      </c>
      <c r="AC119" s="21"/>
      <c r="AD119" s="21"/>
      <c r="AE119" s="21">
        <f t="shared" si="3"/>
        <v>0.29166666666666669</v>
      </c>
      <c r="AF119" s="22">
        <v>0</v>
      </c>
      <c r="AG119" s="22">
        <v>0.3</v>
      </c>
      <c r="AH119" s="22">
        <v>0.5</v>
      </c>
      <c r="AI119" s="22">
        <v>0.2</v>
      </c>
      <c r="AJ119" s="26"/>
      <c r="AK119" s="26"/>
      <c r="AL119" s="26"/>
      <c r="AM119" s="26"/>
      <c r="AN119" s="34">
        <v>0</v>
      </c>
      <c r="AO119" s="34">
        <v>0</v>
      </c>
      <c r="AP119" s="34">
        <v>0</v>
      </c>
      <c r="AQ119" s="34">
        <v>0</v>
      </c>
      <c r="AR119" s="34">
        <v>0</v>
      </c>
      <c r="AS119" s="34">
        <f t="shared" ref="AS119:AS121" si="451">(AK119+AM119+AO119+AQ119)/2</f>
        <v>0</v>
      </c>
      <c r="AT119" s="24">
        <f t="shared" ref="AT119:AT120" si="452">IF(AQ119=0, 0, AR119/AQ119)</f>
        <v>0</v>
      </c>
      <c r="AU119" s="23" t="str">
        <f t="shared" ref="AU119:AU120" si="453">IF(AR119&gt; 1, IF(AR119 = AS119, "100%", AR119 &amp; "%"), IF(AR119 &lt;= 0.01, "0%", AR119 * 100 &amp; "%"))</f>
        <v>0%</v>
      </c>
      <c r="AV119" s="24">
        <f t="shared" si="7"/>
        <v>0</v>
      </c>
      <c r="AW119" s="26" t="s">
        <v>192</v>
      </c>
      <c r="AX119" s="26"/>
      <c r="AY119" s="26">
        <v>0</v>
      </c>
      <c r="AZ119" s="26">
        <v>0</v>
      </c>
      <c r="BA119" s="46">
        <v>0.1</v>
      </c>
      <c r="BB119" s="46">
        <v>0.1</v>
      </c>
      <c r="BC119" s="46">
        <v>0.15</v>
      </c>
      <c r="BD119" s="46">
        <v>0.15</v>
      </c>
      <c r="BE119" s="46">
        <v>0.05</v>
      </c>
      <c r="BF119" s="26"/>
      <c r="BG119" s="22">
        <f t="shared" ref="BG119:BH119" si="454">(AY119+BA119+BC119+BE119)</f>
        <v>0.3</v>
      </c>
      <c r="BH119" s="22">
        <f t="shared" si="454"/>
        <v>0.25</v>
      </c>
      <c r="BI119" s="22">
        <f t="shared" si="408"/>
        <v>0.83333333333333337</v>
      </c>
      <c r="BJ119" s="23" t="str">
        <f t="shared" si="409"/>
        <v>100%</v>
      </c>
      <c r="BK119" s="24">
        <f t="shared" si="410"/>
        <v>0.83333333333333337</v>
      </c>
      <c r="BL119" s="22" t="s">
        <v>92</v>
      </c>
      <c r="BM119" s="25" t="s">
        <v>670</v>
      </c>
      <c r="BN119" s="27">
        <v>60000000</v>
      </c>
      <c r="BO119" s="27">
        <v>20000000</v>
      </c>
      <c r="BP119" s="27">
        <v>0</v>
      </c>
      <c r="BQ119" s="27">
        <v>0</v>
      </c>
      <c r="BR119" s="27">
        <f t="shared" ref="BR119:BS119" si="455">+BN119+BP119</f>
        <v>60000000</v>
      </c>
      <c r="BS119" s="27">
        <f t="shared" si="455"/>
        <v>20000000</v>
      </c>
      <c r="BT119" s="20">
        <f t="shared" si="13"/>
        <v>0.33333333333333331</v>
      </c>
      <c r="BU119" s="27">
        <v>60000000</v>
      </c>
      <c r="BV119" s="27">
        <v>60000000</v>
      </c>
      <c r="BW119" s="27">
        <v>60000000</v>
      </c>
      <c r="BX119" s="27">
        <v>60000000</v>
      </c>
      <c r="BY119" s="28">
        <f t="shared" si="149"/>
        <v>1</v>
      </c>
      <c r="BZ119" s="27">
        <v>100000000</v>
      </c>
      <c r="CA119" s="20">
        <v>80000000</v>
      </c>
      <c r="CB119" s="29">
        <v>81600000</v>
      </c>
      <c r="CC119" s="29">
        <v>84048000</v>
      </c>
      <c r="CD119" s="29">
        <v>345648000</v>
      </c>
    </row>
    <row r="120" spans="1:82" ht="39.75" customHeight="1">
      <c r="A120" s="12" t="s">
        <v>657</v>
      </c>
      <c r="B120" s="13">
        <v>0.113</v>
      </c>
      <c r="C120" s="12"/>
      <c r="D120" s="14">
        <v>35</v>
      </c>
      <c r="E120" s="14">
        <v>3502</v>
      </c>
      <c r="F120" s="14">
        <v>17</v>
      </c>
      <c r="G120" s="14" t="s">
        <v>658</v>
      </c>
      <c r="H120" s="14">
        <v>200</v>
      </c>
      <c r="I120" s="14">
        <v>17.100000000000001</v>
      </c>
      <c r="J120" s="14" t="s">
        <v>659</v>
      </c>
      <c r="K120" s="14" t="s">
        <v>660</v>
      </c>
      <c r="L120" s="14" t="s">
        <v>661</v>
      </c>
      <c r="M120" s="14" t="s">
        <v>662</v>
      </c>
      <c r="N120" s="14">
        <v>0</v>
      </c>
      <c r="O120" s="16">
        <v>3502045</v>
      </c>
      <c r="P120" s="17">
        <v>2024257990017</v>
      </c>
      <c r="Q120" s="14" t="s">
        <v>663</v>
      </c>
      <c r="R120" s="18">
        <v>119</v>
      </c>
      <c r="S120" s="14" t="s">
        <v>671</v>
      </c>
      <c r="T120" s="14">
        <v>0</v>
      </c>
      <c r="U120" s="14" t="s">
        <v>88</v>
      </c>
      <c r="V120" s="14" t="s">
        <v>89</v>
      </c>
      <c r="W120" s="14" t="s">
        <v>672</v>
      </c>
      <c r="X120" s="14" t="s">
        <v>666</v>
      </c>
      <c r="Y120" s="19"/>
      <c r="Z120" s="18">
        <f t="shared" si="447"/>
        <v>1</v>
      </c>
      <c r="AA120" s="20">
        <f t="shared" si="1"/>
        <v>0</v>
      </c>
      <c r="AB120" s="20">
        <f t="shared" si="2"/>
        <v>0.83333333333333337</v>
      </c>
      <c r="AC120" s="21"/>
      <c r="AD120" s="21"/>
      <c r="AE120" s="21">
        <f t="shared" si="3"/>
        <v>0.29166666666666669</v>
      </c>
      <c r="AF120" s="22">
        <v>0</v>
      </c>
      <c r="AG120" s="33">
        <v>0.3</v>
      </c>
      <c r="AH120" s="22">
        <v>0.4</v>
      </c>
      <c r="AI120" s="22">
        <v>0.3</v>
      </c>
      <c r="AJ120" s="26"/>
      <c r="AK120" s="26"/>
      <c r="AL120" s="26"/>
      <c r="AM120" s="26"/>
      <c r="AN120" s="34">
        <v>0</v>
      </c>
      <c r="AO120" s="34">
        <v>0</v>
      </c>
      <c r="AP120" s="34">
        <v>0</v>
      </c>
      <c r="AQ120" s="34">
        <v>0</v>
      </c>
      <c r="AR120" s="34">
        <v>0</v>
      </c>
      <c r="AS120" s="34">
        <f t="shared" si="451"/>
        <v>0</v>
      </c>
      <c r="AT120" s="24">
        <f t="shared" si="452"/>
        <v>0</v>
      </c>
      <c r="AU120" s="23" t="str">
        <f t="shared" si="453"/>
        <v>0%</v>
      </c>
      <c r="AV120" s="24">
        <f t="shared" si="7"/>
        <v>0</v>
      </c>
      <c r="AW120" s="26" t="s">
        <v>192</v>
      </c>
      <c r="AX120" s="26"/>
      <c r="AY120" s="14">
        <v>0.05</v>
      </c>
      <c r="AZ120" s="14">
        <v>0.05</v>
      </c>
      <c r="BA120" s="14">
        <v>0.1</v>
      </c>
      <c r="BB120" s="14">
        <v>0.1</v>
      </c>
      <c r="BC120" s="14">
        <v>0.1</v>
      </c>
      <c r="BD120" s="14">
        <v>0.1</v>
      </c>
      <c r="BE120" s="14">
        <v>0.05</v>
      </c>
      <c r="BF120" s="26"/>
      <c r="BG120" s="22">
        <f t="shared" ref="BG120:BH120" si="456">(AY120+BA120+BC120+BE120)</f>
        <v>0.3</v>
      </c>
      <c r="BH120" s="22">
        <f t="shared" si="456"/>
        <v>0.25</v>
      </c>
      <c r="BI120" s="22">
        <f t="shared" si="408"/>
        <v>0.83333333333333337</v>
      </c>
      <c r="BJ120" s="23" t="str">
        <f t="shared" si="409"/>
        <v>100%</v>
      </c>
      <c r="BK120" s="24">
        <f t="shared" si="410"/>
        <v>0.83333333333333337</v>
      </c>
      <c r="BL120" s="22" t="s">
        <v>92</v>
      </c>
      <c r="BM120" s="25" t="s">
        <v>673</v>
      </c>
      <c r="BN120" s="27">
        <v>40000000</v>
      </c>
      <c r="BO120" s="27">
        <v>12000000</v>
      </c>
      <c r="BP120" s="27">
        <v>0</v>
      </c>
      <c r="BQ120" s="27">
        <v>0</v>
      </c>
      <c r="BR120" s="27">
        <f t="shared" ref="BR120:BS120" si="457">+BN120+BP120</f>
        <v>40000000</v>
      </c>
      <c r="BS120" s="27">
        <f t="shared" si="457"/>
        <v>12000000</v>
      </c>
      <c r="BT120" s="20">
        <f t="shared" si="13"/>
        <v>0.3</v>
      </c>
      <c r="BU120" s="27">
        <v>40000000</v>
      </c>
      <c r="BV120" s="27">
        <v>40000000</v>
      </c>
      <c r="BW120" s="27">
        <v>32000000</v>
      </c>
      <c r="BX120" s="27">
        <v>32000000</v>
      </c>
      <c r="BY120" s="28">
        <f t="shared" si="149"/>
        <v>0.8</v>
      </c>
      <c r="BZ120" s="27">
        <v>80000000</v>
      </c>
      <c r="CA120" s="20">
        <v>81600000</v>
      </c>
      <c r="CB120" s="29">
        <v>83232000</v>
      </c>
      <c r="CC120" s="29">
        <v>85728960</v>
      </c>
      <c r="CD120" s="29">
        <v>330560960</v>
      </c>
    </row>
    <row r="121" spans="1:82" ht="39.75" customHeight="1">
      <c r="A121" s="12" t="s">
        <v>657</v>
      </c>
      <c r="B121" s="13">
        <v>0.113</v>
      </c>
      <c r="C121" s="12"/>
      <c r="D121" s="14">
        <v>35</v>
      </c>
      <c r="E121" s="14">
        <v>3502</v>
      </c>
      <c r="F121" s="14">
        <v>17</v>
      </c>
      <c r="G121" s="14" t="s">
        <v>658</v>
      </c>
      <c r="H121" s="14">
        <v>200</v>
      </c>
      <c r="I121" s="14">
        <v>17.100000000000001</v>
      </c>
      <c r="J121" s="14" t="s">
        <v>659</v>
      </c>
      <c r="K121" s="14" t="s">
        <v>660</v>
      </c>
      <c r="L121" s="14" t="s">
        <v>661</v>
      </c>
      <c r="M121" s="14" t="s">
        <v>662</v>
      </c>
      <c r="N121" s="14">
        <v>0</v>
      </c>
      <c r="O121" s="16">
        <v>3502012</v>
      </c>
      <c r="P121" s="17">
        <v>2024257990017</v>
      </c>
      <c r="Q121" s="14" t="s">
        <v>663</v>
      </c>
      <c r="R121" s="18">
        <v>120</v>
      </c>
      <c r="S121" s="14" t="s">
        <v>674</v>
      </c>
      <c r="T121" s="14">
        <v>1</v>
      </c>
      <c r="U121" s="14" t="s">
        <v>88</v>
      </c>
      <c r="V121" s="14" t="s">
        <v>89</v>
      </c>
      <c r="W121" s="14" t="s">
        <v>675</v>
      </c>
      <c r="X121" s="14" t="s">
        <v>666</v>
      </c>
      <c r="Y121" s="19"/>
      <c r="Z121" s="18">
        <f t="shared" si="447"/>
        <v>3</v>
      </c>
      <c r="AA121" s="20">
        <f t="shared" si="1"/>
        <v>0.33333333333333331</v>
      </c>
      <c r="AB121" s="20">
        <f t="shared" si="2"/>
        <v>0.26666666666666666</v>
      </c>
      <c r="AC121" s="21"/>
      <c r="AD121" s="21"/>
      <c r="AE121" s="21">
        <f t="shared" si="3"/>
        <v>0.14333333333333331</v>
      </c>
      <c r="AF121" s="29">
        <v>1</v>
      </c>
      <c r="AG121" s="29">
        <v>1</v>
      </c>
      <c r="AH121" s="29">
        <v>1</v>
      </c>
      <c r="AI121" s="22">
        <v>0</v>
      </c>
      <c r="AJ121" s="26"/>
      <c r="AK121" s="26"/>
      <c r="AL121" s="26"/>
      <c r="AM121" s="26"/>
      <c r="AN121" s="26">
        <v>1</v>
      </c>
      <c r="AO121" s="26">
        <v>1</v>
      </c>
      <c r="AP121" s="26">
        <v>1</v>
      </c>
      <c r="AQ121" s="26">
        <v>1</v>
      </c>
      <c r="AR121" s="22">
        <v>1</v>
      </c>
      <c r="AS121" s="22">
        <f t="shared" si="451"/>
        <v>1</v>
      </c>
      <c r="AT121" s="22">
        <f t="shared" ref="AT121:AT134" si="458">AS121/AR121</f>
        <v>1</v>
      </c>
      <c r="AU121" s="23" t="str">
        <f t="shared" ref="AU121:AU135" si="459">MIN((AR121 /AR121) * 100, 100) &amp; "%"</f>
        <v>100%</v>
      </c>
      <c r="AV121" s="24">
        <f t="shared" si="7"/>
        <v>1</v>
      </c>
      <c r="AW121" s="14" t="s">
        <v>92</v>
      </c>
      <c r="AX121" s="30" t="s">
        <v>676</v>
      </c>
      <c r="AY121" s="26">
        <v>0</v>
      </c>
      <c r="AZ121" s="26">
        <v>0</v>
      </c>
      <c r="BA121" s="46">
        <v>0.3</v>
      </c>
      <c r="BB121" s="46">
        <v>0.3</v>
      </c>
      <c r="BC121" s="46">
        <v>0.5</v>
      </c>
      <c r="BD121" s="46">
        <v>0.5</v>
      </c>
      <c r="BE121" s="46">
        <v>0.2</v>
      </c>
      <c r="BF121" s="26"/>
      <c r="BG121" s="22">
        <f t="shared" ref="BG121:BH121" si="460">(AY121+BA121+BC121+BE121)</f>
        <v>1</v>
      </c>
      <c r="BH121" s="22">
        <f t="shared" si="460"/>
        <v>0.8</v>
      </c>
      <c r="BI121" s="22">
        <f t="shared" si="408"/>
        <v>0.8</v>
      </c>
      <c r="BJ121" s="23" t="str">
        <f t="shared" si="409"/>
        <v>100%</v>
      </c>
      <c r="BK121" s="24">
        <f t="shared" si="410"/>
        <v>0.8</v>
      </c>
      <c r="BL121" s="22" t="s">
        <v>92</v>
      </c>
      <c r="BM121" s="25" t="s">
        <v>676</v>
      </c>
      <c r="BN121" s="27">
        <v>120000000</v>
      </c>
      <c r="BO121" s="27">
        <v>40000000</v>
      </c>
      <c r="BP121" s="27">
        <v>80000000</v>
      </c>
      <c r="BQ121" s="27">
        <v>80000000</v>
      </c>
      <c r="BR121" s="27">
        <f t="shared" ref="BR121:BS121" si="461">+BN121+BP121</f>
        <v>200000000</v>
      </c>
      <c r="BS121" s="27">
        <f t="shared" si="461"/>
        <v>120000000</v>
      </c>
      <c r="BT121" s="20">
        <f t="shared" si="13"/>
        <v>0.6</v>
      </c>
      <c r="BU121" s="27">
        <v>120000000</v>
      </c>
      <c r="BV121" s="27">
        <v>120000000</v>
      </c>
      <c r="BW121" s="27">
        <v>90000000</v>
      </c>
      <c r="BX121" s="27">
        <v>90000000</v>
      </c>
      <c r="BY121" s="28">
        <f t="shared" si="149"/>
        <v>0.75</v>
      </c>
      <c r="BZ121" s="27">
        <v>120000000</v>
      </c>
      <c r="CA121" s="20">
        <v>122400000</v>
      </c>
      <c r="CB121" s="29">
        <v>124848000</v>
      </c>
      <c r="CC121" s="29">
        <v>128593440</v>
      </c>
      <c r="CD121" s="29">
        <v>495841440</v>
      </c>
    </row>
    <row r="122" spans="1:82" ht="39.75" customHeight="1">
      <c r="A122" s="12" t="s">
        <v>657</v>
      </c>
      <c r="B122" s="13">
        <v>0.113</v>
      </c>
      <c r="C122" s="12"/>
      <c r="D122" s="14">
        <v>35</v>
      </c>
      <c r="E122" s="14">
        <v>3502</v>
      </c>
      <c r="F122" s="14">
        <v>17</v>
      </c>
      <c r="G122" s="14" t="s">
        <v>658</v>
      </c>
      <c r="H122" s="14">
        <v>200</v>
      </c>
      <c r="I122" s="14">
        <v>17.100000000000001</v>
      </c>
      <c r="J122" s="14" t="s">
        <v>659</v>
      </c>
      <c r="K122" s="14" t="s">
        <v>660</v>
      </c>
      <c r="L122" s="14" t="s">
        <v>661</v>
      </c>
      <c r="M122" s="14" t="s">
        <v>662</v>
      </c>
      <c r="N122" s="14">
        <v>0</v>
      </c>
      <c r="O122" s="16">
        <v>3502046</v>
      </c>
      <c r="P122" s="17">
        <v>2024257990017</v>
      </c>
      <c r="Q122" s="14" t="s">
        <v>663</v>
      </c>
      <c r="R122" s="18">
        <v>121</v>
      </c>
      <c r="S122" s="14" t="s">
        <v>677</v>
      </c>
      <c r="T122" s="14">
        <v>0</v>
      </c>
      <c r="U122" s="14" t="s">
        <v>88</v>
      </c>
      <c r="V122" s="14" t="s">
        <v>89</v>
      </c>
      <c r="W122" s="14" t="s">
        <v>678</v>
      </c>
      <c r="X122" s="14" t="s">
        <v>666</v>
      </c>
      <c r="Y122" s="19"/>
      <c r="Z122" s="18">
        <f t="shared" si="447"/>
        <v>1</v>
      </c>
      <c r="AA122" s="20">
        <f t="shared" si="1"/>
        <v>0.25</v>
      </c>
      <c r="AB122" s="20">
        <f t="shared" si="2"/>
        <v>0.9</v>
      </c>
      <c r="AC122" s="21"/>
      <c r="AD122" s="21"/>
      <c r="AE122" s="21">
        <f t="shared" si="3"/>
        <v>0.35249999999999998</v>
      </c>
      <c r="AF122" s="22">
        <v>0.3</v>
      </c>
      <c r="AG122" s="22">
        <v>0.5</v>
      </c>
      <c r="AH122" s="22">
        <v>0.1</v>
      </c>
      <c r="AI122" s="22">
        <v>0.1</v>
      </c>
      <c r="AJ122" s="26"/>
      <c r="AK122" s="26"/>
      <c r="AL122" s="26"/>
      <c r="AM122" s="26"/>
      <c r="AN122" s="26">
        <v>0.05</v>
      </c>
      <c r="AO122" s="26">
        <v>0.05</v>
      </c>
      <c r="AP122" s="26">
        <v>0.25</v>
      </c>
      <c r="AQ122" s="26">
        <v>0.2</v>
      </c>
      <c r="AR122" s="22">
        <f t="shared" ref="AR122:AS122" si="462">(AJ122+AL122+AN122+AP122)</f>
        <v>0.3</v>
      </c>
      <c r="AS122" s="22">
        <f t="shared" si="462"/>
        <v>0.25</v>
      </c>
      <c r="AT122" s="22">
        <f t="shared" si="458"/>
        <v>0.83333333333333337</v>
      </c>
      <c r="AU122" s="23" t="str">
        <f t="shared" si="459"/>
        <v>100%</v>
      </c>
      <c r="AV122" s="24">
        <f t="shared" si="7"/>
        <v>0.83333333333333337</v>
      </c>
      <c r="AW122" s="14" t="s">
        <v>92</v>
      </c>
      <c r="AX122" s="30" t="s">
        <v>679</v>
      </c>
      <c r="AY122" s="14">
        <v>0.2</v>
      </c>
      <c r="AZ122" s="14">
        <v>0.2</v>
      </c>
      <c r="BA122" s="14">
        <v>0.2</v>
      </c>
      <c r="BB122" s="14">
        <v>0.2</v>
      </c>
      <c r="BC122" s="14">
        <v>0.05</v>
      </c>
      <c r="BD122" s="14">
        <v>0.05</v>
      </c>
      <c r="BE122" s="14">
        <v>0.05</v>
      </c>
      <c r="BF122" s="26"/>
      <c r="BG122" s="22">
        <f t="shared" ref="BG122:BH122" si="463">(AY122+BA122+BC122+BE122)</f>
        <v>0.5</v>
      </c>
      <c r="BH122" s="22">
        <f t="shared" si="463"/>
        <v>0.45</v>
      </c>
      <c r="BI122" s="22">
        <f t="shared" si="408"/>
        <v>0.9</v>
      </c>
      <c r="BJ122" s="23" t="str">
        <f t="shared" si="409"/>
        <v>100%</v>
      </c>
      <c r="BK122" s="24">
        <f t="shared" si="410"/>
        <v>0.9</v>
      </c>
      <c r="BL122" s="22" t="s">
        <v>92</v>
      </c>
      <c r="BM122" s="25" t="s">
        <v>679</v>
      </c>
      <c r="BN122" s="27">
        <v>70000000</v>
      </c>
      <c r="BO122" s="27">
        <v>30000000</v>
      </c>
      <c r="BP122" s="27">
        <v>160000000</v>
      </c>
      <c r="BQ122" s="27">
        <v>160000000</v>
      </c>
      <c r="BR122" s="27">
        <f t="shared" ref="BR122:BS122" si="464">+BN122+BP122</f>
        <v>230000000</v>
      </c>
      <c r="BS122" s="27">
        <f t="shared" si="464"/>
        <v>190000000</v>
      </c>
      <c r="BT122" s="20">
        <f t="shared" si="13"/>
        <v>0.82608695652173914</v>
      </c>
      <c r="BU122" s="27">
        <v>70000000</v>
      </c>
      <c r="BV122" s="27">
        <v>70000000</v>
      </c>
      <c r="BW122" s="27">
        <v>60000000</v>
      </c>
      <c r="BX122" s="27">
        <v>60000000</v>
      </c>
      <c r="BY122" s="28">
        <f t="shared" si="149"/>
        <v>0.8571428571428571</v>
      </c>
      <c r="BZ122" s="27">
        <v>40000000</v>
      </c>
      <c r="CA122" s="20">
        <v>40800000</v>
      </c>
      <c r="CB122" s="29">
        <v>41616000</v>
      </c>
      <c r="CC122" s="29">
        <v>42864480</v>
      </c>
      <c r="CD122" s="29">
        <v>165280480</v>
      </c>
    </row>
    <row r="123" spans="1:82" ht="39.75" customHeight="1">
      <c r="A123" s="12" t="s">
        <v>657</v>
      </c>
      <c r="B123" s="13">
        <v>0.113</v>
      </c>
      <c r="C123" s="12"/>
      <c r="D123" s="14">
        <v>35</v>
      </c>
      <c r="E123" s="14">
        <v>3502</v>
      </c>
      <c r="F123" s="14">
        <v>17</v>
      </c>
      <c r="G123" s="14" t="s">
        <v>658</v>
      </c>
      <c r="H123" s="14">
        <v>200</v>
      </c>
      <c r="I123" s="14">
        <v>17.100000000000001</v>
      </c>
      <c r="J123" s="14" t="s">
        <v>659</v>
      </c>
      <c r="K123" s="14" t="s">
        <v>660</v>
      </c>
      <c r="L123" s="14" t="s">
        <v>661</v>
      </c>
      <c r="M123" s="14" t="s">
        <v>662</v>
      </c>
      <c r="N123" s="14">
        <v>0</v>
      </c>
      <c r="O123" s="16">
        <v>3502036</v>
      </c>
      <c r="P123" s="17">
        <v>2024257990017</v>
      </c>
      <c r="Q123" s="14" t="s">
        <v>663</v>
      </c>
      <c r="R123" s="18">
        <v>122</v>
      </c>
      <c r="S123" s="14" t="s">
        <v>680</v>
      </c>
      <c r="T123" s="14">
        <v>3</v>
      </c>
      <c r="U123" s="14" t="s">
        <v>88</v>
      </c>
      <c r="V123" s="14" t="s">
        <v>89</v>
      </c>
      <c r="W123" s="14" t="s">
        <v>681</v>
      </c>
      <c r="X123" s="14" t="s">
        <v>666</v>
      </c>
      <c r="Y123" s="19"/>
      <c r="Z123" s="14">
        <f>SUM(AF123:AI123)/4</f>
        <v>5</v>
      </c>
      <c r="AA123" s="20">
        <f t="shared" si="1"/>
        <v>1.2</v>
      </c>
      <c r="AB123" s="20">
        <f t="shared" si="2"/>
        <v>0.27500000000000002</v>
      </c>
      <c r="AC123" s="21"/>
      <c r="AD123" s="21"/>
      <c r="AE123" s="21">
        <f t="shared" si="3"/>
        <v>0.27625</v>
      </c>
      <c r="AF123" s="29">
        <v>5</v>
      </c>
      <c r="AG123" s="29">
        <v>5</v>
      </c>
      <c r="AH123" s="29">
        <v>5</v>
      </c>
      <c r="AI123" s="29">
        <v>5</v>
      </c>
      <c r="AJ123" s="26"/>
      <c r="AK123" s="26"/>
      <c r="AL123" s="26"/>
      <c r="AM123" s="26"/>
      <c r="AN123" s="26">
        <v>5</v>
      </c>
      <c r="AO123" s="26">
        <v>6</v>
      </c>
      <c r="AP123" s="26">
        <v>0</v>
      </c>
      <c r="AQ123" s="26">
        <v>0</v>
      </c>
      <c r="AR123" s="29">
        <f t="shared" ref="AR123:AS123" si="465">(AJ123+AL123+AN123+AP123)</f>
        <v>5</v>
      </c>
      <c r="AS123" s="29">
        <f t="shared" si="465"/>
        <v>6</v>
      </c>
      <c r="AT123" s="29">
        <f t="shared" si="458"/>
        <v>1.2</v>
      </c>
      <c r="AU123" s="23" t="str">
        <f t="shared" si="459"/>
        <v>100%</v>
      </c>
      <c r="AV123" s="24">
        <f t="shared" si="7"/>
        <v>1.2</v>
      </c>
      <c r="AW123" s="14" t="s">
        <v>92</v>
      </c>
      <c r="AX123" s="30" t="s">
        <v>682</v>
      </c>
      <c r="AY123" s="26">
        <v>0</v>
      </c>
      <c r="AZ123" s="26">
        <v>0</v>
      </c>
      <c r="BA123" s="26">
        <v>5</v>
      </c>
      <c r="BB123" s="26">
        <v>8</v>
      </c>
      <c r="BC123" s="26">
        <v>3</v>
      </c>
      <c r="BD123" s="26">
        <v>3</v>
      </c>
      <c r="BE123" s="26">
        <v>0</v>
      </c>
      <c r="BF123" s="26"/>
      <c r="BG123" s="22">
        <f t="shared" ref="BG123:BH123" si="466">(AY123+BA123+BC123+BE123)</f>
        <v>8</v>
      </c>
      <c r="BH123" s="22">
        <f t="shared" si="466"/>
        <v>11</v>
      </c>
      <c r="BI123" s="22">
        <f t="shared" si="408"/>
        <v>1.375</v>
      </c>
      <c r="BJ123" s="23" t="str">
        <f t="shared" si="409"/>
        <v>100%</v>
      </c>
      <c r="BK123" s="24">
        <f t="shared" si="410"/>
        <v>1.375</v>
      </c>
      <c r="BL123" s="22" t="s">
        <v>92</v>
      </c>
      <c r="BM123" s="25" t="s">
        <v>682</v>
      </c>
      <c r="BN123" s="27">
        <v>80000000</v>
      </c>
      <c r="BO123" s="27">
        <v>30000000</v>
      </c>
      <c r="BP123" s="27">
        <v>0</v>
      </c>
      <c r="BQ123" s="27">
        <v>0</v>
      </c>
      <c r="BR123" s="27">
        <f t="shared" ref="BR123:BS123" si="467">+BN123+BP123</f>
        <v>80000000</v>
      </c>
      <c r="BS123" s="27">
        <f t="shared" si="467"/>
        <v>30000000</v>
      </c>
      <c r="BT123" s="20">
        <f t="shared" si="13"/>
        <v>0.375</v>
      </c>
      <c r="BU123" s="27">
        <v>80000000</v>
      </c>
      <c r="BV123" s="27">
        <v>80000000</v>
      </c>
      <c r="BW123" s="27">
        <v>70000000</v>
      </c>
      <c r="BX123" s="27">
        <v>70000000</v>
      </c>
      <c r="BY123" s="28">
        <f t="shared" si="149"/>
        <v>0.875</v>
      </c>
      <c r="BZ123" s="27">
        <v>150000000</v>
      </c>
      <c r="CA123" s="20">
        <v>153000000</v>
      </c>
      <c r="CB123" s="29">
        <v>156060000</v>
      </c>
      <c r="CC123" s="29">
        <v>160741800</v>
      </c>
      <c r="CD123" s="29">
        <v>619801800</v>
      </c>
    </row>
    <row r="124" spans="1:82" ht="51.75" customHeight="1">
      <c r="A124" s="12" t="s">
        <v>657</v>
      </c>
      <c r="B124" s="13">
        <v>0.113</v>
      </c>
      <c r="C124" s="12"/>
      <c r="D124" s="14">
        <v>35</v>
      </c>
      <c r="E124" s="14">
        <v>3502</v>
      </c>
      <c r="F124" s="14">
        <v>17</v>
      </c>
      <c r="G124" s="14" t="s">
        <v>658</v>
      </c>
      <c r="H124" s="14">
        <v>200</v>
      </c>
      <c r="I124" s="14">
        <v>17.100000000000001</v>
      </c>
      <c r="J124" s="14" t="s">
        <v>659</v>
      </c>
      <c r="K124" s="14" t="s">
        <v>660</v>
      </c>
      <c r="L124" s="14" t="s">
        <v>661</v>
      </c>
      <c r="M124" s="14" t="s">
        <v>662</v>
      </c>
      <c r="N124" s="14">
        <v>0</v>
      </c>
      <c r="O124" s="16">
        <v>3502039</v>
      </c>
      <c r="P124" s="17">
        <v>2024257990017</v>
      </c>
      <c r="Q124" s="14" t="s">
        <v>663</v>
      </c>
      <c r="R124" s="18">
        <v>123</v>
      </c>
      <c r="S124" s="14" t="s">
        <v>683</v>
      </c>
      <c r="T124" s="14">
        <v>2</v>
      </c>
      <c r="U124" s="14" t="s">
        <v>88</v>
      </c>
      <c r="V124" s="14" t="s">
        <v>89</v>
      </c>
      <c r="W124" s="14" t="s">
        <v>684</v>
      </c>
      <c r="X124" s="14" t="s">
        <v>666</v>
      </c>
      <c r="Y124" s="19"/>
      <c r="Z124" s="18">
        <f t="shared" ref="Z124:Z128" si="468">SUM(AF124:AI124)</f>
        <v>4</v>
      </c>
      <c r="AA124" s="20">
        <f t="shared" si="1"/>
        <v>0.25</v>
      </c>
      <c r="AB124" s="20">
        <f t="shared" si="2"/>
        <v>0.1875</v>
      </c>
      <c r="AC124" s="21"/>
      <c r="AD124" s="21"/>
      <c r="AE124" s="21">
        <f t="shared" si="3"/>
        <v>0.10312499999999999</v>
      </c>
      <c r="AF124" s="22">
        <v>1</v>
      </c>
      <c r="AG124" s="22">
        <v>1</v>
      </c>
      <c r="AH124" s="22">
        <v>1</v>
      </c>
      <c r="AI124" s="22">
        <v>1</v>
      </c>
      <c r="AJ124" s="26"/>
      <c r="AK124" s="26"/>
      <c r="AL124" s="26"/>
      <c r="AM124" s="26"/>
      <c r="AN124" s="26">
        <v>1</v>
      </c>
      <c r="AO124" s="26">
        <v>1</v>
      </c>
      <c r="AP124" s="26">
        <v>0</v>
      </c>
      <c r="AQ124" s="26">
        <v>0</v>
      </c>
      <c r="AR124" s="22">
        <f t="shared" ref="AR124:AS124" si="469">(AJ124+AL124+AN124+AP124)</f>
        <v>1</v>
      </c>
      <c r="AS124" s="22">
        <f t="shared" si="469"/>
        <v>1</v>
      </c>
      <c r="AT124" s="22">
        <f t="shared" si="458"/>
        <v>1</v>
      </c>
      <c r="AU124" s="23" t="str">
        <f t="shared" si="459"/>
        <v>100%</v>
      </c>
      <c r="AV124" s="24">
        <f t="shared" si="7"/>
        <v>1</v>
      </c>
      <c r="AW124" s="14" t="s">
        <v>92</v>
      </c>
      <c r="AX124" s="30" t="s">
        <v>685</v>
      </c>
      <c r="AY124" s="46">
        <v>0.3</v>
      </c>
      <c r="AZ124" s="46">
        <v>0.3</v>
      </c>
      <c r="BA124" s="46">
        <v>0.3</v>
      </c>
      <c r="BB124" s="46">
        <v>0.3</v>
      </c>
      <c r="BC124" s="46">
        <v>0.1</v>
      </c>
      <c r="BD124" s="46">
        <v>0</v>
      </c>
      <c r="BE124" s="46">
        <v>0.1</v>
      </c>
      <c r="BF124" s="26"/>
      <c r="BG124" s="22">
        <f t="shared" ref="BG124:BH124" si="470">(AY124+BA124+BC124+BE124)</f>
        <v>0.79999999999999993</v>
      </c>
      <c r="BH124" s="22">
        <f t="shared" si="470"/>
        <v>0.6</v>
      </c>
      <c r="BI124" s="22">
        <f t="shared" si="408"/>
        <v>0.75</v>
      </c>
      <c r="BJ124" s="23" t="str">
        <f t="shared" si="409"/>
        <v>100%</v>
      </c>
      <c r="BK124" s="24">
        <f t="shared" si="410"/>
        <v>0.75</v>
      </c>
      <c r="BL124" s="22" t="s">
        <v>92</v>
      </c>
      <c r="BM124" s="25" t="s">
        <v>685</v>
      </c>
      <c r="BN124" s="27">
        <v>30000000</v>
      </c>
      <c r="BO124" s="27">
        <v>30000000</v>
      </c>
      <c r="BP124" s="27">
        <v>0</v>
      </c>
      <c r="BQ124" s="27">
        <v>0</v>
      </c>
      <c r="BR124" s="27">
        <f t="shared" ref="BR124:BS124" si="471">+BN124+BP124</f>
        <v>30000000</v>
      </c>
      <c r="BS124" s="27">
        <f t="shared" si="471"/>
        <v>30000000</v>
      </c>
      <c r="BT124" s="20">
        <f t="shared" si="13"/>
        <v>1</v>
      </c>
      <c r="BU124" s="27">
        <v>30000000</v>
      </c>
      <c r="BV124" s="27">
        <v>30000000</v>
      </c>
      <c r="BW124" s="27">
        <v>30000000</v>
      </c>
      <c r="BX124" s="27">
        <v>30000000</v>
      </c>
      <c r="BY124" s="28">
        <f t="shared" si="149"/>
        <v>1</v>
      </c>
      <c r="BZ124" s="27">
        <v>80000000</v>
      </c>
      <c r="CA124" s="20">
        <v>81600000</v>
      </c>
      <c r="CB124" s="29">
        <v>83232000</v>
      </c>
      <c r="CC124" s="29">
        <v>85728960</v>
      </c>
      <c r="CD124" s="29">
        <v>330560960</v>
      </c>
    </row>
    <row r="125" spans="1:82" ht="39.75" customHeight="1">
      <c r="A125" s="12" t="s">
        <v>657</v>
      </c>
      <c r="B125" s="13">
        <v>0.113</v>
      </c>
      <c r="C125" s="12"/>
      <c r="D125" s="14">
        <v>35</v>
      </c>
      <c r="E125" s="14">
        <v>3502</v>
      </c>
      <c r="F125" s="14">
        <v>17</v>
      </c>
      <c r="G125" s="14" t="s">
        <v>658</v>
      </c>
      <c r="H125" s="14">
        <v>200</v>
      </c>
      <c r="I125" s="14">
        <v>17.100000000000001</v>
      </c>
      <c r="J125" s="14" t="s">
        <v>659</v>
      </c>
      <c r="K125" s="14" t="s">
        <v>660</v>
      </c>
      <c r="L125" s="14" t="s">
        <v>661</v>
      </c>
      <c r="M125" s="14" t="s">
        <v>662</v>
      </c>
      <c r="N125" s="14">
        <v>0</v>
      </c>
      <c r="O125" s="16">
        <v>3502043</v>
      </c>
      <c r="P125" s="17">
        <v>2024257990017</v>
      </c>
      <c r="Q125" s="14" t="s">
        <v>663</v>
      </c>
      <c r="R125" s="18">
        <v>124</v>
      </c>
      <c r="S125" s="14" t="s">
        <v>686</v>
      </c>
      <c r="T125" s="14">
        <v>0</v>
      </c>
      <c r="U125" s="14" t="s">
        <v>88</v>
      </c>
      <c r="V125" s="14" t="s">
        <v>89</v>
      </c>
      <c r="W125" s="14" t="s">
        <v>687</v>
      </c>
      <c r="X125" s="14" t="s">
        <v>666</v>
      </c>
      <c r="Y125" s="19"/>
      <c r="Z125" s="18">
        <f t="shared" si="468"/>
        <v>1</v>
      </c>
      <c r="AA125" s="20">
        <f t="shared" si="1"/>
        <v>0.1</v>
      </c>
      <c r="AB125" s="20">
        <f t="shared" si="2"/>
        <v>0.5</v>
      </c>
      <c r="AC125" s="21"/>
      <c r="AD125" s="21"/>
      <c r="AE125" s="21">
        <f t="shared" si="3"/>
        <v>0.19</v>
      </c>
      <c r="AF125" s="22">
        <v>0.1</v>
      </c>
      <c r="AG125" s="22">
        <v>0.4</v>
      </c>
      <c r="AH125" s="22">
        <v>0.4</v>
      </c>
      <c r="AI125" s="22">
        <v>0.1</v>
      </c>
      <c r="AJ125" s="26"/>
      <c r="AK125" s="26"/>
      <c r="AL125" s="26"/>
      <c r="AM125" s="26"/>
      <c r="AN125" s="26">
        <v>0.05</v>
      </c>
      <c r="AO125" s="26">
        <v>0.05</v>
      </c>
      <c r="AP125" s="26">
        <v>0.05</v>
      </c>
      <c r="AQ125" s="26">
        <v>0.05</v>
      </c>
      <c r="AR125" s="22">
        <f t="shared" ref="AR125:AS125" si="472">(AJ125+AL125+AN125+AP125)</f>
        <v>0.1</v>
      </c>
      <c r="AS125" s="22">
        <f t="shared" si="472"/>
        <v>0.1</v>
      </c>
      <c r="AT125" s="22">
        <f t="shared" si="458"/>
        <v>1</v>
      </c>
      <c r="AU125" s="23" t="str">
        <f t="shared" si="459"/>
        <v>100%</v>
      </c>
      <c r="AV125" s="24">
        <f t="shared" si="7"/>
        <v>1</v>
      </c>
      <c r="AW125" s="14" t="s">
        <v>92</v>
      </c>
      <c r="AX125" s="30" t="s">
        <v>688</v>
      </c>
      <c r="AY125" s="14">
        <v>0</v>
      </c>
      <c r="AZ125" s="26">
        <v>0</v>
      </c>
      <c r="BA125" s="14">
        <v>0.2</v>
      </c>
      <c r="BB125" s="14">
        <v>0.2</v>
      </c>
      <c r="BC125" s="14">
        <v>0.1</v>
      </c>
      <c r="BD125" s="14">
        <v>0</v>
      </c>
      <c r="BE125" s="14">
        <v>0.1</v>
      </c>
      <c r="BF125" s="26"/>
      <c r="BG125" s="22">
        <f t="shared" ref="BG125:BH125" si="473">(AY125+BA125+BC125+BE125)</f>
        <v>0.4</v>
      </c>
      <c r="BH125" s="22">
        <f t="shared" si="473"/>
        <v>0.2</v>
      </c>
      <c r="BI125" s="22">
        <f t="shared" si="408"/>
        <v>0.5</v>
      </c>
      <c r="BJ125" s="23" t="str">
        <f t="shared" si="409"/>
        <v>100%</v>
      </c>
      <c r="BK125" s="24">
        <f t="shared" si="410"/>
        <v>0.5</v>
      </c>
      <c r="BL125" s="22" t="s">
        <v>92</v>
      </c>
      <c r="BM125" s="25" t="s">
        <v>688</v>
      </c>
      <c r="BN125" s="27">
        <v>150000000</v>
      </c>
      <c r="BO125" s="27">
        <v>70000000</v>
      </c>
      <c r="BP125" s="27">
        <v>0</v>
      </c>
      <c r="BQ125" s="27">
        <v>0</v>
      </c>
      <c r="BR125" s="27">
        <f t="shared" ref="BR125:BS125" si="474">+BN125+BP125</f>
        <v>150000000</v>
      </c>
      <c r="BS125" s="27">
        <f t="shared" si="474"/>
        <v>70000000</v>
      </c>
      <c r="BT125" s="20">
        <f t="shared" si="13"/>
        <v>0.46666666666666667</v>
      </c>
      <c r="BU125" s="27">
        <v>150000000</v>
      </c>
      <c r="BV125" s="27">
        <v>150000000</v>
      </c>
      <c r="BW125" s="27">
        <v>130000000</v>
      </c>
      <c r="BX125" s="27">
        <v>130000000</v>
      </c>
      <c r="BY125" s="28">
        <f t="shared" si="149"/>
        <v>0.8666666666666667</v>
      </c>
      <c r="BZ125" s="27">
        <v>0</v>
      </c>
      <c r="CA125" s="20">
        <v>0</v>
      </c>
      <c r="CB125" s="29">
        <v>150000000</v>
      </c>
      <c r="CC125" s="29">
        <v>350000000</v>
      </c>
      <c r="CD125" s="29">
        <v>500000000</v>
      </c>
    </row>
    <row r="126" spans="1:82" ht="39.75" customHeight="1">
      <c r="A126" s="12" t="s">
        <v>657</v>
      </c>
      <c r="B126" s="13">
        <v>0.113</v>
      </c>
      <c r="C126" s="12"/>
      <c r="D126" s="14">
        <v>35</v>
      </c>
      <c r="E126" s="14">
        <v>3502</v>
      </c>
      <c r="F126" s="14">
        <v>17</v>
      </c>
      <c r="G126" s="14" t="s">
        <v>658</v>
      </c>
      <c r="H126" s="14">
        <v>200</v>
      </c>
      <c r="I126" s="14">
        <v>17.100000000000001</v>
      </c>
      <c r="J126" s="14" t="s">
        <v>659</v>
      </c>
      <c r="K126" s="14" t="s">
        <v>660</v>
      </c>
      <c r="L126" s="14" t="s">
        <v>661</v>
      </c>
      <c r="M126" s="14" t="s">
        <v>662</v>
      </c>
      <c r="N126" s="14">
        <v>0</v>
      </c>
      <c r="O126" s="16">
        <v>3502012</v>
      </c>
      <c r="P126" s="17">
        <v>2024257990017</v>
      </c>
      <c r="Q126" s="14" t="s">
        <v>663</v>
      </c>
      <c r="R126" s="18">
        <v>125</v>
      </c>
      <c r="S126" s="14" t="s">
        <v>689</v>
      </c>
      <c r="T126" s="14">
        <v>0</v>
      </c>
      <c r="U126" s="14" t="s">
        <v>88</v>
      </c>
      <c r="V126" s="14" t="s">
        <v>89</v>
      </c>
      <c r="W126" s="14" t="s">
        <v>690</v>
      </c>
      <c r="X126" s="14" t="s">
        <v>666</v>
      </c>
      <c r="Y126" s="19"/>
      <c r="Z126" s="18">
        <f t="shared" si="468"/>
        <v>1</v>
      </c>
      <c r="AA126" s="20">
        <f t="shared" si="1"/>
        <v>0.4</v>
      </c>
      <c r="AB126" s="20">
        <f t="shared" si="2"/>
        <v>0.66666666666666674</v>
      </c>
      <c r="AC126" s="21"/>
      <c r="AD126" s="21"/>
      <c r="AE126" s="21">
        <f t="shared" si="3"/>
        <v>0.29333333333333333</v>
      </c>
      <c r="AF126" s="20">
        <v>0.5</v>
      </c>
      <c r="AG126" s="20">
        <v>0.3</v>
      </c>
      <c r="AH126" s="20">
        <v>0.1</v>
      </c>
      <c r="AI126" s="20">
        <v>0.1</v>
      </c>
      <c r="AJ126" s="26"/>
      <c r="AK126" s="26"/>
      <c r="AL126" s="26"/>
      <c r="AM126" s="26"/>
      <c r="AN126" s="24">
        <v>0.25</v>
      </c>
      <c r="AO126" s="24">
        <v>0.17</v>
      </c>
      <c r="AP126" s="24">
        <v>0.25</v>
      </c>
      <c r="AQ126" s="24">
        <v>0.23</v>
      </c>
      <c r="AR126" s="24">
        <f t="shared" ref="AR126:AS126" si="475">(AJ126+AL126+AN126+AP126)</f>
        <v>0.5</v>
      </c>
      <c r="AS126" s="24">
        <f t="shared" si="475"/>
        <v>0.4</v>
      </c>
      <c r="AT126" s="24">
        <f t="shared" si="458"/>
        <v>0.8</v>
      </c>
      <c r="AU126" s="23" t="str">
        <f t="shared" si="459"/>
        <v>100%</v>
      </c>
      <c r="AV126" s="24">
        <f t="shared" si="7"/>
        <v>0.8</v>
      </c>
      <c r="AW126" s="14" t="s">
        <v>92</v>
      </c>
      <c r="AX126" s="30" t="s">
        <v>691</v>
      </c>
      <c r="AY126" s="24">
        <v>0.05</v>
      </c>
      <c r="AZ126" s="24">
        <v>0.05</v>
      </c>
      <c r="BA126" s="24">
        <v>0.1</v>
      </c>
      <c r="BB126" s="24">
        <v>0.1</v>
      </c>
      <c r="BC126" s="24">
        <v>0.1</v>
      </c>
      <c r="BD126" s="24">
        <v>0.05</v>
      </c>
      <c r="BE126" s="24">
        <v>0.05</v>
      </c>
      <c r="BF126" s="26"/>
      <c r="BG126" s="20">
        <f t="shared" ref="BG126:BH126" si="476">(AY126+BA126+BC126+BE126)</f>
        <v>0.3</v>
      </c>
      <c r="BH126" s="20">
        <f t="shared" si="476"/>
        <v>0.2</v>
      </c>
      <c r="BI126" s="20">
        <f t="shared" si="408"/>
        <v>0.66666666666666674</v>
      </c>
      <c r="BJ126" s="23" t="str">
        <f t="shared" si="409"/>
        <v>100%</v>
      </c>
      <c r="BK126" s="24">
        <f t="shared" si="410"/>
        <v>0.66666666666666674</v>
      </c>
      <c r="BL126" s="22" t="s">
        <v>92</v>
      </c>
      <c r="BM126" s="25" t="s">
        <v>691</v>
      </c>
      <c r="BN126" s="27">
        <v>70000000</v>
      </c>
      <c r="BO126" s="27">
        <v>35000000</v>
      </c>
      <c r="BP126" s="27">
        <v>80000000</v>
      </c>
      <c r="BQ126" s="27">
        <v>80000000</v>
      </c>
      <c r="BR126" s="27">
        <f t="shared" ref="BR126:BS126" si="477">+BN126+BP126</f>
        <v>150000000</v>
      </c>
      <c r="BS126" s="27">
        <f t="shared" si="477"/>
        <v>115000000</v>
      </c>
      <c r="BT126" s="20">
        <f t="shared" si="13"/>
        <v>0.76666666666666672</v>
      </c>
      <c r="BU126" s="27">
        <v>70000000</v>
      </c>
      <c r="BV126" s="27">
        <v>70000000</v>
      </c>
      <c r="BW126" s="27">
        <v>70000000</v>
      </c>
      <c r="BX126" s="27">
        <v>70000000</v>
      </c>
      <c r="BY126" s="28">
        <f t="shared" si="149"/>
        <v>1</v>
      </c>
      <c r="BZ126" s="27">
        <v>20000000</v>
      </c>
      <c r="CA126" s="20">
        <v>20400000</v>
      </c>
      <c r="CB126" s="29">
        <v>20808000</v>
      </c>
      <c r="CC126" s="29">
        <v>21432240</v>
      </c>
      <c r="CD126" s="29">
        <v>82640240</v>
      </c>
    </row>
    <row r="127" spans="1:82" ht="39.75" customHeight="1">
      <c r="A127" s="12" t="s">
        <v>657</v>
      </c>
      <c r="B127" s="13">
        <v>0.113</v>
      </c>
      <c r="C127" s="12"/>
      <c r="D127" s="14">
        <v>35</v>
      </c>
      <c r="E127" s="14">
        <v>3502</v>
      </c>
      <c r="F127" s="14">
        <v>17</v>
      </c>
      <c r="G127" s="14" t="s">
        <v>658</v>
      </c>
      <c r="H127" s="14">
        <v>200</v>
      </c>
      <c r="I127" s="14">
        <v>17.100000000000001</v>
      </c>
      <c r="J127" s="14" t="s">
        <v>659</v>
      </c>
      <c r="K127" s="14" t="s">
        <v>660</v>
      </c>
      <c r="L127" s="14" t="s">
        <v>661</v>
      </c>
      <c r="M127" s="14" t="s">
        <v>662</v>
      </c>
      <c r="N127" s="14">
        <v>0</v>
      </c>
      <c r="O127" s="16">
        <v>3502059</v>
      </c>
      <c r="P127" s="17">
        <v>2024257990017</v>
      </c>
      <c r="Q127" s="14" t="s">
        <v>663</v>
      </c>
      <c r="R127" s="18">
        <v>126</v>
      </c>
      <c r="S127" s="14" t="s">
        <v>692</v>
      </c>
      <c r="T127" s="14">
        <v>0</v>
      </c>
      <c r="U127" s="14" t="s">
        <v>88</v>
      </c>
      <c r="V127" s="14" t="s">
        <v>89</v>
      </c>
      <c r="W127" s="14" t="s">
        <v>693</v>
      </c>
      <c r="X127" s="14" t="s">
        <v>666</v>
      </c>
      <c r="Y127" s="19"/>
      <c r="Z127" s="18">
        <f t="shared" si="468"/>
        <v>4</v>
      </c>
      <c r="AA127" s="20">
        <f t="shared" si="1"/>
        <v>0.25</v>
      </c>
      <c r="AB127" s="20">
        <f t="shared" si="2"/>
        <v>0.125</v>
      </c>
      <c r="AC127" s="21"/>
      <c r="AD127" s="21"/>
      <c r="AE127" s="21">
        <f t="shared" si="3"/>
        <v>8.1249999999999989E-2</v>
      </c>
      <c r="AF127" s="14">
        <v>1</v>
      </c>
      <c r="AG127" s="14">
        <v>1</v>
      </c>
      <c r="AH127" s="14">
        <v>1</v>
      </c>
      <c r="AI127" s="14">
        <v>1</v>
      </c>
      <c r="AJ127" s="26"/>
      <c r="AK127" s="26"/>
      <c r="AL127" s="26"/>
      <c r="AM127" s="26"/>
      <c r="AN127" s="26">
        <v>0.5</v>
      </c>
      <c r="AO127" s="26">
        <v>0.5</v>
      </c>
      <c r="AP127" s="26">
        <v>0.5</v>
      </c>
      <c r="AQ127" s="26">
        <v>0.5</v>
      </c>
      <c r="AR127" s="22">
        <f t="shared" ref="AR127:AS127" si="478">(AJ127+AL127+AN127+AP127)</f>
        <v>1</v>
      </c>
      <c r="AS127" s="22">
        <f t="shared" si="478"/>
        <v>1</v>
      </c>
      <c r="AT127" s="22">
        <f t="shared" si="458"/>
        <v>1</v>
      </c>
      <c r="AU127" s="23" t="str">
        <f t="shared" si="459"/>
        <v>100%</v>
      </c>
      <c r="AV127" s="24">
        <f t="shared" si="7"/>
        <v>1</v>
      </c>
      <c r="AW127" s="14" t="s">
        <v>92</v>
      </c>
      <c r="AX127" s="30" t="s">
        <v>694</v>
      </c>
      <c r="AY127" s="46">
        <v>0</v>
      </c>
      <c r="AZ127" s="46">
        <v>0</v>
      </c>
      <c r="BA127" s="46">
        <v>0.4</v>
      </c>
      <c r="BB127" s="46">
        <v>0.2</v>
      </c>
      <c r="BC127" s="46">
        <v>0.4</v>
      </c>
      <c r="BD127" s="46">
        <v>0.3</v>
      </c>
      <c r="BE127" s="46">
        <v>0.2</v>
      </c>
      <c r="BF127" s="26"/>
      <c r="BG127" s="22">
        <f t="shared" ref="BG127:BH127" si="479">(AY127+BA127+BC127+BE127)</f>
        <v>1</v>
      </c>
      <c r="BH127" s="22">
        <f t="shared" si="479"/>
        <v>0.5</v>
      </c>
      <c r="BI127" s="22">
        <f t="shared" si="408"/>
        <v>0.5</v>
      </c>
      <c r="BJ127" s="23" t="str">
        <f t="shared" si="409"/>
        <v>100%</v>
      </c>
      <c r="BK127" s="24">
        <f t="shared" si="410"/>
        <v>0.5</v>
      </c>
      <c r="BL127" s="22" t="s">
        <v>92</v>
      </c>
      <c r="BM127" s="25" t="s">
        <v>695</v>
      </c>
      <c r="BN127" s="27">
        <v>60000000</v>
      </c>
      <c r="BO127" s="27">
        <v>20000000</v>
      </c>
      <c r="BP127" s="27">
        <v>80000000</v>
      </c>
      <c r="BQ127" s="27">
        <v>80000000</v>
      </c>
      <c r="BR127" s="27">
        <f t="shared" ref="BR127:BS127" si="480">+BN127+BP127</f>
        <v>140000000</v>
      </c>
      <c r="BS127" s="27">
        <f t="shared" si="480"/>
        <v>100000000</v>
      </c>
      <c r="BT127" s="20">
        <f t="shared" si="13"/>
        <v>0.7142857142857143</v>
      </c>
      <c r="BU127" s="27">
        <v>60000000</v>
      </c>
      <c r="BV127" s="27">
        <v>60000000</v>
      </c>
      <c r="BW127" s="27">
        <v>60000000</v>
      </c>
      <c r="BX127" s="27">
        <v>60000000</v>
      </c>
      <c r="BY127" s="28">
        <f t="shared" si="149"/>
        <v>1</v>
      </c>
      <c r="BZ127" s="27">
        <v>80000000</v>
      </c>
      <c r="CA127" s="20">
        <v>81600000</v>
      </c>
      <c r="CB127" s="29">
        <v>83232000</v>
      </c>
      <c r="CC127" s="29">
        <v>85728960</v>
      </c>
      <c r="CD127" s="29">
        <v>330560960</v>
      </c>
    </row>
    <row r="128" spans="1:82" ht="67.5" customHeight="1">
      <c r="A128" s="12" t="s">
        <v>657</v>
      </c>
      <c r="B128" s="13">
        <v>0.113</v>
      </c>
      <c r="C128" s="12"/>
      <c r="D128" s="14">
        <v>35</v>
      </c>
      <c r="E128" s="14">
        <v>3502</v>
      </c>
      <c r="F128" s="14">
        <v>17</v>
      </c>
      <c r="G128" s="14" t="s">
        <v>658</v>
      </c>
      <c r="H128" s="14">
        <v>200</v>
      </c>
      <c r="I128" s="14">
        <v>17.100000000000001</v>
      </c>
      <c r="J128" s="14" t="s">
        <v>659</v>
      </c>
      <c r="K128" s="14" t="s">
        <v>660</v>
      </c>
      <c r="L128" s="14" t="s">
        <v>661</v>
      </c>
      <c r="M128" s="14" t="s">
        <v>662</v>
      </c>
      <c r="N128" s="14">
        <v>0</v>
      </c>
      <c r="O128" s="16">
        <v>3502093</v>
      </c>
      <c r="P128" s="17">
        <v>2024257990017</v>
      </c>
      <c r="Q128" s="14" t="s">
        <v>663</v>
      </c>
      <c r="R128" s="18">
        <v>127</v>
      </c>
      <c r="S128" s="14" t="s">
        <v>696</v>
      </c>
      <c r="T128" s="14">
        <v>0</v>
      </c>
      <c r="U128" s="14" t="s">
        <v>88</v>
      </c>
      <c r="V128" s="14" t="s">
        <v>89</v>
      </c>
      <c r="W128" s="14" t="s">
        <v>697</v>
      </c>
      <c r="X128" s="14" t="s">
        <v>666</v>
      </c>
      <c r="Y128" s="19"/>
      <c r="Z128" s="40">
        <f t="shared" si="468"/>
        <v>2.59</v>
      </c>
      <c r="AA128" s="20">
        <f t="shared" si="1"/>
        <v>0.38610038610038611</v>
      </c>
      <c r="AB128" s="20">
        <f t="shared" si="2"/>
        <v>0.34749034749034746</v>
      </c>
      <c r="AC128" s="21"/>
      <c r="AD128" s="21"/>
      <c r="AE128" s="21">
        <f t="shared" si="3"/>
        <v>0.17953667953667951</v>
      </c>
      <c r="AF128" s="22">
        <v>1</v>
      </c>
      <c r="AG128" s="22">
        <v>1</v>
      </c>
      <c r="AH128" s="22">
        <v>0.59</v>
      </c>
      <c r="AI128" s="22">
        <v>0</v>
      </c>
      <c r="AJ128" s="26"/>
      <c r="AK128" s="26"/>
      <c r="AL128" s="26"/>
      <c r="AM128" s="26"/>
      <c r="AN128" s="26">
        <v>0.5</v>
      </c>
      <c r="AO128" s="26">
        <v>0.5</v>
      </c>
      <c r="AP128" s="26">
        <v>0.5</v>
      </c>
      <c r="AQ128" s="26">
        <v>0.5</v>
      </c>
      <c r="AR128" s="22">
        <f t="shared" ref="AR128:AS128" si="481">(AJ128+AL128+AN128+AP128)</f>
        <v>1</v>
      </c>
      <c r="AS128" s="22">
        <f t="shared" si="481"/>
        <v>1</v>
      </c>
      <c r="AT128" s="22">
        <f t="shared" si="458"/>
        <v>1</v>
      </c>
      <c r="AU128" s="23" t="str">
        <f t="shared" si="459"/>
        <v>100%</v>
      </c>
      <c r="AV128" s="24">
        <f t="shared" si="7"/>
        <v>1</v>
      </c>
      <c r="AW128" s="14" t="s">
        <v>92</v>
      </c>
      <c r="AX128" s="30" t="s">
        <v>698</v>
      </c>
      <c r="AY128" s="26">
        <v>0.2</v>
      </c>
      <c r="AZ128" s="26">
        <v>0.2</v>
      </c>
      <c r="BA128" s="26">
        <v>0.4</v>
      </c>
      <c r="BB128" s="26">
        <v>0.4</v>
      </c>
      <c r="BC128" s="26">
        <v>0.3</v>
      </c>
      <c r="BD128" s="26">
        <v>0.3</v>
      </c>
      <c r="BE128" s="26">
        <v>0.1</v>
      </c>
      <c r="BF128" s="26"/>
      <c r="BG128" s="22">
        <f t="shared" ref="BG128:BH128" si="482">(AY128+BA128+BC128+BE128)</f>
        <v>1.0000000000000002</v>
      </c>
      <c r="BH128" s="22">
        <f t="shared" si="482"/>
        <v>0.90000000000000013</v>
      </c>
      <c r="BI128" s="22">
        <f t="shared" si="408"/>
        <v>0.89999999999999991</v>
      </c>
      <c r="BJ128" s="23" t="str">
        <f t="shared" si="409"/>
        <v>100%</v>
      </c>
      <c r="BK128" s="24">
        <f t="shared" si="410"/>
        <v>0.89999999999999991</v>
      </c>
      <c r="BL128" s="22" t="s">
        <v>92</v>
      </c>
      <c r="BM128" s="25" t="s">
        <v>698</v>
      </c>
      <c r="BN128" s="27">
        <v>30000000</v>
      </c>
      <c r="BO128" s="27">
        <v>0</v>
      </c>
      <c r="BP128" s="27">
        <v>36200000</v>
      </c>
      <c r="BQ128" s="27">
        <v>36200000</v>
      </c>
      <c r="BR128" s="27">
        <f t="shared" ref="BR128:BS128" si="483">+BN128+BP128</f>
        <v>66200000</v>
      </c>
      <c r="BS128" s="27">
        <f t="shared" si="483"/>
        <v>36200000</v>
      </c>
      <c r="BT128" s="20">
        <f t="shared" si="13"/>
        <v>0.54682779456193353</v>
      </c>
      <c r="BU128" s="27">
        <v>30000000</v>
      </c>
      <c r="BV128" s="27">
        <v>30000000</v>
      </c>
      <c r="BW128" s="27">
        <v>30000000</v>
      </c>
      <c r="BX128" s="27">
        <v>30000000</v>
      </c>
      <c r="BY128" s="28">
        <f t="shared" si="149"/>
        <v>1</v>
      </c>
      <c r="BZ128" s="27">
        <v>60000000</v>
      </c>
      <c r="CA128" s="20">
        <v>0</v>
      </c>
      <c r="CB128" s="29"/>
      <c r="CC128" s="29"/>
      <c r="CD128" s="29">
        <v>60000000</v>
      </c>
    </row>
    <row r="129" spans="1:82" ht="39.75" customHeight="1">
      <c r="A129" s="12" t="s">
        <v>657</v>
      </c>
      <c r="B129" s="13">
        <v>0.113</v>
      </c>
      <c r="C129" s="12"/>
      <c r="D129" s="14">
        <v>35</v>
      </c>
      <c r="E129" s="14">
        <v>3502</v>
      </c>
      <c r="F129" s="14">
        <v>17</v>
      </c>
      <c r="G129" s="14" t="s">
        <v>658</v>
      </c>
      <c r="H129" s="14">
        <v>200</v>
      </c>
      <c r="I129" s="14">
        <v>17.100000000000001</v>
      </c>
      <c r="J129" s="14" t="s">
        <v>659</v>
      </c>
      <c r="K129" s="14" t="s">
        <v>660</v>
      </c>
      <c r="L129" s="14" t="s">
        <v>661</v>
      </c>
      <c r="M129" s="14" t="s">
        <v>662</v>
      </c>
      <c r="N129" s="14">
        <v>0</v>
      </c>
      <c r="O129" s="16">
        <v>3502093</v>
      </c>
      <c r="P129" s="17">
        <v>2024257990017</v>
      </c>
      <c r="Q129" s="14" t="s">
        <v>663</v>
      </c>
      <c r="R129" s="18">
        <v>128</v>
      </c>
      <c r="S129" s="14" t="s">
        <v>699</v>
      </c>
      <c r="T129" s="14">
        <v>0</v>
      </c>
      <c r="U129" s="14" t="s">
        <v>88</v>
      </c>
      <c r="V129" s="14" t="s">
        <v>89</v>
      </c>
      <c r="W129" s="14" t="s">
        <v>700</v>
      </c>
      <c r="X129" s="14" t="s">
        <v>666</v>
      </c>
      <c r="Y129" s="19"/>
      <c r="Z129" s="14">
        <f>SUM(AF129:AI129)/4</f>
        <v>1</v>
      </c>
      <c r="AA129" s="20">
        <f t="shared" si="1"/>
        <v>1</v>
      </c>
      <c r="AB129" s="20">
        <f t="shared" si="2"/>
        <v>0.8</v>
      </c>
      <c r="AC129" s="21"/>
      <c r="AD129" s="21"/>
      <c r="AE129" s="21">
        <f t="shared" si="3"/>
        <v>0.42999999999999994</v>
      </c>
      <c r="AF129" s="29">
        <v>1</v>
      </c>
      <c r="AG129" s="29">
        <v>1</v>
      </c>
      <c r="AH129" s="29">
        <v>1</v>
      </c>
      <c r="AI129" s="29">
        <v>1</v>
      </c>
      <c r="AJ129" s="26"/>
      <c r="AK129" s="26"/>
      <c r="AL129" s="26"/>
      <c r="AM129" s="26"/>
      <c r="AN129" s="26">
        <v>1</v>
      </c>
      <c r="AO129" s="26">
        <v>1</v>
      </c>
      <c r="AP129" s="26">
        <v>0</v>
      </c>
      <c r="AQ129" s="26">
        <v>0</v>
      </c>
      <c r="AR129" s="22">
        <f t="shared" ref="AR129:AS129" si="484">(AJ129+AL129+AN129+AP129)</f>
        <v>1</v>
      </c>
      <c r="AS129" s="22">
        <f t="shared" si="484"/>
        <v>1</v>
      </c>
      <c r="AT129" s="22">
        <f t="shared" si="458"/>
        <v>1</v>
      </c>
      <c r="AU129" s="23" t="str">
        <f t="shared" si="459"/>
        <v>100%</v>
      </c>
      <c r="AV129" s="24">
        <f t="shared" si="7"/>
        <v>1</v>
      </c>
      <c r="AW129" s="14" t="s">
        <v>92</v>
      </c>
      <c r="AX129" s="30" t="s">
        <v>701</v>
      </c>
      <c r="AY129" s="46">
        <v>0.4</v>
      </c>
      <c r="AZ129" s="26">
        <v>0.4</v>
      </c>
      <c r="BA129" s="46">
        <v>0.3</v>
      </c>
      <c r="BB129" s="46">
        <v>0.3</v>
      </c>
      <c r="BC129" s="46">
        <v>0.2</v>
      </c>
      <c r="BD129" s="46">
        <v>0.1</v>
      </c>
      <c r="BE129" s="46">
        <v>0.1</v>
      </c>
      <c r="BF129" s="26"/>
      <c r="BG129" s="22">
        <f t="shared" ref="BG129:BH129" si="485">(AY129+BA129+BC129+BE129)</f>
        <v>0.99999999999999989</v>
      </c>
      <c r="BH129" s="22">
        <f t="shared" si="485"/>
        <v>0.79999999999999993</v>
      </c>
      <c r="BI129" s="22">
        <f t="shared" si="408"/>
        <v>0.8</v>
      </c>
      <c r="BJ129" s="23" t="str">
        <f t="shared" si="409"/>
        <v>100%</v>
      </c>
      <c r="BK129" s="24">
        <f t="shared" si="410"/>
        <v>0.8</v>
      </c>
      <c r="BL129" s="22" t="s">
        <v>92</v>
      </c>
      <c r="BM129" s="25" t="s">
        <v>701</v>
      </c>
      <c r="BN129" s="27">
        <v>20000000</v>
      </c>
      <c r="BO129" s="27">
        <v>0</v>
      </c>
      <c r="BP129" s="27">
        <v>0</v>
      </c>
      <c r="BQ129" s="27">
        <v>0</v>
      </c>
      <c r="BR129" s="27">
        <f t="shared" ref="BR129:BS129" si="486">+BN129+BP129</f>
        <v>20000000</v>
      </c>
      <c r="BS129" s="27">
        <f t="shared" si="486"/>
        <v>0</v>
      </c>
      <c r="BT129" s="20">
        <f t="shared" si="13"/>
        <v>0</v>
      </c>
      <c r="BU129" s="27">
        <v>20000000</v>
      </c>
      <c r="BV129" s="27">
        <v>20000000</v>
      </c>
      <c r="BW129" s="27">
        <v>20000000</v>
      </c>
      <c r="BX129" s="27">
        <v>20000000</v>
      </c>
      <c r="BY129" s="28">
        <f t="shared" si="149"/>
        <v>1</v>
      </c>
      <c r="BZ129" s="27">
        <v>30000000</v>
      </c>
      <c r="CA129" s="20">
        <v>0</v>
      </c>
      <c r="CB129" s="29"/>
      <c r="CC129" s="29"/>
      <c r="CD129" s="29">
        <v>30000000</v>
      </c>
    </row>
    <row r="130" spans="1:82" ht="39.75" customHeight="1">
      <c r="A130" s="12" t="s">
        <v>657</v>
      </c>
      <c r="B130" s="13">
        <v>0.113</v>
      </c>
      <c r="C130" s="12"/>
      <c r="D130" s="14">
        <v>35</v>
      </c>
      <c r="E130" s="14">
        <v>3502</v>
      </c>
      <c r="F130" s="14">
        <v>17</v>
      </c>
      <c r="G130" s="14" t="s">
        <v>658</v>
      </c>
      <c r="H130" s="14">
        <v>200</v>
      </c>
      <c r="I130" s="14">
        <v>17.100000000000001</v>
      </c>
      <c r="J130" s="14" t="s">
        <v>702</v>
      </c>
      <c r="K130" s="14" t="s">
        <v>703</v>
      </c>
      <c r="L130" s="14" t="s">
        <v>704</v>
      </c>
      <c r="M130" s="14" t="s">
        <v>705</v>
      </c>
      <c r="N130" s="14">
        <v>0</v>
      </c>
      <c r="O130" s="16">
        <v>3502046</v>
      </c>
      <c r="P130" s="17">
        <v>2024257990017</v>
      </c>
      <c r="Q130" s="14" t="s">
        <v>663</v>
      </c>
      <c r="R130" s="18">
        <v>129</v>
      </c>
      <c r="S130" s="14" t="s">
        <v>706</v>
      </c>
      <c r="T130" s="14">
        <v>2</v>
      </c>
      <c r="U130" s="14" t="s">
        <v>88</v>
      </c>
      <c r="V130" s="14" t="s">
        <v>114</v>
      </c>
      <c r="W130" s="14" t="s">
        <v>707</v>
      </c>
      <c r="X130" s="14" t="s">
        <v>666</v>
      </c>
      <c r="Y130" s="19"/>
      <c r="Z130" s="18">
        <f t="shared" ref="Z130:Z132" si="487">SUM(AF130:AI130)</f>
        <v>8</v>
      </c>
      <c r="AA130" s="20">
        <f t="shared" si="1"/>
        <v>0.25</v>
      </c>
      <c r="AB130" s="20">
        <f t="shared" si="2"/>
        <v>8.1250000000000003E-2</v>
      </c>
      <c r="AC130" s="21"/>
      <c r="AD130" s="21"/>
      <c r="AE130" s="21">
        <f t="shared" si="3"/>
        <v>6.5937499999999996E-2</v>
      </c>
      <c r="AF130" s="29">
        <v>2</v>
      </c>
      <c r="AG130" s="29">
        <v>2</v>
      </c>
      <c r="AH130" s="29">
        <v>2</v>
      </c>
      <c r="AI130" s="29">
        <v>2</v>
      </c>
      <c r="AJ130" s="26"/>
      <c r="AK130" s="26"/>
      <c r="AL130" s="26"/>
      <c r="AM130" s="26"/>
      <c r="AN130" s="26">
        <v>2</v>
      </c>
      <c r="AO130" s="26">
        <v>2</v>
      </c>
      <c r="AP130" s="26">
        <v>0</v>
      </c>
      <c r="AQ130" s="26">
        <v>0</v>
      </c>
      <c r="AR130" s="22">
        <f t="shared" ref="AR130:AS130" si="488">(AJ130+AL130+AN130+AP130)</f>
        <v>2</v>
      </c>
      <c r="AS130" s="22">
        <f t="shared" si="488"/>
        <v>2</v>
      </c>
      <c r="AT130" s="22">
        <f t="shared" si="458"/>
        <v>1</v>
      </c>
      <c r="AU130" s="23" t="str">
        <f t="shared" si="459"/>
        <v>100%</v>
      </c>
      <c r="AV130" s="24">
        <f t="shared" si="7"/>
        <v>1</v>
      </c>
      <c r="AW130" s="14" t="s">
        <v>92</v>
      </c>
      <c r="AX130" s="30" t="s">
        <v>708</v>
      </c>
      <c r="AY130" s="26">
        <v>0</v>
      </c>
      <c r="AZ130" s="26">
        <v>0</v>
      </c>
      <c r="BA130" s="26">
        <v>1</v>
      </c>
      <c r="BB130" s="26">
        <v>1</v>
      </c>
      <c r="BC130" s="26">
        <v>0.3</v>
      </c>
      <c r="BD130" s="26">
        <v>0.3</v>
      </c>
      <c r="BE130" s="26">
        <v>0.7</v>
      </c>
      <c r="BF130" s="26"/>
      <c r="BG130" s="22">
        <f t="shared" ref="BG130:BH130" si="489">(AY130+BA130+BC130+BE130)</f>
        <v>2</v>
      </c>
      <c r="BH130" s="22">
        <f t="shared" si="489"/>
        <v>1.3</v>
      </c>
      <c r="BI130" s="22">
        <f t="shared" si="408"/>
        <v>0.65</v>
      </c>
      <c r="BJ130" s="23" t="str">
        <f t="shared" si="409"/>
        <v>100%</v>
      </c>
      <c r="BK130" s="24">
        <f t="shared" si="410"/>
        <v>0.65</v>
      </c>
      <c r="BL130" s="22" t="s">
        <v>92</v>
      </c>
      <c r="BM130" s="25" t="s">
        <v>708</v>
      </c>
      <c r="BN130" s="27">
        <v>120000000</v>
      </c>
      <c r="BO130" s="27">
        <v>40000000</v>
      </c>
      <c r="BP130" s="27">
        <v>30000000</v>
      </c>
      <c r="BQ130" s="27">
        <v>30000000</v>
      </c>
      <c r="BR130" s="27">
        <f t="shared" ref="BR130:BS130" si="490">+BN130+BP130</f>
        <v>150000000</v>
      </c>
      <c r="BS130" s="27">
        <f t="shared" si="490"/>
        <v>70000000</v>
      </c>
      <c r="BT130" s="20">
        <f t="shared" si="13"/>
        <v>0.46666666666666667</v>
      </c>
      <c r="BU130" s="27">
        <v>120000000</v>
      </c>
      <c r="BV130" s="27">
        <v>120000000</v>
      </c>
      <c r="BW130" s="27">
        <v>100000000</v>
      </c>
      <c r="BX130" s="27">
        <v>100000000</v>
      </c>
      <c r="BY130" s="28">
        <f t="shared" si="149"/>
        <v>0.83333333333333337</v>
      </c>
      <c r="BZ130" s="27">
        <v>15000000</v>
      </c>
      <c r="CA130" s="20">
        <v>15300000</v>
      </c>
      <c r="CB130" s="29">
        <v>15606000</v>
      </c>
      <c r="CC130" s="29">
        <v>16074180</v>
      </c>
      <c r="CD130" s="29">
        <v>61980180</v>
      </c>
    </row>
    <row r="131" spans="1:82" ht="39.75" customHeight="1">
      <c r="A131" s="12" t="s">
        <v>657</v>
      </c>
      <c r="B131" s="13">
        <v>0.113</v>
      </c>
      <c r="C131" s="12"/>
      <c r="D131" s="14">
        <v>35</v>
      </c>
      <c r="E131" s="14">
        <v>3502</v>
      </c>
      <c r="F131" s="14">
        <v>17</v>
      </c>
      <c r="G131" s="14" t="s">
        <v>658</v>
      </c>
      <c r="H131" s="14">
        <v>200</v>
      </c>
      <c r="I131" s="14">
        <v>17.100000000000001</v>
      </c>
      <c r="J131" s="14" t="s">
        <v>702</v>
      </c>
      <c r="K131" s="14" t="s">
        <v>703</v>
      </c>
      <c r="L131" s="14" t="s">
        <v>704</v>
      </c>
      <c r="M131" s="14" t="s">
        <v>705</v>
      </c>
      <c r="N131" s="14">
        <v>0</v>
      </c>
      <c r="O131" s="16">
        <v>3502046</v>
      </c>
      <c r="P131" s="17">
        <v>2024257990017</v>
      </c>
      <c r="Q131" s="14" t="s">
        <v>663</v>
      </c>
      <c r="R131" s="18">
        <v>130</v>
      </c>
      <c r="S131" s="14" t="s">
        <v>709</v>
      </c>
      <c r="T131" s="14">
        <v>0</v>
      </c>
      <c r="U131" s="14" t="s">
        <v>88</v>
      </c>
      <c r="V131" s="14" t="s">
        <v>89</v>
      </c>
      <c r="W131" s="14" t="s">
        <v>710</v>
      </c>
      <c r="X131" s="14" t="s">
        <v>666</v>
      </c>
      <c r="Y131" s="19"/>
      <c r="Z131" s="18">
        <f t="shared" si="487"/>
        <v>1</v>
      </c>
      <c r="AA131" s="20">
        <f t="shared" si="1"/>
        <v>0.97</v>
      </c>
      <c r="AB131" s="20">
        <f t="shared" si="2"/>
        <v>0.74285714285714277</v>
      </c>
      <c r="AC131" s="21"/>
      <c r="AD131" s="21"/>
      <c r="AE131" s="21">
        <f t="shared" si="3"/>
        <v>0.40549999999999997</v>
      </c>
      <c r="AF131" s="14">
        <v>0.1</v>
      </c>
      <c r="AG131" s="14">
        <v>0.35</v>
      </c>
      <c r="AH131" s="14">
        <v>0.35</v>
      </c>
      <c r="AI131" s="14">
        <v>0.2</v>
      </c>
      <c r="AJ131" s="26"/>
      <c r="AK131" s="26"/>
      <c r="AL131" s="26"/>
      <c r="AM131" s="26"/>
      <c r="AN131" s="26">
        <v>0.7</v>
      </c>
      <c r="AO131" s="26">
        <v>0.7</v>
      </c>
      <c r="AP131" s="26">
        <v>0.3</v>
      </c>
      <c r="AQ131" s="26">
        <v>0.27</v>
      </c>
      <c r="AR131" s="22">
        <f t="shared" ref="AR131:AS131" si="491">(AJ131+AL131+AN131+AP131)</f>
        <v>1</v>
      </c>
      <c r="AS131" s="22">
        <f t="shared" si="491"/>
        <v>0.97</v>
      </c>
      <c r="AT131" s="22">
        <f t="shared" si="458"/>
        <v>0.97</v>
      </c>
      <c r="AU131" s="23" t="str">
        <f t="shared" si="459"/>
        <v>100%</v>
      </c>
      <c r="AV131" s="24">
        <f t="shared" si="7"/>
        <v>0.97</v>
      </c>
      <c r="AW131" s="14" t="s">
        <v>92</v>
      </c>
      <c r="AX131" s="30" t="s">
        <v>711</v>
      </c>
      <c r="AY131" s="26">
        <v>0.1</v>
      </c>
      <c r="AZ131" s="26">
        <v>0.05</v>
      </c>
      <c r="BA131" s="26">
        <v>0.2</v>
      </c>
      <c r="BB131" s="26">
        <v>0.2</v>
      </c>
      <c r="BC131" s="26">
        <v>0.01</v>
      </c>
      <c r="BD131" s="26">
        <v>0.01</v>
      </c>
      <c r="BE131" s="26">
        <v>0.04</v>
      </c>
      <c r="BF131" s="26"/>
      <c r="BG131" s="22">
        <f t="shared" ref="BG131:BH131" si="492">(AY131+BA131+BC131+BE131)</f>
        <v>0.35000000000000003</v>
      </c>
      <c r="BH131" s="22">
        <f t="shared" si="492"/>
        <v>0.26</v>
      </c>
      <c r="BI131" s="22">
        <f t="shared" si="408"/>
        <v>0.74285714285714277</v>
      </c>
      <c r="BJ131" s="23" t="str">
        <f t="shared" si="409"/>
        <v>100%</v>
      </c>
      <c r="BK131" s="24">
        <f t="shared" si="410"/>
        <v>0.74285714285714277</v>
      </c>
      <c r="BL131" s="22" t="s">
        <v>92</v>
      </c>
      <c r="BM131" s="25" t="s">
        <v>711</v>
      </c>
      <c r="BN131" s="27">
        <v>80000000</v>
      </c>
      <c r="BO131" s="27">
        <v>35000000</v>
      </c>
      <c r="BP131" s="27">
        <v>80000000</v>
      </c>
      <c r="BQ131" s="27">
        <v>80000000</v>
      </c>
      <c r="BR131" s="27">
        <f t="shared" ref="BR131:BS131" si="493">+BN131+BP131</f>
        <v>160000000</v>
      </c>
      <c r="BS131" s="27">
        <f t="shared" si="493"/>
        <v>115000000</v>
      </c>
      <c r="BT131" s="20">
        <f t="shared" si="13"/>
        <v>0.71875</v>
      </c>
      <c r="BU131" s="27">
        <v>80000000</v>
      </c>
      <c r="BV131" s="27">
        <v>80000000</v>
      </c>
      <c r="BW131" s="27">
        <v>80000000</v>
      </c>
      <c r="BX131" s="27">
        <v>80000000</v>
      </c>
      <c r="BY131" s="28">
        <f t="shared" si="149"/>
        <v>1</v>
      </c>
      <c r="BZ131" s="27">
        <v>80000000</v>
      </c>
      <c r="CA131" s="20">
        <v>81600000</v>
      </c>
      <c r="CB131" s="29">
        <v>83232000</v>
      </c>
      <c r="CC131" s="29">
        <v>85728960</v>
      </c>
      <c r="CD131" s="29">
        <v>330560960</v>
      </c>
    </row>
    <row r="132" spans="1:82" ht="34.5" customHeight="1">
      <c r="A132" s="12" t="s">
        <v>657</v>
      </c>
      <c r="B132" s="13">
        <v>0.113</v>
      </c>
      <c r="C132" s="12"/>
      <c r="D132" s="14">
        <v>35</v>
      </c>
      <c r="E132" s="14">
        <v>3502</v>
      </c>
      <c r="F132" s="14">
        <v>17</v>
      </c>
      <c r="G132" s="14" t="s">
        <v>658</v>
      </c>
      <c r="H132" s="14">
        <v>200</v>
      </c>
      <c r="I132" s="14">
        <v>17.100000000000001</v>
      </c>
      <c r="J132" s="14" t="s">
        <v>702</v>
      </c>
      <c r="K132" s="14" t="s">
        <v>703</v>
      </c>
      <c r="L132" s="14" t="s">
        <v>704</v>
      </c>
      <c r="M132" s="14" t="s">
        <v>705</v>
      </c>
      <c r="N132" s="14">
        <v>0</v>
      </c>
      <c r="O132" s="16">
        <v>3502049</v>
      </c>
      <c r="P132" s="17">
        <v>2024257990017</v>
      </c>
      <c r="Q132" s="14" t="s">
        <v>663</v>
      </c>
      <c r="R132" s="18">
        <v>131</v>
      </c>
      <c r="S132" s="14" t="s">
        <v>712</v>
      </c>
      <c r="T132" s="14">
        <v>0</v>
      </c>
      <c r="U132" s="14" t="s">
        <v>88</v>
      </c>
      <c r="V132" s="14" t="s">
        <v>89</v>
      </c>
      <c r="W132" s="14" t="s">
        <v>713</v>
      </c>
      <c r="X132" s="14" t="s">
        <v>666</v>
      </c>
      <c r="Y132" s="19"/>
      <c r="Z132" s="18">
        <f t="shared" si="487"/>
        <v>2</v>
      </c>
      <c r="AA132" s="20">
        <f t="shared" si="1"/>
        <v>0.09</v>
      </c>
      <c r="AB132" s="20">
        <f t="shared" si="2"/>
        <v>0.4285714285714286</v>
      </c>
      <c r="AC132" s="21"/>
      <c r="AD132" s="21"/>
      <c r="AE132" s="21">
        <f t="shared" si="3"/>
        <v>0.16350000000000001</v>
      </c>
      <c r="AF132" s="14">
        <v>0.3</v>
      </c>
      <c r="AG132" s="14">
        <v>0.7</v>
      </c>
      <c r="AH132" s="14">
        <v>0.7</v>
      </c>
      <c r="AI132" s="14">
        <v>0.3</v>
      </c>
      <c r="AJ132" s="26"/>
      <c r="AK132" s="26"/>
      <c r="AL132" s="26"/>
      <c r="AM132" s="26"/>
      <c r="AN132" s="26">
        <v>0.1</v>
      </c>
      <c r="AO132" s="26">
        <v>0.1</v>
      </c>
      <c r="AP132" s="26">
        <v>0.1</v>
      </c>
      <c r="AQ132" s="26">
        <v>0.08</v>
      </c>
      <c r="AR132" s="22">
        <f t="shared" ref="AR132:AS132" si="494">(AJ132+AL132+AN132+AP132)</f>
        <v>0.2</v>
      </c>
      <c r="AS132" s="22">
        <f t="shared" si="494"/>
        <v>0.18</v>
      </c>
      <c r="AT132" s="22">
        <f t="shared" si="458"/>
        <v>0.89999999999999991</v>
      </c>
      <c r="AU132" s="23" t="str">
        <f t="shared" si="459"/>
        <v>100%</v>
      </c>
      <c r="AV132" s="24">
        <f t="shared" si="7"/>
        <v>0.89999999999999991</v>
      </c>
      <c r="AW132" s="14" t="s">
        <v>92</v>
      </c>
      <c r="AX132" s="30" t="s">
        <v>714</v>
      </c>
      <c r="AY132" s="14">
        <v>0.2</v>
      </c>
      <c r="AZ132" s="26">
        <v>0.2</v>
      </c>
      <c r="BA132" s="26">
        <v>0.3</v>
      </c>
      <c r="BB132" s="26">
        <v>0.3</v>
      </c>
      <c r="BC132" s="26">
        <v>0.1</v>
      </c>
      <c r="BD132" s="26">
        <v>0.1</v>
      </c>
      <c r="BE132" s="26">
        <v>0.1</v>
      </c>
      <c r="BF132" s="26"/>
      <c r="BG132" s="22">
        <f t="shared" ref="BG132:BH132" si="495">(AY132+BA132+BC132+BE132)</f>
        <v>0.7</v>
      </c>
      <c r="BH132" s="22">
        <f t="shared" si="495"/>
        <v>0.6</v>
      </c>
      <c r="BI132" s="22">
        <f t="shared" si="408"/>
        <v>0.85714285714285721</v>
      </c>
      <c r="BJ132" s="23" t="str">
        <f t="shared" si="409"/>
        <v>100%</v>
      </c>
      <c r="BK132" s="24">
        <f t="shared" si="410"/>
        <v>0.85714285714285721</v>
      </c>
      <c r="BL132" s="22" t="s">
        <v>92</v>
      </c>
      <c r="BM132" s="25" t="s">
        <v>714</v>
      </c>
      <c r="BN132" s="27">
        <v>100000000</v>
      </c>
      <c r="BO132" s="27">
        <v>30000000</v>
      </c>
      <c r="BP132" s="27">
        <v>33000000</v>
      </c>
      <c r="BQ132" s="27">
        <v>33000000</v>
      </c>
      <c r="BR132" s="27">
        <f t="shared" ref="BR132:BS132" si="496">+BN132+BP132</f>
        <v>133000000</v>
      </c>
      <c r="BS132" s="27">
        <f t="shared" si="496"/>
        <v>63000000</v>
      </c>
      <c r="BT132" s="20">
        <f t="shared" si="13"/>
        <v>0.47368421052631576</v>
      </c>
      <c r="BU132" s="27">
        <v>100000000</v>
      </c>
      <c r="BV132" s="27">
        <v>100000000</v>
      </c>
      <c r="BW132" s="27">
        <v>80000000</v>
      </c>
      <c r="BX132" s="27">
        <v>80000000</v>
      </c>
      <c r="BY132" s="28">
        <f t="shared" si="149"/>
        <v>0.8</v>
      </c>
      <c r="BZ132" s="27">
        <v>60000000</v>
      </c>
      <c r="CA132" s="20">
        <v>61200000</v>
      </c>
      <c r="CB132" s="29">
        <v>62424000</v>
      </c>
      <c r="CC132" s="29">
        <v>64296720</v>
      </c>
      <c r="CD132" s="29">
        <v>247920720</v>
      </c>
    </row>
    <row r="133" spans="1:82" ht="57.75" customHeight="1">
      <c r="A133" s="12" t="s">
        <v>657</v>
      </c>
      <c r="B133" s="13">
        <v>0.113</v>
      </c>
      <c r="C133" s="12"/>
      <c r="D133" s="14">
        <v>35</v>
      </c>
      <c r="E133" s="14">
        <v>3502</v>
      </c>
      <c r="F133" s="14">
        <v>17</v>
      </c>
      <c r="G133" s="14" t="s">
        <v>658</v>
      </c>
      <c r="H133" s="14">
        <v>200</v>
      </c>
      <c r="I133" s="14">
        <v>17.100000000000001</v>
      </c>
      <c r="J133" s="14" t="s">
        <v>702</v>
      </c>
      <c r="K133" s="14" t="s">
        <v>703</v>
      </c>
      <c r="L133" s="14" t="s">
        <v>704</v>
      </c>
      <c r="M133" s="14" t="s">
        <v>705</v>
      </c>
      <c r="N133" s="14">
        <v>0</v>
      </c>
      <c r="O133" s="16">
        <v>3502045</v>
      </c>
      <c r="P133" s="17">
        <v>2024257990017</v>
      </c>
      <c r="Q133" s="14" t="s">
        <v>663</v>
      </c>
      <c r="R133" s="18">
        <v>132</v>
      </c>
      <c r="S133" s="14" t="s">
        <v>715</v>
      </c>
      <c r="T133" s="14">
        <v>2</v>
      </c>
      <c r="U133" s="14" t="s">
        <v>88</v>
      </c>
      <c r="V133" s="14" t="s">
        <v>89</v>
      </c>
      <c r="W133" s="14" t="s">
        <v>716</v>
      </c>
      <c r="X133" s="14" t="s">
        <v>666</v>
      </c>
      <c r="Y133" s="19"/>
      <c r="Z133" s="18">
        <f>SUM(AF133:AI133)/4</f>
        <v>4</v>
      </c>
      <c r="AA133" s="20">
        <f t="shared" si="1"/>
        <v>4.75</v>
      </c>
      <c r="AB133" s="20">
        <f t="shared" si="2"/>
        <v>0.25</v>
      </c>
      <c r="AC133" s="21"/>
      <c r="AD133" s="21"/>
      <c r="AE133" s="21">
        <f t="shared" si="3"/>
        <v>0.8</v>
      </c>
      <c r="AF133" s="29">
        <v>4</v>
      </c>
      <c r="AG133" s="29">
        <v>4</v>
      </c>
      <c r="AH133" s="29">
        <v>4</v>
      </c>
      <c r="AI133" s="29">
        <v>4</v>
      </c>
      <c r="AJ133" s="26"/>
      <c r="AK133" s="26"/>
      <c r="AL133" s="26"/>
      <c r="AM133" s="26"/>
      <c r="AN133" s="26">
        <v>4</v>
      </c>
      <c r="AO133" s="26">
        <v>9</v>
      </c>
      <c r="AP133" s="26">
        <v>4</v>
      </c>
      <c r="AQ133" s="26">
        <v>10</v>
      </c>
      <c r="AR133" s="22">
        <f>(AJ133+AL133+AN133+AP133)/2</f>
        <v>4</v>
      </c>
      <c r="AS133" s="22">
        <f>(AK133+AM133+AO133+AQ133)</f>
        <v>19</v>
      </c>
      <c r="AT133" s="22">
        <f t="shared" si="458"/>
        <v>4.75</v>
      </c>
      <c r="AU133" s="23" t="str">
        <f t="shared" si="459"/>
        <v>100%</v>
      </c>
      <c r="AV133" s="24">
        <f t="shared" si="7"/>
        <v>4.75</v>
      </c>
      <c r="AW133" s="14" t="s">
        <v>92</v>
      </c>
      <c r="AX133" s="30" t="s">
        <v>717</v>
      </c>
      <c r="AY133" s="26">
        <v>1</v>
      </c>
      <c r="AZ133" s="26">
        <v>1</v>
      </c>
      <c r="BA133" s="26">
        <v>2</v>
      </c>
      <c r="BB133" s="26">
        <v>2</v>
      </c>
      <c r="BC133" s="26">
        <v>1</v>
      </c>
      <c r="BD133" s="26">
        <v>1</v>
      </c>
      <c r="BE133" s="26">
        <v>0</v>
      </c>
      <c r="BF133" s="26"/>
      <c r="BG133" s="22">
        <f t="shared" ref="BG133:BH133" si="497">(AY133+BA133+BC133+BE133)</f>
        <v>4</v>
      </c>
      <c r="BH133" s="22">
        <f t="shared" si="497"/>
        <v>4</v>
      </c>
      <c r="BI133" s="22">
        <f t="shared" si="408"/>
        <v>1</v>
      </c>
      <c r="BJ133" s="23" t="str">
        <f t="shared" si="409"/>
        <v>100%</v>
      </c>
      <c r="BK133" s="24">
        <f t="shared" si="410"/>
        <v>1</v>
      </c>
      <c r="BL133" s="22" t="s">
        <v>92</v>
      </c>
      <c r="BM133" s="25" t="s">
        <v>717</v>
      </c>
      <c r="BN133" s="27">
        <v>25000000</v>
      </c>
      <c r="BO133" s="27">
        <v>5000000</v>
      </c>
      <c r="BP133" s="27">
        <v>40000000</v>
      </c>
      <c r="BQ133" s="27">
        <v>40000000</v>
      </c>
      <c r="BR133" s="27">
        <f t="shared" ref="BR133:BS133" si="498">+BN133+BP133</f>
        <v>65000000</v>
      </c>
      <c r="BS133" s="27">
        <f t="shared" si="498"/>
        <v>45000000</v>
      </c>
      <c r="BT133" s="20">
        <f t="shared" si="13"/>
        <v>0.69230769230769229</v>
      </c>
      <c r="BU133" s="27">
        <v>25000000</v>
      </c>
      <c r="BV133" s="27">
        <v>25000000</v>
      </c>
      <c r="BW133" s="27">
        <v>20000000</v>
      </c>
      <c r="BX133" s="27">
        <v>20000000</v>
      </c>
      <c r="BY133" s="28">
        <f t="shared" si="149"/>
        <v>0.8</v>
      </c>
      <c r="BZ133" s="27">
        <v>40000000</v>
      </c>
      <c r="CA133" s="20">
        <v>40800000</v>
      </c>
      <c r="CB133" s="29">
        <v>41616000</v>
      </c>
      <c r="CC133" s="29">
        <v>42864480</v>
      </c>
      <c r="CD133" s="29">
        <v>165280480</v>
      </c>
    </row>
    <row r="134" spans="1:82" ht="39.75" customHeight="1">
      <c r="A134" s="12" t="s">
        <v>657</v>
      </c>
      <c r="B134" s="13">
        <v>0.113</v>
      </c>
      <c r="C134" s="12"/>
      <c r="D134" s="14">
        <v>35</v>
      </c>
      <c r="E134" s="14">
        <v>3502</v>
      </c>
      <c r="F134" s="14">
        <v>17</v>
      </c>
      <c r="G134" s="14" t="s">
        <v>658</v>
      </c>
      <c r="H134" s="14">
        <v>200</v>
      </c>
      <c r="I134" s="14">
        <v>17.100000000000001</v>
      </c>
      <c r="J134" s="14" t="s">
        <v>702</v>
      </c>
      <c r="K134" s="14" t="s">
        <v>703</v>
      </c>
      <c r="L134" s="14" t="s">
        <v>704</v>
      </c>
      <c r="M134" s="14" t="s">
        <v>705</v>
      </c>
      <c r="N134" s="14">
        <v>0</v>
      </c>
      <c r="O134" s="59">
        <v>3502093</v>
      </c>
      <c r="P134" s="17">
        <v>2024257990017</v>
      </c>
      <c r="Q134" s="14" t="s">
        <v>663</v>
      </c>
      <c r="R134" s="18">
        <v>133</v>
      </c>
      <c r="S134" s="14" t="s">
        <v>718</v>
      </c>
      <c r="T134" s="14">
        <v>0</v>
      </c>
      <c r="U134" s="14" t="s">
        <v>88</v>
      </c>
      <c r="V134" s="14" t="s">
        <v>89</v>
      </c>
      <c r="W134" s="14" t="s">
        <v>719</v>
      </c>
      <c r="X134" s="14" t="s">
        <v>666</v>
      </c>
      <c r="Y134" s="19"/>
      <c r="Z134" s="18">
        <f t="shared" ref="Z134:Z136" si="499">SUM(AF134:AI134)</f>
        <v>1.0000000000000002</v>
      </c>
      <c r="AA134" s="20">
        <f t="shared" si="1"/>
        <v>0.19999999999999996</v>
      </c>
      <c r="AB134" s="20">
        <f t="shared" si="2"/>
        <v>0.75</v>
      </c>
      <c r="AC134" s="21"/>
      <c r="AD134" s="21"/>
      <c r="AE134" s="21">
        <f t="shared" si="3"/>
        <v>0.29249999999999993</v>
      </c>
      <c r="AF134" s="14">
        <v>0.2</v>
      </c>
      <c r="AG134" s="14">
        <v>0.4</v>
      </c>
      <c r="AH134" s="14">
        <v>0.3</v>
      </c>
      <c r="AI134" s="14">
        <v>0.1</v>
      </c>
      <c r="AJ134" s="26"/>
      <c r="AK134" s="26"/>
      <c r="AL134" s="26"/>
      <c r="AM134" s="26"/>
      <c r="AN134" s="26">
        <v>0.05</v>
      </c>
      <c r="AO134" s="26">
        <v>0.05</v>
      </c>
      <c r="AP134" s="26">
        <v>0.15</v>
      </c>
      <c r="AQ134" s="26">
        <v>0.15</v>
      </c>
      <c r="AR134" s="22">
        <f t="shared" ref="AR134:AS134" si="500">(AJ134+AL134+AN134+AP134)</f>
        <v>0.2</v>
      </c>
      <c r="AS134" s="22">
        <f t="shared" si="500"/>
        <v>0.2</v>
      </c>
      <c r="AT134" s="22">
        <f t="shared" si="458"/>
        <v>1</v>
      </c>
      <c r="AU134" s="23" t="str">
        <f t="shared" si="459"/>
        <v>100%</v>
      </c>
      <c r="AV134" s="24">
        <f t="shared" si="7"/>
        <v>1</v>
      </c>
      <c r="AW134" s="14" t="s">
        <v>92</v>
      </c>
      <c r="AX134" s="30" t="s">
        <v>720</v>
      </c>
      <c r="AY134" s="14">
        <v>0</v>
      </c>
      <c r="AZ134" s="26">
        <v>0</v>
      </c>
      <c r="BA134" s="14">
        <v>0.2</v>
      </c>
      <c r="BB134" s="26">
        <v>0.1</v>
      </c>
      <c r="BC134" s="14">
        <v>0.2</v>
      </c>
      <c r="BD134" s="14">
        <v>0.2</v>
      </c>
      <c r="BE134" s="14"/>
      <c r="BF134" s="26"/>
      <c r="BG134" s="22">
        <f t="shared" ref="BG134:BH134" si="501">(AY134+BA134+BC134+BE134)</f>
        <v>0.4</v>
      </c>
      <c r="BH134" s="22">
        <f t="shared" si="501"/>
        <v>0.30000000000000004</v>
      </c>
      <c r="BI134" s="22">
        <f t="shared" si="408"/>
        <v>0.75000000000000011</v>
      </c>
      <c r="BJ134" s="23" t="str">
        <f t="shared" si="409"/>
        <v>100%</v>
      </c>
      <c r="BK134" s="24">
        <f t="shared" si="410"/>
        <v>0.75000000000000011</v>
      </c>
      <c r="BL134" s="22" t="s">
        <v>92</v>
      </c>
      <c r="BM134" s="25" t="s">
        <v>720</v>
      </c>
      <c r="BN134" s="27">
        <v>20000000</v>
      </c>
      <c r="BO134" s="27">
        <v>10000000</v>
      </c>
      <c r="BP134" s="27">
        <v>20000000</v>
      </c>
      <c r="BQ134" s="27">
        <v>20000000</v>
      </c>
      <c r="BR134" s="27">
        <f t="shared" ref="BR134:BS134" si="502">+BN134+BP134</f>
        <v>40000000</v>
      </c>
      <c r="BS134" s="27">
        <f t="shared" si="502"/>
        <v>30000000</v>
      </c>
      <c r="BT134" s="20">
        <f t="shared" si="13"/>
        <v>0.75</v>
      </c>
      <c r="BU134" s="27">
        <v>20000000</v>
      </c>
      <c r="BV134" s="27">
        <v>20000000</v>
      </c>
      <c r="BW134" s="27">
        <v>20000000</v>
      </c>
      <c r="BX134" s="27">
        <v>20000000</v>
      </c>
      <c r="BY134" s="28">
        <f t="shared" si="149"/>
        <v>1</v>
      </c>
      <c r="BZ134" s="27">
        <v>15000000</v>
      </c>
      <c r="CA134" s="20">
        <v>15300000</v>
      </c>
      <c r="CB134" s="29">
        <v>15606000</v>
      </c>
      <c r="CC134" s="29">
        <v>16074180</v>
      </c>
      <c r="CD134" s="29">
        <v>61980180</v>
      </c>
    </row>
    <row r="135" spans="1:82" ht="39.75" customHeight="1">
      <c r="A135" s="12" t="s">
        <v>657</v>
      </c>
      <c r="B135" s="13">
        <v>0.113</v>
      </c>
      <c r="C135" s="12"/>
      <c r="D135" s="14">
        <v>35</v>
      </c>
      <c r="E135" s="14">
        <v>3502</v>
      </c>
      <c r="F135" s="14">
        <v>17</v>
      </c>
      <c r="G135" s="14" t="s">
        <v>658</v>
      </c>
      <c r="H135" s="14">
        <v>200</v>
      </c>
      <c r="I135" s="14">
        <v>17.100000000000001</v>
      </c>
      <c r="J135" s="14" t="s">
        <v>702</v>
      </c>
      <c r="K135" s="14" t="s">
        <v>703</v>
      </c>
      <c r="L135" s="14" t="s">
        <v>704</v>
      </c>
      <c r="M135" s="14" t="s">
        <v>705</v>
      </c>
      <c r="N135" s="14">
        <v>0</v>
      </c>
      <c r="O135" s="59">
        <v>3502046</v>
      </c>
      <c r="P135" s="17">
        <v>2024257990017</v>
      </c>
      <c r="Q135" s="14" t="s">
        <v>663</v>
      </c>
      <c r="R135" s="18">
        <v>134</v>
      </c>
      <c r="S135" s="14" t="s">
        <v>721</v>
      </c>
      <c r="T135" s="14">
        <v>2</v>
      </c>
      <c r="U135" s="14" t="s">
        <v>88</v>
      </c>
      <c r="V135" s="14" t="s">
        <v>114</v>
      </c>
      <c r="W135" s="14" t="s">
        <v>722</v>
      </c>
      <c r="X135" s="14" t="s">
        <v>206</v>
      </c>
      <c r="Y135" s="19"/>
      <c r="Z135" s="18">
        <f t="shared" si="499"/>
        <v>4</v>
      </c>
      <c r="AA135" s="20">
        <f t="shared" si="1"/>
        <v>0.25</v>
      </c>
      <c r="AB135" s="20">
        <f t="shared" si="2"/>
        <v>7.4999999999999997E-2</v>
      </c>
      <c r="AC135" s="21"/>
      <c r="AD135" s="21"/>
      <c r="AE135" s="21">
        <f t="shared" si="3"/>
        <v>6.3750000000000001E-2</v>
      </c>
      <c r="AF135" s="60">
        <v>1</v>
      </c>
      <c r="AG135" s="60">
        <v>1</v>
      </c>
      <c r="AH135" s="60">
        <v>1</v>
      </c>
      <c r="AI135" s="60">
        <v>1</v>
      </c>
      <c r="AJ135" s="26"/>
      <c r="AK135" s="26"/>
      <c r="AL135" s="26"/>
      <c r="AM135" s="26"/>
      <c r="AN135" s="44">
        <v>1E-3</v>
      </c>
      <c r="AO135" s="26">
        <v>0</v>
      </c>
      <c r="AP135" s="26">
        <v>1</v>
      </c>
      <c r="AQ135" s="26">
        <v>1</v>
      </c>
      <c r="AR135" s="22">
        <f t="shared" ref="AR135:AS135" si="503">(AJ135+AL135+AN135+AP135)</f>
        <v>1.0009999999999999</v>
      </c>
      <c r="AS135" s="22">
        <f t="shared" si="503"/>
        <v>1</v>
      </c>
      <c r="AT135" s="24">
        <f t="shared" ref="AT135:AT136" si="504">IF(AQ135=0, 0, AR135/AQ135)</f>
        <v>1.0009999999999999</v>
      </c>
      <c r="AU135" s="23" t="str">
        <f t="shared" si="459"/>
        <v>100%</v>
      </c>
      <c r="AV135" s="24">
        <f t="shared" si="7"/>
        <v>0.99900099900099915</v>
      </c>
      <c r="AW135" s="14" t="s">
        <v>92</v>
      </c>
      <c r="AX135" s="30" t="s">
        <v>723</v>
      </c>
      <c r="AY135" s="46">
        <v>0</v>
      </c>
      <c r="AZ135" s="26">
        <v>0</v>
      </c>
      <c r="BA135" s="46">
        <v>0</v>
      </c>
      <c r="BB135" s="26">
        <v>0</v>
      </c>
      <c r="BC135" s="46">
        <v>0.3</v>
      </c>
      <c r="BD135" s="46">
        <v>0.3</v>
      </c>
      <c r="BE135" s="46">
        <v>0.7</v>
      </c>
      <c r="BF135" s="26"/>
      <c r="BG135" s="22">
        <f t="shared" ref="BG135:BH135" si="505">(AY135+BA135+BC135+BE135)</f>
        <v>1</v>
      </c>
      <c r="BH135" s="22">
        <f t="shared" si="505"/>
        <v>0.3</v>
      </c>
      <c r="BI135" s="22">
        <f t="shared" si="408"/>
        <v>0.3</v>
      </c>
      <c r="BJ135" s="23" t="str">
        <f t="shared" si="409"/>
        <v>100%</v>
      </c>
      <c r="BK135" s="24">
        <f t="shared" si="410"/>
        <v>0.3</v>
      </c>
      <c r="BL135" s="22" t="s">
        <v>92</v>
      </c>
      <c r="BM135" s="25" t="s">
        <v>724</v>
      </c>
      <c r="BN135" s="27">
        <v>700000000</v>
      </c>
      <c r="BO135" s="27">
        <v>0</v>
      </c>
      <c r="BP135" s="27">
        <v>1000000000</v>
      </c>
      <c r="BQ135" s="27">
        <v>1000000000</v>
      </c>
      <c r="BR135" s="27">
        <f t="shared" ref="BR135:BS135" si="506">+BN135+BP135</f>
        <v>1700000000</v>
      </c>
      <c r="BS135" s="27">
        <f t="shared" si="506"/>
        <v>1000000000</v>
      </c>
      <c r="BT135" s="20">
        <f t="shared" si="13"/>
        <v>0.58823529411764708</v>
      </c>
      <c r="BU135" s="27">
        <v>700000000</v>
      </c>
      <c r="BV135" s="27">
        <v>1310214914</v>
      </c>
      <c r="BW135" s="27">
        <v>0</v>
      </c>
      <c r="BX135" s="27">
        <v>0</v>
      </c>
      <c r="BY135" s="28">
        <f t="shared" si="149"/>
        <v>0</v>
      </c>
      <c r="BZ135" s="27">
        <v>1000000000</v>
      </c>
      <c r="CA135" s="20">
        <v>1000000000</v>
      </c>
      <c r="CB135" s="29">
        <v>1020000000</v>
      </c>
      <c r="CC135" s="29">
        <v>1050600000</v>
      </c>
      <c r="CD135" s="29">
        <v>4070600000</v>
      </c>
    </row>
    <row r="136" spans="1:82" ht="39.75" customHeight="1">
      <c r="A136" s="12" t="s">
        <v>657</v>
      </c>
      <c r="B136" s="13">
        <v>0.113</v>
      </c>
      <c r="C136" s="12"/>
      <c r="D136" s="14">
        <v>35</v>
      </c>
      <c r="E136" s="14">
        <v>3502</v>
      </c>
      <c r="F136" s="14">
        <v>17</v>
      </c>
      <c r="G136" s="14" t="s">
        <v>658</v>
      </c>
      <c r="H136" s="14">
        <v>200</v>
      </c>
      <c r="I136" s="14">
        <v>17.100000000000001</v>
      </c>
      <c r="J136" s="14" t="s">
        <v>702</v>
      </c>
      <c r="K136" s="14" t="s">
        <v>703</v>
      </c>
      <c r="L136" s="14" t="s">
        <v>704</v>
      </c>
      <c r="M136" s="14" t="s">
        <v>705</v>
      </c>
      <c r="N136" s="14">
        <v>0</v>
      </c>
      <c r="O136" s="59">
        <v>3502053</v>
      </c>
      <c r="P136" s="17">
        <v>2024257990017</v>
      </c>
      <c r="Q136" s="14" t="s">
        <v>663</v>
      </c>
      <c r="R136" s="18">
        <v>135</v>
      </c>
      <c r="S136" s="14" t="s">
        <v>725</v>
      </c>
      <c r="T136" s="14">
        <v>0</v>
      </c>
      <c r="U136" s="14" t="s">
        <v>88</v>
      </c>
      <c r="V136" s="14" t="s">
        <v>89</v>
      </c>
      <c r="W136" s="14" t="s">
        <v>726</v>
      </c>
      <c r="X136" s="14" t="s">
        <v>666</v>
      </c>
      <c r="Y136" s="19"/>
      <c r="Z136" s="18">
        <f t="shared" si="499"/>
        <v>1</v>
      </c>
      <c r="AA136" s="20">
        <f t="shared" si="1"/>
        <v>0</v>
      </c>
      <c r="AB136" s="20">
        <f t="shared" si="2"/>
        <v>0.33333333333333337</v>
      </c>
      <c r="AC136" s="21"/>
      <c r="AD136" s="21"/>
      <c r="AE136" s="21">
        <f t="shared" si="3"/>
        <v>0.11666666666666667</v>
      </c>
      <c r="AF136" s="29">
        <v>0</v>
      </c>
      <c r="AG136" s="60">
        <v>1</v>
      </c>
      <c r="AH136" s="29">
        <v>0</v>
      </c>
      <c r="AI136" s="29">
        <v>0</v>
      </c>
      <c r="AJ136" s="26"/>
      <c r="AK136" s="26"/>
      <c r="AL136" s="26"/>
      <c r="AM136" s="26"/>
      <c r="AN136" s="34">
        <v>0</v>
      </c>
      <c r="AO136" s="34">
        <v>0</v>
      </c>
      <c r="AP136" s="34">
        <v>0</v>
      </c>
      <c r="AQ136" s="34">
        <v>0</v>
      </c>
      <c r="AR136" s="34">
        <v>0</v>
      </c>
      <c r="AS136" s="34">
        <f>(AK136+AM136+AO136+AQ136)/2</f>
        <v>0</v>
      </c>
      <c r="AT136" s="24">
        <f t="shared" si="504"/>
        <v>0</v>
      </c>
      <c r="AU136" s="23" t="str">
        <f>IF(AR136&gt; 1, IF(AR136 = AS136, "100%", AR136 &amp; "%"), IF(AR136 &lt;= 0.01, "0%", AR136 * 100 &amp; "%"))</f>
        <v>0%</v>
      </c>
      <c r="AV136" s="24">
        <f t="shared" si="7"/>
        <v>0</v>
      </c>
      <c r="AW136" s="26" t="s">
        <v>192</v>
      </c>
      <c r="AX136" s="26"/>
      <c r="AY136" s="46">
        <v>0</v>
      </c>
      <c r="AZ136" s="46">
        <v>0</v>
      </c>
      <c r="BA136" s="46">
        <v>0.1</v>
      </c>
      <c r="BB136" s="46">
        <v>0.1</v>
      </c>
      <c r="BC136" s="46">
        <v>0.4</v>
      </c>
      <c r="BD136" s="46">
        <v>0.2</v>
      </c>
      <c r="BE136" s="46">
        <v>0.4</v>
      </c>
      <c r="BF136" s="26"/>
      <c r="BG136" s="22">
        <f t="shared" ref="BG136:BH136" si="507">(AY136+BA136+BC136+BE136)</f>
        <v>0.9</v>
      </c>
      <c r="BH136" s="22">
        <f t="shared" si="507"/>
        <v>0.30000000000000004</v>
      </c>
      <c r="BI136" s="22">
        <f t="shared" si="408"/>
        <v>0.33333333333333337</v>
      </c>
      <c r="BJ136" s="23" t="str">
        <f t="shared" si="409"/>
        <v>100%</v>
      </c>
      <c r="BK136" s="24">
        <f t="shared" si="410"/>
        <v>0.33333333333333337</v>
      </c>
      <c r="BL136" s="26" t="s">
        <v>92</v>
      </c>
      <c r="BM136" s="25" t="s">
        <v>727</v>
      </c>
      <c r="BN136" s="27">
        <v>120000000</v>
      </c>
      <c r="BO136" s="27">
        <v>0</v>
      </c>
      <c r="BP136" s="27">
        <v>0</v>
      </c>
      <c r="BQ136" s="27">
        <v>0</v>
      </c>
      <c r="BR136" s="27">
        <f t="shared" ref="BR136:BS136" si="508">+BN136+BP136</f>
        <v>120000000</v>
      </c>
      <c r="BS136" s="27">
        <f t="shared" si="508"/>
        <v>0</v>
      </c>
      <c r="BT136" s="20">
        <f t="shared" si="13"/>
        <v>0</v>
      </c>
      <c r="BU136" s="27">
        <v>120000000</v>
      </c>
      <c r="BV136" s="27">
        <v>120000000</v>
      </c>
      <c r="BW136" s="27">
        <v>120000000</v>
      </c>
      <c r="BX136" s="27">
        <v>120000000</v>
      </c>
      <c r="BY136" s="28">
        <f t="shared" si="149"/>
        <v>1</v>
      </c>
      <c r="BZ136" s="27">
        <v>0</v>
      </c>
      <c r="CA136" s="20">
        <v>80000000</v>
      </c>
      <c r="CB136" s="29">
        <v>81600000</v>
      </c>
      <c r="CC136" s="29">
        <v>84048000</v>
      </c>
      <c r="CD136" s="29">
        <v>245648000</v>
      </c>
    </row>
    <row r="137" spans="1:82" ht="50.25" customHeight="1">
      <c r="A137" s="12" t="s">
        <v>657</v>
      </c>
      <c r="B137" s="13">
        <v>0.113</v>
      </c>
      <c r="C137" s="12"/>
      <c r="D137" s="14">
        <v>35</v>
      </c>
      <c r="E137" s="14">
        <v>3502</v>
      </c>
      <c r="F137" s="14">
        <v>17</v>
      </c>
      <c r="G137" s="14" t="s">
        <v>658</v>
      </c>
      <c r="H137" s="14">
        <v>200</v>
      </c>
      <c r="I137" s="14">
        <v>17.100000000000001</v>
      </c>
      <c r="J137" s="14" t="s">
        <v>728</v>
      </c>
      <c r="K137" s="14" t="s">
        <v>729</v>
      </c>
      <c r="L137" s="14" t="s">
        <v>730</v>
      </c>
      <c r="M137" s="14" t="s">
        <v>731</v>
      </c>
      <c r="N137" s="14">
        <v>0</v>
      </c>
      <c r="O137" s="59">
        <v>3502045</v>
      </c>
      <c r="P137" s="17">
        <v>2024257990017</v>
      </c>
      <c r="Q137" s="14" t="s">
        <v>663</v>
      </c>
      <c r="R137" s="18">
        <v>136</v>
      </c>
      <c r="S137" s="14" t="s">
        <v>732</v>
      </c>
      <c r="T137" s="14">
        <v>0</v>
      </c>
      <c r="U137" s="14" t="s">
        <v>88</v>
      </c>
      <c r="V137" s="14" t="s">
        <v>89</v>
      </c>
      <c r="W137" s="14" t="s">
        <v>733</v>
      </c>
      <c r="X137" s="14" t="s">
        <v>666</v>
      </c>
      <c r="Y137" s="19" t="s">
        <v>124</v>
      </c>
      <c r="Z137" s="14">
        <f>SUM(AF137:AI137)/4</f>
        <v>3</v>
      </c>
      <c r="AA137" s="20">
        <f t="shared" si="1"/>
        <v>1</v>
      </c>
      <c r="AB137" s="20">
        <f t="shared" si="2"/>
        <v>0.25</v>
      </c>
      <c r="AC137" s="21"/>
      <c r="AD137" s="21"/>
      <c r="AE137" s="21">
        <f t="shared" si="3"/>
        <v>0.23749999999999999</v>
      </c>
      <c r="AF137" s="29">
        <v>3</v>
      </c>
      <c r="AG137" s="29">
        <v>3</v>
      </c>
      <c r="AH137" s="29">
        <v>3</v>
      </c>
      <c r="AI137" s="29">
        <v>3</v>
      </c>
      <c r="AJ137" s="26"/>
      <c r="AK137" s="26"/>
      <c r="AL137" s="26"/>
      <c r="AM137" s="26"/>
      <c r="AN137" s="26">
        <v>2</v>
      </c>
      <c r="AO137" s="26">
        <v>2</v>
      </c>
      <c r="AP137" s="26">
        <v>1</v>
      </c>
      <c r="AQ137" s="26">
        <v>1</v>
      </c>
      <c r="AR137" s="22">
        <f t="shared" ref="AR137:AS137" si="509">(AJ137+AL137+AN137+AP137)</f>
        <v>3</v>
      </c>
      <c r="AS137" s="22">
        <f t="shared" si="509"/>
        <v>3</v>
      </c>
      <c r="AT137" s="22">
        <f t="shared" ref="AT137:AT145" si="510">AS137/AR137</f>
        <v>1</v>
      </c>
      <c r="AU137" s="23" t="str">
        <f t="shared" ref="AU137:AU145" si="511">MIN((AR137 /AR137) * 100, 100) &amp; "%"</f>
        <v>100%</v>
      </c>
      <c r="AV137" s="24">
        <f t="shared" si="7"/>
        <v>1</v>
      </c>
      <c r="AW137" s="14" t="s">
        <v>92</v>
      </c>
      <c r="AX137" s="30" t="s">
        <v>734</v>
      </c>
      <c r="AY137" s="26">
        <v>3</v>
      </c>
      <c r="AZ137" s="26">
        <v>3</v>
      </c>
      <c r="BA137" s="26">
        <v>3</v>
      </c>
      <c r="BB137" s="26">
        <v>3</v>
      </c>
      <c r="BC137" s="26">
        <v>3</v>
      </c>
      <c r="BD137" s="26">
        <v>3</v>
      </c>
      <c r="BE137" s="26">
        <v>3</v>
      </c>
      <c r="BF137" s="26"/>
      <c r="BG137" s="22">
        <f t="shared" ref="BG137:BH137" si="512">(AY137+BA137+BC137+BE137)/4</f>
        <v>3</v>
      </c>
      <c r="BH137" s="22">
        <f t="shared" si="512"/>
        <v>2.25</v>
      </c>
      <c r="BI137" s="22">
        <f t="shared" si="408"/>
        <v>0.75</v>
      </c>
      <c r="BJ137" s="23" t="str">
        <f t="shared" si="409"/>
        <v>100%</v>
      </c>
      <c r="BK137" s="24">
        <f t="shared" si="410"/>
        <v>0.75</v>
      </c>
      <c r="BL137" s="22" t="s">
        <v>92</v>
      </c>
      <c r="BM137" s="25" t="s">
        <v>734</v>
      </c>
      <c r="BN137" s="27">
        <v>104000000</v>
      </c>
      <c r="BO137" s="27">
        <v>24000000</v>
      </c>
      <c r="BP137" s="27">
        <v>83764160</v>
      </c>
      <c r="BQ137" s="27">
        <v>83764160</v>
      </c>
      <c r="BR137" s="27">
        <f t="shared" ref="BR137:BS137" si="513">+BN137+BP137</f>
        <v>187764160</v>
      </c>
      <c r="BS137" s="27">
        <f t="shared" si="513"/>
        <v>107764160</v>
      </c>
      <c r="BT137" s="20">
        <f t="shared" si="13"/>
        <v>0.57393359840344393</v>
      </c>
      <c r="BU137" s="27">
        <v>70000000</v>
      </c>
      <c r="BV137" s="27">
        <v>104000000</v>
      </c>
      <c r="BW137" s="27">
        <v>93000000</v>
      </c>
      <c r="BX137" s="27">
        <v>93000000</v>
      </c>
      <c r="BY137" s="28">
        <f t="shared" si="149"/>
        <v>0.89423076923076927</v>
      </c>
      <c r="BZ137" s="27">
        <v>30000000</v>
      </c>
      <c r="CA137" s="20">
        <v>30600000</v>
      </c>
      <c r="CB137" s="29">
        <v>31212000</v>
      </c>
      <c r="CC137" s="29">
        <v>32148360</v>
      </c>
      <c r="CD137" s="29">
        <v>123960360</v>
      </c>
    </row>
    <row r="138" spans="1:82" ht="39.75" customHeight="1">
      <c r="A138" s="12" t="s">
        <v>657</v>
      </c>
      <c r="B138" s="13">
        <v>0.113</v>
      </c>
      <c r="C138" s="12"/>
      <c r="D138" s="14">
        <v>35</v>
      </c>
      <c r="E138" s="14">
        <v>3502</v>
      </c>
      <c r="F138" s="14">
        <v>17</v>
      </c>
      <c r="G138" s="14" t="s">
        <v>658</v>
      </c>
      <c r="H138" s="14">
        <v>200</v>
      </c>
      <c r="I138" s="14">
        <v>17.100000000000001</v>
      </c>
      <c r="J138" s="14" t="s">
        <v>728</v>
      </c>
      <c r="K138" s="14" t="s">
        <v>729</v>
      </c>
      <c r="L138" s="14" t="s">
        <v>730</v>
      </c>
      <c r="M138" s="14" t="s">
        <v>731</v>
      </c>
      <c r="N138" s="14">
        <v>0</v>
      </c>
      <c r="O138" s="59">
        <v>3502036</v>
      </c>
      <c r="P138" s="17">
        <v>2024257990017</v>
      </c>
      <c r="Q138" s="14" t="s">
        <v>663</v>
      </c>
      <c r="R138" s="18">
        <v>137</v>
      </c>
      <c r="S138" s="14" t="s">
        <v>735</v>
      </c>
      <c r="T138" s="14">
        <v>0</v>
      </c>
      <c r="U138" s="14" t="s">
        <v>88</v>
      </c>
      <c r="V138" s="14" t="s">
        <v>89</v>
      </c>
      <c r="W138" s="14" t="s">
        <v>736</v>
      </c>
      <c r="X138" s="14" t="s">
        <v>666</v>
      </c>
      <c r="Y138" s="19" t="s">
        <v>124</v>
      </c>
      <c r="Z138" s="18">
        <f t="shared" ref="Z138:Z139" si="514">SUM(AF138:AI138)</f>
        <v>1</v>
      </c>
      <c r="AA138" s="20">
        <f t="shared" si="1"/>
        <v>1</v>
      </c>
      <c r="AB138" s="20">
        <f t="shared" si="2"/>
        <v>0.66666666666666663</v>
      </c>
      <c r="AC138" s="21"/>
      <c r="AD138" s="21"/>
      <c r="AE138" s="21">
        <f t="shared" si="3"/>
        <v>0.3833333333333333</v>
      </c>
      <c r="AF138" s="22">
        <v>0.1</v>
      </c>
      <c r="AG138" s="22">
        <v>0.3</v>
      </c>
      <c r="AH138" s="22">
        <v>0.4</v>
      </c>
      <c r="AI138" s="22">
        <v>0.2</v>
      </c>
      <c r="AJ138" s="26"/>
      <c r="AK138" s="26"/>
      <c r="AL138" s="26"/>
      <c r="AM138" s="26"/>
      <c r="AN138" s="26">
        <v>0.5</v>
      </c>
      <c r="AO138" s="26">
        <v>0.5</v>
      </c>
      <c r="AP138" s="26">
        <v>0.5</v>
      </c>
      <c r="AQ138" s="26">
        <v>0.5</v>
      </c>
      <c r="AR138" s="22">
        <f t="shared" ref="AR138:AS138" si="515">(AJ138+AL138+AN138+AP138)</f>
        <v>1</v>
      </c>
      <c r="AS138" s="22">
        <f t="shared" si="515"/>
        <v>1</v>
      </c>
      <c r="AT138" s="22">
        <f t="shared" si="510"/>
        <v>1</v>
      </c>
      <c r="AU138" s="23" t="str">
        <f t="shared" si="511"/>
        <v>100%</v>
      </c>
      <c r="AV138" s="24">
        <f t="shared" si="7"/>
        <v>1</v>
      </c>
      <c r="AW138" s="14" t="s">
        <v>92</v>
      </c>
      <c r="AX138" s="30" t="s">
        <v>737</v>
      </c>
      <c r="AY138" s="14">
        <v>0</v>
      </c>
      <c r="AZ138" s="26">
        <v>0</v>
      </c>
      <c r="BA138" s="14">
        <v>0.1</v>
      </c>
      <c r="BB138" s="14">
        <v>0.1</v>
      </c>
      <c r="BC138" s="14">
        <v>0.1</v>
      </c>
      <c r="BD138" s="14">
        <v>0.1</v>
      </c>
      <c r="BE138" s="14">
        <v>0.1</v>
      </c>
      <c r="BF138" s="26"/>
      <c r="BG138" s="22">
        <f t="shared" ref="BG138:BH138" si="516">(AY138+BA138+BC138+BE138)</f>
        <v>0.30000000000000004</v>
      </c>
      <c r="BH138" s="22">
        <f t="shared" si="516"/>
        <v>0.2</v>
      </c>
      <c r="BI138" s="22">
        <f t="shared" si="408"/>
        <v>0.66666666666666663</v>
      </c>
      <c r="BJ138" s="23" t="str">
        <f t="shared" si="409"/>
        <v>100%</v>
      </c>
      <c r="BK138" s="24">
        <f t="shared" si="410"/>
        <v>0.66666666666666663</v>
      </c>
      <c r="BL138" s="22" t="s">
        <v>92</v>
      </c>
      <c r="BM138" s="25" t="s">
        <v>737</v>
      </c>
      <c r="BN138" s="27">
        <v>38000000</v>
      </c>
      <c r="BO138" s="27">
        <v>0</v>
      </c>
      <c r="BP138" s="27">
        <v>0</v>
      </c>
      <c r="BQ138" s="27">
        <v>0</v>
      </c>
      <c r="BR138" s="27">
        <f t="shared" ref="BR138:BS138" si="517">+BN138+BP138</f>
        <v>38000000</v>
      </c>
      <c r="BS138" s="27">
        <f t="shared" si="517"/>
        <v>0</v>
      </c>
      <c r="BT138" s="20">
        <f t="shared" si="13"/>
        <v>0</v>
      </c>
      <c r="BU138" s="27">
        <v>0</v>
      </c>
      <c r="BV138" s="27">
        <v>38000000</v>
      </c>
      <c r="BW138" s="27">
        <v>19000000</v>
      </c>
      <c r="BX138" s="27">
        <v>19000000</v>
      </c>
      <c r="BY138" s="28">
        <f t="shared" si="149"/>
        <v>0.5</v>
      </c>
      <c r="BZ138" s="27">
        <v>0</v>
      </c>
      <c r="CA138" s="20">
        <v>70000000</v>
      </c>
      <c r="CB138" s="29">
        <v>70000000</v>
      </c>
      <c r="CC138" s="29"/>
      <c r="CD138" s="29">
        <v>140000000</v>
      </c>
    </row>
    <row r="139" spans="1:82" ht="51" customHeight="1">
      <c r="A139" s="12" t="s">
        <v>657</v>
      </c>
      <c r="B139" s="13">
        <v>0.113</v>
      </c>
      <c r="C139" s="12"/>
      <c r="D139" s="14">
        <v>17</v>
      </c>
      <c r="E139" s="14">
        <v>1702</v>
      </c>
      <c r="F139" s="14">
        <v>18</v>
      </c>
      <c r="G139" s="14" t="s">
        <v>738</v>
      </c>
      <c r="H139" s="14">
        <v>1100</v>
      </c>
      <c r="I139" s="14">
        <v>18.100000000000001</v>
      </c>
      <c r="J139" s="14" t="s">
        <v>739</v>
      </c>
      <c r="K139" s="14" t="s">
        <v>740</v>
      </c>
      <c r="L139" s="14" t="s">
        <v>741</v>
      </c>
      <c r="M139" s="14" t="s">
        <v>742</v>
      </c>
      <c r="N139" s="14">
        <v>0</v>
      </c>
      <c r="O139" s="59">
        <v>1702017</v>
      </c>
      <c r="P139" s="17">
        <v>2024257990018</v>
      </c>
      <c r="Q139" s="14" t="s">
        <v>743</v>
      </c>
      <c r="R139" s="18">
        <v>138</v>
      </c>
      <c r="S139" s="14" t="s">
        <v>744</v>
      </c>
      <c r="T139" s="14" t="s">
        <v>745</v>
      </c>
      <c r="U139" s="14" t="s">
        <v>109</v>
      </c>
      <c r="V139" s="14" t="s">
        <v>114</v>
      </c>
      <c r="W139" s="14" t="s">
        <v>746</v>
      </c>
      <c r="X139" s="14" t="s">
        <v>91</v>
      </c>
      <c r="Y139" s="19"/>
      <c r="Z139" s="61">
        <f t="shared" si="514"/>
        <v>0.3</v>
      </c>
      <c r="AA139" s="20">
        <f t="shared" si="1"/>
        <v>0.20333333333333334</v>
      </c>
      <c r="AB139" s="20">
        <f t="shared" si="2"/>
        <v>2.7111111111111112</v>
      </c>
      <c r="AC139" s="21"/>
      <c r="AD139" s="21"/>
      <c r="AE139" s="21">
        <f t="shared" si="3"/>
        <v>0.97938888888888886</v>
      </c>
      <c r="AF139" s="61">
        <v>7.4999999999999997E-2</v>
      </c>
      <c r="AG139" s="61">
        <v>7.4999999999999997E-2</v>
      </c>
      <c r="AH139" s="61">
        <v>7.4999999999999997E-2</v>
      </c>
      <c r="AI139" s="61">
        <v>7.4999999999999997E-2</v>
      </c>
      <c r="AJ139" s="26"/>
      <c r="AK139" s="26"/>
      <c r="AL139" s="26"/>
      <c r="AM139" s="26"/>
      <c r="AN139" s="23">
        <v>6.0999999999999999E-2</v>
      </c>
      <c r="AO139" s="23">
        <v>6.0999999999999999E-2</v>
      </c>
      <c r="AP139" s="23">
        <v>1.4E-2</v>
      </c>
      <c r="AQ139" s="24">
        <v>0</v>
      </c>
      <c r="AR139" s="21">
        <f t="shared" ref="AR139:AS139" si="518">(AJ139+AL139+AN139+AP139)</f>
        <v>7.4999999999999997E-2</v>
      </c>
      <c r="AS139" s="24">
        <f t="shared" si="518"/>
        <v>6.0999999999999999E-2</v>
      </c>
      <c r="AT139" s="24">
        <f t="shared" si="510"/>
        <v>0.81333333333333335</v>
      </c>
      <c r="AU139" s="23" t="str">
        <f t="shared" si="511"/>
        <v>100%</v>
      </c>
      <c r="AV139" s="24">
        <f t="shared" si="7"/>
        <v>0.81333333333333335</v>
      </c>
      <c r="AW139" s="14" t="s">
        <v>92</v>
      </c>
      <c r="AX139" s="30" t="s">
        <v>747</v>
      </c>
      <c r="AY139" s="23">
        <v>1.4E-2</v>
      </c>
      <c r="AZ139" s="23">
        <v>1.4E-2</v>
      </c>
      <c r="BA139" s="23">
        <v>2.4E-2</v>
      </c>
      <c r="BB139" s="23">
        <v>2.4E-2</v>
      </c>
      <c r="BC139" s="23">
        <v>2.3E-2</v>
      </c>
      <c r="BD139" s="23">
        <v>2.3E-2</v>
      </c>
      <c r="BE139" s="23">
        <v>1.4E-2</v>
      </c>
      <c r="BF139" s="26"/>
      <c r="BG139" s="20">
        <f t="shared" ref="BG139:BH139" si="519">(AY139+BA139+BC139+BE139)</f>
        <v>7.4999999999999997E-2</v>
      </c>
      <c r="BH139" s="20">
        <f t="shared" si="519"/>
        <v>6.0999999999999999E-2</v>
      </c>
      <c r="BI139" s="20">
        <f t="shared" si="408"/>
        <v>0.81333333333333335</v>
      </c>
      <c r="BJ139" s="23" t="str">
        <f t="shared" si="409"/>
        <v>100%</v>
      </c>
      <c r="BK139" s="62">
        <f t="shared" si="410"/>
        <v>0.81333333333333335</v>
      </c>
      <c r="BL139" s="22" t="s">
        <v>92</v>
      </c>
      <c r="BM139" s="25" t="s">
        <v>747</v>
      </c>
      <c r="BN139" s="27">
        <v>24168000</v>
      </c>
      <c r="BO139" s="27">
        <v>22801334</v>
      </c>
      <c r="BP139" s="27">
        <v>2719559</v>
      </c>
      <c r="BQ139" s="27">
        <v>2719559</v>
      </c>
      <c r="BR139" s="27">
        <f t="shared" ref="BR139:BS139" si="520">+BN139+BP139</f>
        <v>26887559</v>
      </c>
      <c r="BS139" s="27">
        <f t="shared" si="520"/>
        <v>25520893</v>
      </c>
      <c r="BT139" s="20">
        <f t="shared" si="13"/>
        <v>0.94917106458046263</v>
      </c>
      <c r="BU139" s="27">
        <v>24168000</v>
      </c>
      <c r="BV139" s="27">
        <v>24168000</v>
      </c>
      <c r="BW139" s="27">
        <v>22801334</v>
      </c>
      <c r="BX139" s="27">
        <v>19268134</v>
      </c>
      <c r="BY139" s="28">
        <f t="shared" si="149"/>
        <v>0.94345142336974508</v>
      </c>
      <c r="BZ139" s="27">
        <v>180000000</v>
      </c>
      <c r="CA139" s="20">
        <v>183600000</v>
      </c>
      <c r="CB139" s="29">
        <v>187272000</v>
      </c>
      <c r="CC139" s="29">
        <v>192890160</v>
      </c>
      <c r="CD139" s="29">
        <v>743762160</v>
      </c>
    </row>
    <row r="140" spans="1:82" ht="51" customHeight="1">
      <c r="A140" s="12" t="s">
        <v>657</v>
      </c>
      <c r="B140" s="13">
        <v>0.113</v>
      </c>
      <c r="C140" s="12"/>
      <c r="D140" s="14">
        <v>17</v>
      </c>
      <c r="E140" s="14">
        <v>1702</v>
      </c>
      <c r="F140" s="14">
        <v>18</v>
      </c>
      <c r="G140" s="14" t="s">
        <v>738</v>
      </c>
      <c r="H140" s="14">
        <v>1100</v>
      </c>
      <c r="I140" s="14">
        <v>18.100000000000001</v>
      </c>
      <c r="J140" s="14" t="s">
        <v>739</v>
      </c>
      <c r="K140" s="14" t="s">
        <v>740</v>
      </c>
      <c r="L140" s="14" t="s">
        <v>741</v>
      </c>
      <c r="M140" s="14" t="s">
        <v>742</v>
      </c>
      <c r="N140" s="14">
        <v>0</v>
      </c>
      <c r="O140" s="16">
        <v>1702010</v>
      </c>
      <c r="P140" s="17">
        <v>2024257990018</v>
      </c>
      <c r="Q140" s="14" t="s">
        <v>743</v>
      </c>
      <c r="R140" s="18">
        <v>139</v>
      </c>
      <c r="S140" s="14" t="s">
        <v>748</v>
      </c>
      <c r="T140" s="14" t="s">
        <v>749</v>
      </c>
      <c r="U140" s="14" t="s">
        <v>88</v>
      </c>
      <c r="V140" s="14" t="s">
        <v>114</v>
      </c>
      <c r="W140" s="14" t="s">
        <v>750</v>
      </c>
      <c r="X140" s="14" t="s">
        <v>91</v>
      </c>
      <c r="Y140" s="19"/>
      <c r="Z140" s="14">
        <f>SUM(AF140:AI140)/4</f>
        <v>1</v>
      </c>
      <c r="AA140" s="20">
        <f t="shared" si="1"/>
        <v>1</v>
      </c>
      <c r="AB140" s="20">
        <f t="shared" si="2"/>
        <v>0.8</v>
      </c>
      <c r="AC140" s="21"/>
      <c r="AD140" s="21"/>
      <c r="AE140" s="21">
        <f t="shared" si="3"/>
        <v>0.42999999999999994</v>
      </c>
      <c r="AF140" s="14">
        <v>1</v>
      </c>
      <c r="AG140" s="14">
        <v>1</v>
      </c>
      <c r="AH140" s="14">
        <v>1</v>
      </c>
      <c r="AI140" s="14">
        <v>1</v>
      </c>
      <c r="AJ140" s="26"/>
      <c r="AK140" s="26"/>
      <c r="AL140" s="26"/>
      <c r="AM140" s="26"/>
      <c r="AN140" s="26">
        <v>0.75</v>
      </c>
      <c r="AO140" s="26">
        <v>0.75</v>
      </c>
      <c r="AP140" s="26">
        <v>0.25</v>
      </c>
      <c r="AQ140" s="26">
        <v>0.25</v>
      </c>
      <c r="AR140" s="21">
        <f t="shared" ref="AR140:AS140" si="521">(AJ140+AL140+AN140+AP140)</f>
        <v>1</v>
      </c>
      <c r="AS140" s="24">
        <f t="shared" si="521"/>
        <v>1</v>
      </c>
      <c r="AT140" s="24">
        <f t="shared" si="510"/>
        <v>1</v>
      </c>
      <c r="AU140" s="23" t="str">
        <f t="shared" si="511"/>
        <v>100%</v>
      </c>
      <c r="AV140" s="24">
        <f t="shared" si="7"/>
        <v>1</v>
      </c>
      <c r="AW140" s="14" t="s">
        <v>92</v>
      </c>
      <c r="AX140" s="30" t="s">
        <v>751</v>
      </c>
      <c r="AY140" s="46">
        <v>0</v>
      </c>
      <c r="AZ140" s="46">
        <v>0</v>
      </c>
      <c r="BA140" s="46">
        <v>0.3</v>
      </c>
      <c r="BB140" s="46">
        <v>0.3</v>
      </c>
      <c r="BC140" s="46">
        <v>0.65</v>
      </c>
      <c r="BD140" s="46">
        <v>0.5</v>
      </c>
      <c r="BE140" s="46">
        <v>0.05</v>
      </c>
      <c r="BF140" s="26"/>
      <c r="BG140" s="22">
        <f t="shared" ref="BG140:BH140" si="522">(AY140+BA140+BC140+BE140)</f>
        <v>1</v>
      </c>
      <c r="BH140" s="22">
        <f t="shared" si="522"/>
        <v>0.8</v>
      </c>
      <c r="BI140" s="22">
        <f t="shared" si="408"/>
        <v>0.8</v>
      </c>
      <c r="BJ140" s="23" t="str">
        <f t="shared" si="409"/>
        <v>100%</v>
      </c>
      <c r="BK140" s="62">
        <f t="shared" si="410"/>
        <v>0.8</v>
      </c>
      <c r="BL140" s="22" t="s">
        <v>92</v>
      </c>
      <c r="BM140" s="25" t="s">
        <v>751</v>
      </c>
      <c r="BN140" s="27">
        <v>8056000</v>
      </c>
      <c r="BO140" s="27">
        <v>0</v>
      </c>
      <c r="BP140" s="27">
        <v>53900000</v>
      </c>
      <c r="BQ140" s="27">
        <v>53900000</v>
      </c>
      <c r="BR140" s="27">
        <f t="shared" ref="BR140:BS140" si="523">+BN140+BP140</f>
        <v>61956000</v>
      </c>
      <c r="BS140" s="27">
        <f t="shared" si="523"/>
        <v>53900000</v>
      </c>
      <c r="BT140" s="20">
        <f t="shared" si="13"/>
        <v>0.86997223836270898</v>
      </c>
      <c r="BU140" s="27">
        <v>8056000</v>
      </c>
      <c r="BV140" s="27">
        <v>8056000</v>
      </c>
      <c r="BW140" s="27">
        <v>8056000</v>
      </c>
      <c r="BX140" s="27">
        <v>0</v>
      </c>
      <c r="BY140" s="28">
        <f t="shared" si="149"/>
        <v>1</v>
      </c>
      <c r="BZ140" s="27">
        <v>148000000</v>
      </c>
      <c r="CA140" s="20">
        <v>153405357</v>
      </c>
      <c r="CB140" s="29">
        <v>159041088</v>
      </c>
      <c r="CC140" s="29">
        <v>165609656</v>
      </c>
      <c r="CD140" s="29">
        <v>626056101</v>
      </c>
    </row>
    <row r="141" spans="1:82" ht="60" customHeight="1">
      <c r="A141" s="12" t="s">
        <v>657</v>
      </c>
      <c r="B141" s="13">
        <v>0.113</v>
      </c>
      <c r="C141" s="12"/>
      <c r="D141" s="14">
        <v>17</v>
      </c>
      <c r="E141" s="14">
        <v>1702</v>
      </c>
      <c r="F141" s="14">
        <v>18</v>
      </c>
      <c r="G141" s="14" t="s">
        <v>738</v>
      </c>
      <c r="H141" s="14">
        <v>1100</v>
      </c>
      <c r="I141" s="14">
        <v>18.100000000000001</v>
      </c>
      <c r="J141" s="14" t="s">
        <v>739</v>
      </c>
      <c r="K141" s="14" t="s">
        <v>740</v>
      </c>
      <c r="L141" s="14" t="s">
        <v>741</v>
      </c>
      <c r="M141" s="14" t="s">
        <v>742</v>
      </c>
      <c r="N141" s="14">
        <v>0</v>
      </c>
      <c r="O141" s="16">
        <v>1702024</v>
      </c>
      <c r="P141" s="17">
        <v>2024257990018</v>
      </c>
      <c r="Q141" s="14" t="s">
        <v>743</v>
      </c>
      <c r="R141" s="18">
        <v>140</v>
      </c>
      <c r="S141" s="14" t="s">
        <v>752</v>
      </c>
      <c r="T141" s="14" t="s">
        <v>753</v>
      </c>
      <c r="U141" s="14" t="s">
        <v>88</v>
      </c>
      <c r="V141" s="14" t="s">
        <v>89</v>
      </c>
      <c r="W141" s="14" t="s">
        <v>754</v>
      </c>
      <c r="X141" s="14" t="s">
        <v>91</v>
      </c>
      <c r="Y141" s="19"/>
      <c r="Z141" s="14">
        <f t="shared" ref="Z141:Z142" si="524">SUM(AF141:AI141)</f>
        <v>4</v>
      </c>
      <c r="AA141" s="20">
        <f t="shared" si="1"/>
        <v>0.25</v>
      </c>
      <c r="AB141" s="20">
        <f t="shared" si="2"/>
        <v>0.2</v>
      </c>
      <c r="AC141" s="21"/>
      <c r="AD141" s="21"/>
      <c r="AE141" s="21">
        <f t="shared" si="3"/>
        <v>0.10749999999999998</v>
      </c>
      <c r="AF141" s="14">
        <v>1</v>
      </c>
      <c r="AG141" s="14">
        <v>1</v>
      </c>
      <c r="AH141" s="14">
        <v>1</v>
      </c>
      <c r="AI141" s="14">
        <v>1</v>
      </c>
      <c r="AJ141" s="26"/>
      <c r="AK141" s="26"/>
      <c r="AL141" s="26"/>
      <c r="AM141" s="26"/>
      <c r="AN141" s="26">
        <v>0.7</v>
      </c>
      <c r="AO141" s="26">
        <v>0.7</v>
      </c>
      <c r="AP141" s="26">
        <v>0.3</v>
      </c>
      <c r="AQ141" s="26">
        <v>0.3</v>
      </c>
      <c r="AR141" s="22">
        <f t="shared" ref="AR141:AS141" si="525">(AJ141+AL141+AN141+AP141)</f>
        <v>1</v>
      </c>
      <c r="AS141" s="22">
        <f t="shared" si="525"/>
        <v>1</v>
      </c>
      <c r="AT141" s="22">
        <f t="shared" si="510"/>
        <v>1</v>
      </c>
      <c r="AU141" s="23" t="str">
        <f t="shared" si="511"/>
        <v>100%</v>
      </c>
      <c r="AV141" s="24">
        <f t="shared" si="7"/>
        <v>1</v>
      </c>
      <c r="AW141" s="14" t="s">
        <v>92</v>
      </c>
      <c r="AX141" s="30" t="s">
        <v>755</v>
      </c>
      <c r="AY141" s="46">
        <v>0.1</v>
      </c>
      <c r="AZ141" s="46">
        <v>0.1</v>
      </c>
      <c r="BA141" s="46">
        <v>0.3</v>
      </c>
      <c r="BB141" s="46">
        <v>0.3</v>
      </c>
      <c r="BC141" s="46">
        <v>0.4</v>
      </c>
      <c r="BD141" s="46">
        <v>0.4</v>
      </c>
      <c r="BE141" s="46">
        <v>0.2</v>
      </c>
      <c r="BF141" s="26"/>
      <c r="BG141" s="22">
        <f t="shared" ref="BG141:BH141" si="526">(AY141+BA141+BC141+BE141)</f>
        <v>1</v>
      </c>
      <c r="BH141" s="22">
        <f t="shared" si="526"/>
        <v>0.8</v>
      </c>
      <c r="BI141" s="22">
        <f t="shared" si="408"/>
        <v>0.8</v>
      </c>
      <c r="BJ141" s="23" t="str">
        <f t="shared" si="409"/>
        <v>100%</v>
      </c>
      <c r="BK141" s="24">
        <f t="shared" si="410"/>
        <v>0.8</v>
      </c>
      <c r="BL141" s="22" t="s">
        <v>92</v>
      </c>
      <c r="BM141" s="25" t="s">
        <v>755</v>
      </c>
      <c r="BN141" s="27">
        <v>1938105203</v>
      </c>
      <c r="BO141" s="27">
        <v>434378968</v>
      </c>
      <c r="BP141" s="27">
        <v>993410899</v>
      </c>
      <c r="BQ141" s="27">
        <v>993410899</v>
      </c>
      <c r="BR141" s="27">
        <f t="shared" ref="BR141:BS141" si="527">+BN141+BP141</f>
        <v>2931516102</v>
      </c>
      <c r="BS141" s="27">
        <f t="shared" si="527"/>
        <v>1427789867</v>
      </c>
      <c r="BT141" s="20">
        <f t="shared" si="13"/>
        <v>0.487048277178455</v>
      </c>
      <c r="BU141" s="27">
        <v>1938105203</v>
      </c>
      <c r="BV141" s="27">
        <v>1938105203</v>
      </c>
      <c r="BW141" s="27">
        <v>1355626306</v>
      </c>
      <c r="BX141" s="27">
        <v>472827016</v>
      </c>
      <c r="BY141" s="28">
        <f t="shared" si="149"/>
        <v>0.69945960823056519</v>
      </c>
      <c r="BZ141" s="27">
        <v>797000000</v>
      </c>
      <c r="CA141" s="20">
        <v>812940000</v>
      </c>
      <c r="CB141" s="29">
        <v>991366649</v>
      </c>
      <c r="CC141" s="29">
        <v>854074764</v>
      </c>
      <c r="CD141" s="29">
        <v>3455381413</v>
      </c>
    </row>
    <row r="142" spans="1:82" ht="51" customHeight="1">
      <c r="A142" s="12" t="s">
        <v>657</v>
      </c>
      <c r="B142" s="13">
        <v>0.113</v>
      </c>
      <c r="C142" s="12"/>
      <c r="D142" s="14">
        <v>17</v>
      </c>
      <c r="E142" s="14">
        <v>1702</v>
      </c>
      <c r="F142" s="14">
        <v>18</v>
      </c>
      <c r="G142" s="14" t="s">
        <v>738</v>
      </c>
      <c r="H142" s="14">
        <v>1100</v>
      </c>
      <c r="I142" s="14">
        <v>18.100000000000001</v>
      </c>
      <c r="J142" s="14" t="s">
        <v>739</v>
      </c>
      <c r="K142" s="14" t="s">
        <v>740</v>
      </c>
      <c r="L142" s="14" t="s">
        <v>741</v>
      </c>
      <c r="M142" s="14" t="s">
        <v>742</v>
      </c>
      <c r="N142" s="14">
        <v>0</v>
      </c>
      <c r="O142" s="16">
        <v>1702024</v>
      </c>
      <c r="P142" s="17">
        <v>2024257990018</v>
      </c>
      <c r="Q142" s="14" t="s">
        <v>743</v>
      </c>
      <c r="R142" s="18">
        <v>141</v>
      </c>
      <c r="S142" s="14" t="s">
        <v>756</v>
      </c>
      <c r="T142" s="14">
        <v>0</v>
      </c>
      <c r="U142" s="14" t="s">
        <v>88</v>
      </c>
      <c r="V142" s="14" t="s">
        <v>89</v>
      </c>
      <c r="W142" s="14" t="s">
        <v>750</v>
      </c>
      <c r="X142" s="14" t="s">
        <v>91</v>
      </c>
      <c r="Y142" s="19"/>
      <c r="Z142" s="14">
        <f t="shared" si="524"/>
        <v>1</v>
      </c>
      <c r="AA142" s="20">
        <f t="shared" si="1"/>
        <v>9.9000000000000005E-2</v>
      </c>
      <c r="AB142" s="20">
        <f t="shared" si="2"/>
        <v>0.83333333333333337</v>
      </c>
      <c r="AC142" s="21"/>
      <c r="AD142" s="21"/>
      <c r="AE142" s="21">
        <f t="shared" si="3"/>
        <v>0.30651666666666666</v>
      </c>
      <c r="AF142" s="14">
        <v>0.1</v>
      </c>
      <c r="AG142" s="14">
        <v>0.3</v>
      </c>
      <c r="AH142" s="14">
        <v>0.4</v>
      </c>
      <c r="AI142" s="14">
        <v>0.2</v>
      </c>
      <c r="AJ142" s="26"/>
      <c r="AK142" s="26"/>
      <c r="AL142" s="26"/>
      <c r="AM142" s="26"/>
      <c r="AN142" s="26">
        <v>7.0000000000000007E-2</v>
      </c>
      <c r="AO142" s="26">
        <v>7.0000000000000007E-2</v>
      </c>
      <c r="AP142" s="26">
        <v>0.03</v>
      </c>
      <c r="AQ142" s="26">
        <v>2.9000000000000001E-2</v>
      </c>
      <c r="AR142" s="22">
        <f t="shared" ref="AR142:AS142" si="528">(AJ142+AL142+AN142+AP142)</f>
        <v>0.1</v>
      </c>
      <c r="AS142" s="22">
        <f t="shared" si="528"/>
        <v>9.9000000000000005E-2</v>
      </c>
      <c r="AT142" s="22">
        <f t="shared" si="510"/>
        <v>0.99</v>
      </c>
      <c r="AU142" s="23" t="str">
        <f t="shared" si="511"/>
        <v>100%</v>
      </c>
      <c r="AV142" s="24">
        <f t="shared" si="7"/>
        <v>0.99</v>
      </c>
      <c r="AW142" s="14" t="s">
        <v>92</v>
      </c>
      <c r="AX142" s="30" t="s">
        <v>757</v>
      </c>
      <c r="AY142" s="14">
        <v>0.05</v>
      </c>
      <c r="AZ142" s="14">
        <v>0.05</v>
      </c>
      <c r="BA142" s="14">
        <v>0.05</v>
      </c>
      <c r="BB142" s="14">
        <v>0.05</v>
      </c>
      <c r="BC142" s="14">
        <v>0.15</v>
      </c>
      <c r="BD142" s="14">
        <v>0.15</v>
      </c>
      <c r="BE142" s="14">
        <v>0.05</v>
      </c>
      <c r="BF142" s="26"/>
      <c r="BG142" s="22">
        <f t="shared" ref="BG142:BH142" si="529">(AY142+BA142+BC142+BE142)</f>
        <v>0.3</v>
      </c>
      <c r="BH142" s="22">
        <f t="shared" si="529"/>
        <v>0.25</v>
      </c>
      <c r="BI142" s="22">
        <f t="shared" si="408"/>
        <v>0.83333333333333337</v>
      </c>
      <c r="BJ142" s="23" t="str">
        <f t="shared" si="409"/>
        <v>100%</v>
      </c>
      <c r="BK142" s="24">
        <f t="shared" si="410"/>
        <v>0.83333333333333337</v>
      </c>
      <c r="BL142" s="22" t="s">
        <v>92</v>
      </c>
      <c r="BM142" s="25" t="s">
        <v>757</v>
      </c>
      <c r="BN142" s="27">
        <v>1532446000</v>
      </c>
      <c r="BO142" s="27">
        <v>41223333</v>
      </c>
      <c r="BP142" s="27">
        <v>540444640</v>
      </c>
      <c r="BQ142" s="27">
        <v>540444640</v>
      </c>
      <c r="BR142" s="27">
        <f t="shared" ref="BR142:BS142" si="530">+BN142+BP142</f>
        <v>2072890640</v>
      </c>
      <c r="BS142" s="27">
        <f t="shared" si="530"/>
        <v>581667973</v>
      </c>
      <c r="BT142" s="20">
        <f t="shared" si="13"/>
        <v>0.28060716845149147</v>
      </c>
      <c r="BU142" s="27">
        <v>1532446000</v>
      </c>
      <c r="BV142" s="27">
        <v>1532446000</v>
      </c>
      <c r="BW142" s="27">
        <v>1511231780</v>
      </c>
      <c r="BX142" s="27">
        <v>640566180</v>
      </c>
      <c r="BY142" s="28">
        <f t="shared" si="149"/>
        <v>0.98615662803126503</v>
      </c>
      <c r="BZ142" s="27">
        <v>0</v>
      </c>
      <c r="CA142" s="20">
        <v>700000000</v>
      </c>
      <c r="CB142" s="29">
        <v>714000000</v>
      </c>
      <c r="CC142" s="29">
        <v>735420000</v>
      </c>
      <c r="CD142" s="29">
        <v>2149420000</v>
      </c>
    </row>
    <row r="143" spans="1:82" ht="51" customHeight="1">
      <c r="A143" s="12" t="s">
        <v>657</v>
      </c>
      <c r="B143" s="13">
        <v>0.113</v>
      </c>
      <c r="C143" s="12"/>
      <c r="D143" s="14">
        <v>17</v>
      </c>
      <c r="E143" s="14">
        <v>1702</v>
      </c>
      <c r="F143" s="14">
        <v>18</v>
      </c>
      <c r="G143" s="14" t="s">
        <v>738</v>
      </c>
      <c r="H143" s="14">
        <v>1100</v>
      </c>
      <c r="I143" s="14">
        <v>18.100000000000001</v>
      </c>
      <c r="J143" s="14" t="s">
        <v>739</v>
      </c>
      <c r="K143" s="14" t="s">
        <v>740</v>
      </c>
      <c r="L143" s="14" t="s">
        <v>741</v>
      </c>
      <c r="M143" s="14" t="s">
        <v>742</v>
      </c>
      <c r="N143" s="14">
        <v>0</v>
      </c>
      <c r="O143" s="16">
        <v>1702017</v>
      </c>
      <c r="P143" s="17">
        <v>2024257990018</v>
      </c>
      <c r="Q143" s="14" t="s">
        <v>743</v>
      </c>
      <c r="R143" s="18">
        <v>142</v>
      </c>
      <c r="S143" s="14" t="s">
        <v>758</v>
      </c>
      <c r="T143" s="14">
        <v>1</v>
      </c>
      <c r="U143" s="14" t="s">
        <v>88</v>
      </c>
      <c r="V143" s="14" t="s">
        <v>114</v>
      </c>
      <c r="W143" s="14" t="s">
        <v>759</v>
      </c>
      <c r="X143" s="14" t="s">
        <v>91</v>
      </c>
      <c r="Y143" s="19"/>
      <c r="Z143" s="14">
        <f>SUM(AF143:AI143)/4</f>
        <v>1</v>
      </c>
      <c r="AA143" s="20">
        <f t="shared" si="1"/>
        <v>9.0000000000000011E-2</v>
      </c>
      <c r="AB143" s="20">
        <f t="shared" si="2"/>
        <v>0.8</v>
      </c>
      <c r="AC143" s="21"/>
      <c r="AD143" s="21"/>
      <c r="AE143" s="21">
        <f t="shared" si="3"/>
        <v>0.29349999999999998</v>
      </c>
      <c r="AF143" s="14">
        <v>1</v>
      </c>
      <c r="AG143" s="14">
        <v>1</v>
      </c>
      <c r="AH143" s="14">
        <v>1</v>
      </c>
      <c r="AI143" s="14">
        <v>1</v>
      </c>
      <c r="AJ143" s="26"/>
      <c r="AK143" s="26"/>
      <c r="AL143" s="26"/>
      <c r="AM143" s="26"/>
      <c r="AN143" s="26">
        <v>7.0000000000000007E-2</v>
      </c>
      <c r="AO143" s="26">
        <v>7.0000000000000007E-2</v>
      </c>
      <c r="AP143" s="26">
        <v>0.03</v>
      </c>
      <c r="AQ143" s="26">
        <v>0.02</v>
      </c>
      <c r="AR143" s="22">
        <f t="shared" ref="AR143:AS143" si="531">(AJ143+AL143+AN143+AP143)</f>
        <v>0.1</v>
      </c>
      <c r="AS143" s="22">
        <f t="shared" si="531"/>
        <v>9.0000000000000011E-2</v>
      </c>
      <c r="AT143" s="22">
        <f t="shared" si="510"/>
        <v>0.9</v>
      </c>
      <c r="AU143" s="23" t="str">
        <f t="shared" si="511"/>
        <v>100%</v>
      </c>
      <c r="AV143" s="24">
        <f t="shared" si="7"/>
        <v>0.9</v>
      </c>
      <c r="AW143" s="14" t="s">
        <v>92</v>
      </c>
      <c r="AX143" s="30" t="s">
        <v>760</v>
      </c>
      <c r="AY143" s="46">
        <v>0.1</v>
      </c>
      <c r="AZ143" s="46">
        <v>0.1</v>
      </c>
      <c r="BA143" s="46">
        <v>0.3</v>
      </c>
      <c r="BB143" s="46">
        <v>0.3</v>
      </c>
      <c r="BC143" s="46">
        <v>0.4</v>
      </c>
      <c r="BD143" s="46">
        <v>0.4</v>
      </c>
      <c r="BE143" s="46">
        <v>0.2</v>
      </c>
      <c r="BF143" s="26"/>
      <c r="BG143" s="22">
        <f t="shared" ref="BG143:BH143" si="532">(AY143+BA143+BC143+BE143)</f>
        <v>1</v>
      </c>
      <c r="BH143" s="22">
        <f t="shared" si="532"/>
        <v>0.8</v>
      </c>
      <c r="BI143" s="22">
        <f t="shared" si="408"/>
        <v>0.8</v>
      </c>
      <c r="BJ143" s="23" t="str">
        <f t="shared" si="409"/>
        <v>100%</v>
      </c>
      <c r="BK143" s="24">
        <f t="shared" si="410"/>
        <v>0.8</v>
      </c>
      <c r="BL143" s="22" t="s">
        <v>92</v>
      </c>
      <c r="BM143" s="25" t="s">
        <v>760</v>
      </c>
      <c r="BN143" s="27">
        <v>49290000</v>
      </c>
      <c r="BO143" s="27">
        <v>22007333</v>
      </c>
      <c r="BP143" s="27">
        <v>0</v>
      </c>
      <c r="BQ143" s="27">
        <v>0</v>
      </c>
      <c r="BR143" s="27">
        <f t="shared" ref="BR143:BS143" si="533">+BN143+BP143</f>
        <v>49290000</v>
      </c>
      <c r="BS143" s="27">
        <f t="shared" si="533"/>
        <v>22007333</v>
      </c>
      <c r="BT143" s="20">
        <f t="shared" si="13"/>
        <v>0.44648677216473931</v>
      </c>
      <c r="BU143" s="27">
        <v>49290000</v>
      </c>
      <c r="BV143" s="27">
        <v>49290000</v>
      </c>
      <c r="BW143" s="27">
        <v>49290000</v>
      </c>
      <c r="BX143" s="27">
        <v>17524333</v>
      </c>
      <c r="BY143" s="28">
        <f t="shared" si="149"/>
        <v>1</v>
      </c>
      <c r="BZ143" s="27">
        <v>190000000</v>
      </c>
      <c r="CA143" s="20">
        <v>193800000</v>
      </c>
      <c r="CB143" s="29">
        <v>197676000</v>
      </c>
      <c r="CC143" s="29">
        <v>203606280</v>
      </c>
      <c r="CD143" s="29">
        <v>785082280</v>
      </c>
    </row>
    <row r="144" spans="1:82" ht="58.5" customHeight="1">
      <c r="A144" s="12" t="s">
        <v>657</v>
      </c>
      <c r="B144" s="13">
        <v>0.113</v>
      </c>
      <c r="C144" s="12"/>
      <c r="D144" s="14">
        <v>17</v>
      </c>
      <c r="E144" s="14">
        <v>1702</v>
      </c>
      <c r="F144" s="14">
        <v>19</v>
      </c>
      <c r="G144" s="14" t="s">
        <v>761</v>
      </c>
      <c r="H144" s="14">
        <v>1100</v>
      </c>
      <c r="I144" s="14">
        <v>19.100000000000001</v>
      </c>
      <c r="J144" s="14" t="s">
        <v>762</v>
      </c>
      <c r="K144" s="14" t="s">
        <v>763</v>
      </c>
      <c r="L144" s="14" t="s">
        <v>764</v>
      </c>
      <c r="M144" s="14" t="s">
        <v>765</v>
      </c>
      <c r="N144" s="14" t="s">
        <v>766</v>
      </c>
      <c r="O144" s="16">
        <v>1702023</v>
      </c>
      <c r="P144" s="17">
        <v>2024257990018</v>
      </c>
      <c r="Q144" s="14" t="s">
        <v>743</v>
      </c>
      <c r="R144" s="18">
        <v>143</v>
      </c>
      <c r="S144" s="14" t="s">
        <v>767</v>
      </c>
      <c r="T144" s="14" t="s">
        <v>768</v>
      </c>
      <c r="U144" s="14" t="s">
        <v>109</v>
      </c>
      <c r="V144" s="14" t="s">
        <v>89</v>
      </c>
      <c r="W144" s="14" t="s">
        <v>769</v>
      </c>
      <c r="X144" s="14" t="s">
        <v>91</v>
      </c>
      <c r="Y144" s="19" t="s">
        <v>124</v>
      </c>
      <c r="Z144" s="20">
        <f t="shared" ref="Z144:Z146" si="534">SUM(AF144:AI144)</f>
        <v>0.4</v>
      </c>
      <c r="AA144" s="20">
        <f t="shared" si="1"/>
        <v>0.25</v>
      </c>
      <c r="AB144" s="20">
        <f t="shared" si="2"/>
        <v>1.9999999999999998</v>
      </c>
      <c r="AC144" s="21"/>
      <c r="AD144" s="21"/>
      <c r="AE144" s="21">
        <f t="shared" si="3"/>
        <v>0.73749999999999982</v>
      </c>
      <c r="AF144" s="20">
        <v>0.1</v>
      </c>
      <c r="AG144" s="20">
        <v>0.1</v>
      </c>
      <c r="AH144" s="20">
        <v>0.1</v>
      </c>
      <c r="AI144" s="20">
        <v>0.1</v>
      </c>
      <c r="AJ144" s="26"/>
      <c r="AK144" s="26"/>
      <c r="AL144" s="26"/>
      <c r="AM144" s="26"/>
      <c r="AN144" s="21">
        <v>7.4999999999999997E-2</v>
      </c>
      <c r="AO144" s="21">
        <v>7.4999999999999997E-2</v>
      </c>
      <c r="AP144" s="24">
        <v>2.5000000000000001E-2</v>
      </c>
      <c r="AQ144" s="24">
        <v>2.5000000000000001E-2</v>
      </c>
      <c r="AR144" s="21">
        <f t="shared" ref="AR144:AS144" si="535">(AJ144+AL144+AN144+AP144)</f>
        <v>0.1</v>
      </c>
      <c r="AS144" s="21">
        <f t="shared" si="535"/>
        <v>0.1</v>
      </c>
      <c r="AT144" s="24">
        <f t="shared" si="510"/>
        <v>1</v>
      </c>
      <c r="AU144" s="23" t="str">
        <f t="shared" si="511"/>
        <v>100%</v>
      </c>
      <c r="AV144" s="24">
        <f t="shared" si="7"/>
        <v>1</v>
      </c>
      <c r="AW144" s="14" t="s">
        <v>92</v>
      </c>
      <c r="AX144" s="30" t="s">
        <v>770</v>
      </c>
      <c r="AY144" s="24">
        <v>0.02</v>
      </c>
      <c r="AZ144" s="24">
        <v>0.02</v>
      </c>
      <c r="BA144" s="24">
        <v>0.03</v>
      </c>
      <c r="BB144" s="24">
        <v>0.03</v>
      </c>
      <c r="BC144" s="24">
        <v>0.03</v>
      </c>
      <c r="BD144" s="24">
        <v>0.03</v>
      </c>
      <c r="BE144" s="24">
        <v>0.02</v>
      </c>
      <c r="BF144" s="26"/>
      <c r="BG144" s="20">
        <f t="shared" ref="BG144:BH144" si="536">(AY144+BA144+BC144+BE144)</f>
        <v>0.1</v>
      </c>
      <c r="BH144" s="20">
        <f t="shared" si="536"/>
        <v>0.08</v>
      </c>
      <c r="BI144" s="20">
        <f t="shared" si="408"/>
        <v>0.79999999999999993</v>
      </c>
      <c r="BJ144" s="23" t="str">
        <f t="shared" si="409"/>
        <v>100%</v>
      </c>
      <c r="BK144" s="24">
        <f t="shared" si="410"/>
        <v>0.79999999999999993</v>
      </c>
      <c r="BL144" s="22" t="s">
        <v>92</v>
      </c>
      <c r="BM144" s="25" t="s">
        <v>770</v>
      </c>
      <c r="BN144" s="27">
        <v>69218000</v>
      </c>
      <c r="BO144" s="27">
        <v>52275334</v>
      </c>
      <c r="BP144" s="27">
        <v>12133340</v>
      </c>
      <c r="BQ144" s="27">
        <v>12133340</v>
      </c>
      <c r="BR144" s="27">
        <f t="shared" ref="BR144:BS144" si="537">+BN144+BP144</f>
        <v>81351340</v>
      </c>
      <c r="BS144" s="27">
        <f t="shared" si="537"/>
        <v>64408674</v>
      </c>
      <c r="BT144" s="20">
        <f t="shared" si="13"/>
        <v>0.79173464137161109</v>
      </c>
      <c r="BU144" s="27">
        <v>69218000</v>
      </c>
      <c r="BV144" s="27">
        <v>69218000</v>
      </c>
      <c r="BW144" s="27">
        <v>69218000</v>
      </c>
      <c r="BX144" s="27">
        <v>40273662</v>
      </c>
      <c r="BY144" s="28">
        <f t="shared" si="149"/>
        <v>1</v>
      </c>
      <c r="BZ144" s="27">
        <v>73000000</v>
      </c>
      <c r="CA144" s="20">
        <v>74460000</v>
      </c>
      <c r="CB144" s="29">
        <v>75949200</v>
      </c>
      <c r="CC144" s="29">
        <v>78227676</v>
      </c>
      <c r="CD144" s="29">
        <v>301636876</v>
      </c>
    </row>
    <row r="145" spans="1:82" ht="51" customHeight="1">
      <c r="A145" s="12" t="s">
        <v>657</v>
      </c>
      <c r="B145" s="13">
        <v>0.113</v>
      </c>
      <c r="C145" s="12"/>
      <c r="D145" s="14">
        <v>17</v>
      </c>
      <c r="E145" s="14">
        <v>1707</v>
      </c>
      <c r="F145" s="14">
        <v>19</v>
      </c>
      <c r="G145" s="14" t="s">
        <v>761</v>
      </c>
      <c r="H145" s="14">
        <v>1100</v>
      </c>
      <c r="I145" s="14">
        <v>19.100000000000001</v>
      </c>
      <c r="J145" s="14" t="s">
        <v>771</v>
      </c>
      <c r="K145" s="14" t="s">
        <v>772</v>
      </c>
      <c r="L145" s="14" t="s">
        <v>773</v>
      </c>
      <c r="M145" s="14" t="s">
        <v>774</v>
      </c>
      <c r="N145" s="14" t="s">
        <v>775</v>
      </c>
      <c r="O145" s="16">
        <v>1707069</v>
      </c>
      <c r="P145" s="17">
        <v>2024257990019</v>
      </c>
      <c r="Q145" s="14" t="s">
        <v>776</v>
      </c>
      <c r="R145" s="18">
        <v>144</v>
      </c>
      <c r="S145" s="14" t="s">
        <v>777</v>
      </c>
      <c r="T145" s="14" t="s">
        <v>778</v>
      </c>
      <c r="U145" s="14" t="s">
        <v>109</v>
      </c>
      <c r="V145" s="14" t="s">
        <v>89</v>
      </c>
      <c r="W145" s="14" t="s">
        <v>779</v>
      </c>
      <c r="X145" s="14" t="s">
        <v>91</v>
      </c>
      <c r="Y145" s="19" t="s">
        <v>124</v>
      </c>
      <c r="Z145" s="20">
        <f t="shared" si="534"/>
        <v>0.4</v>
      </c>
      <c r="AA145" s="20">
        <f t="shared" si="1"/>
        <v>0.24999999999999997</v>
      </c>
      <c r="AB145" s="20">
        <f t="shared" si="2"/>
        <v>2.0918367346938775</v>
      </c>
      <c r="AC145" s="21"/>
      <c r="AD145" s="21"/>
      <c r="AE145" s="21">
        <f t="shared" si="3"/>
        <v>0.76964285714285707</v>
      </c>
      <c r="AF145" s="20">
        <v>0.1</v>
      </c>
      <c r="AG145" s="20">
        <v>0.1</v>
      </c>
      <c r="AH145" s="20">
        <v>0.1</v>
      </c>
      <c r="AI145" s="20">
        <v>0.1</v>
      </c>
      <c r="AJ145" s="26"/>
      <c r="AK145" s="26"/>
      <c r="AL145" s="26"/>
      <c r="AM145" s="26"/>
      <c r="AN145" s="24">
        <v>7.2999999999999995E-2</v>
      </c>
      <c r="AO145" s="24">
        <v>7.2999999999999995E-2</v>
      </c>
      <c r="AP145" s="24">
        <v>2.7E-2</v>
      </c>
      <c r="AQ145" s="24">
        <v>2.7E-2</v>
      </c>
      <c r="AR145" s="21">
        <f t="shared" ref="AR145:AS145" si="538">(AJ145+AL145+AN145+AP145)</f>
        <v>9.9999999999999992E-2</v>
      </c>
      <c r="AS145" s="24">
        <f t="shared" si="538"/>
        <v>9.9999999999999992E-2</v>
      </c>
      <c r="AT145" s="24">
        <f t="shared" si="510"/>
        <v>1</v>
      </c>
      <c r="AU145" s="23" t="str">
        <f t="shared" si="511"/>
        <v>100%</v>
      </c>
      <c r="AV145" s="24">
        <f t="shared" si="7"/>
        <v>1</v>
      </c>
      <c r="AW145" s="14" t="s">
        <v>92</v>
      </c>
      <c r="AX145" s="30" t="s">
        <v>780</v>
      </c>
      <c r="AY145" s="24">
        <v>0.02</v>
      </c>
      <c r="AZ145" s="24">
        <v>0.02</v>
      </c>
      <c r="BA145" s="24">
        <v>0.03</v>
      </c>
      <c r="BB145" s="24">
        <v>0.03</v>
      </c>
      <c r="BC145" s="24">
        <v>0.03</v>
      </c>
      <c r="BD145" s="24">
        <v>3.2000000000000001E-2</v>
      </c>
      <c r="BE145" s="24">
        <v>1.7999999999999999E-2</v>
      </c>
      <c r="BF145" s="26"/>
      <c r="BG145" s="20">
        <f t="shared" ref="BG145:BH145" si="539">(AY145+BA145+BC145+BE145)</f>
        <v>9.8000000000000004E-2</v>
      </c>
      <c r="BH145" s="20">
        <f t="shared" si="539"/>
        <v>8.2000000000000003E-2</v>
      </c>
      <c r="BI145" s="20">
        <f t="shared" si="408"/>
        <v>0.83673469387755106</v>
      </c>
      <c r="BJ145" s="23" t="str">
        <f t="shared" si="409"/>
        <v>100%</v>
      </c>
      <c r="BK145" s="24">
        <f t="shared" si="410"/>
        <v>0.83673469387755106</v>
      </c>
      <c r="BL145" s="22" t="s">
        <v>92</v>
      </c>
      <c r="BM145" s="25" t="s">
        <v>780</v>
      </c>
      <c r="BN145" s="27">
        <v>300700000</v>
      </c>
      <c r="BO145" s="27">
        <v>140890015</v>
      </c>
      <c r="BP145" s="27">
        <v>162938674</v>
      </c>
      <c r="BQ145" s="27">
        <v>162938674</v>
      </c>
      <c r="BR145" s="27">
        <f t="shared" ref="BR145:BS145" si="540">+BN145+BP145</f>
        <v>463638674</v>
      </c>
      <c r="BS145" s="27">
        <f t="shared" si="540"/>
        <v>303828689</v>
      </c>
      <c r="BT145" s="20">
        <f t="shared" si="13"/>
        <v>0.65531351467888976</v>
      </c>
      <c r="BU145" s="27">
        <v>300700000</v>
      </c>
      <c r="BV145" s="27">
        <v>300700000</v>
      </c>
      <c r="BW145" s="27">
        <v>247307049</v>
      </c>
      <c r="BX145" s="27">
        <v>75911882</v>
      </c>
      <c r="BY145" s="28">
        <f t="shared" si="149"/>
        <v>0.82243780844695713</v>
      </c>
      <c r="BZ145" s="27">
        <v>100000000</v>
      </c>
      <c r="CA145" s="20">
        <v>400000000</v>
      </c>
      <c r="CB145" s="29">
        <v>100000000</v>
      </c>
      <c r="CC145" s="29">
        <v>103000000</v>
      </c>
      <c r="CD145" s="29">
        <v>703000000</v>
      </c>
    </row>
    <row r="146" spans="1:82" ht="51" customHeight="1">
      <c r="A146" s="12" t="s">
        <v>657</v>
      </c>
      <c r="B146" s="13">
        <v>0.113</v>
      </c>
      <c r="C146" s="12"/>
      <c r="D146" s="14">
        <v>17</v>
      </c>
      <c r="E146" s="14">
        <v>1707</v>
      </c>
      <c r="F146" s="14">
        <v>19</v>
      </c>
      <c r="G146" s="14" t="s">
        <v>761</v>
      </c>
      <c r="H146" s="14">
        <v>1100</v>
      </c>
      <c r="I146" s="14">
        <v>19.100000000000001</v>
      </c>
      <c r="J146" s="14" t="s">
        <v>771</v>
      </c>
      <c r="K146" s="14" t="s">
        <v>772</v>
      </c>
      <c r="L146" s="14" t="s">
        <v>773</v>
      </c>
      <c r="M146" s="14" t="s">
        <v>774</v>
      </c>
      <c r="N146" s="14" t="s">
        <v>775</v>
      </c>
      <c r="O146" s="16">
        <v>1707070</v>
      </c>
      <c r="P146" s="17">
        <v>2024257990019</v>
      </c>
      <c r="Q146" s="14" t="s">
        <v>776</v>
      </c>
      <c r="R146" s="18">
        <v>145</v>
      </c>
      <c r="S146" s="46" t="s">
        <v>781</v>
      </c>
      <c r="T146" s="59">
        <v>0</v>
      </c>
      <c r="U146" s="46" t="s">
        <v>88</v>
      </c>
      <c r="V146" s="46" t="s">
        <v>89</v>
      </c>
      <c r="W146" s="46" t="s">
        <v>782</v>
      </c>
      <c r="X146" s="14" t="s">
        <v>417</v>
      </c>
      <c r="Y146" s="19" t="s">
        <v>124</v>
      </c>
      <c r="Z146" s="14">
        <f t="shared" si="534"/>
        <v>4</v>
      </c>
      <c r="AA146" s="20">
        <f t="shared" si="1"/>
        <v>0</v>
      </c>
      <c r="AB146" s="20">
        <f t="shared" si="2"/>
        <v>0.25</v>
      </c>
      <c r="AC146" s="21"/>
      <c r="AD146" s="21"/>
      <c r="AE146" s="21">
        <f t="shared" si="3"/>
        <v>8.7499999999999994E-2</v>
      </c>
      <c r="AF146" s="46">
        <v>0</v>
      </c>
      <c r="AG146" s="46">
        <v>2</v>
      </c>
      <c r="AH146" s="46">
        <v>2</v>
      </c>
      <c r="AI146" s="46">
        <v>0</v>
      </c>
      <c r="AJ146" s="26"/>
      <c r="AK146" s="26"/>
      <c r="AL146" s="26"/>
      <c r="AM146" s="26"/>
      <c r="AN146" s="34">
        <v>0</v>
      </c>
      <c r="AO146" s="34">
        <v>0</v>
      </c>
      <c r="AP146" s="34">
        <v>0</v>
      </c>
      <c r="AQ146" s="34">
        <v>0</v>
      </c>
      <c r="AR146" s="34">
        <v>0</v>
      </c>
      <c r="AS146" s="34">
        <f>(AK146+AM146+AO146+AQ146)/2</f>
        <v>0</v>
      </c>
      <c r="AT146" s="24">
        <f>IF(AQ146=0, 0, AR146/AQ146)</f>
        <v>0</v>
      </c>
      <c r="AU146" s="23" t="str">
        <f>IF(AR146&gt; 1, IF(AR146 = AS146, "100%", AR146 &amp; "%"), IF(AR146 &lt;= 0.01, "0%", AR146 * 100 &amp; "%"))</f>
        <v>0%</v>
      </c>
      <c r="AV146" s="24">
        <f t="shared" si="7"/>
        <v>0</v>
      </c>
      <c r="AW146" s="26" t="s">
        <v>192</v>
      </c>
      <c r="AX146" s="30" t="s">
        <v>783</v>
      </c>
      <c r="AY146" s="26">
        <v>0</v>
      </c>
      <c r="AZ146" s="26">
        <v>0</v>
      </c>
      <c r="BA146" s="26">
        <v>1</v>
      </c>
      <c r="BB146" s="26">
        <v>1</v>
      </c>
      <c r="BC146" s="26">
        <v>1</v>
      </c>
      <c r="BD146" s="26">
        <v>1</v>
      </c>
      <c r="BE146" s="26"/>
      <c r="BF146" s="26"/>
      <c r="BG146" s="22">
        <f t="shared" ref="BG146:BH146" si="541">(AY146+BA146+BC146+BE146)/2</f>
        <v>1</v>
      </c>
      <c r="BH146" s="22">
        <f t="shared" si="541"/>
        <v>1</v>
      </c>
      <c r="BI146" s="22">
        <f t="shared" si="408"/>
        <v>1</v>
      </c>
      <c r="BJ146" s="23" t="str">
        <f t="shared" si="409"/>
        <v>100%</v>
      </c>
      <c r="BK146" s="24">
        <f t="shared" si="410"/>
        <v>1</v>
      </c>
      <c r="BL146" s="22" t="s">
        <v>92</v>
      </c>
      <c r="BM146" s="25" t="s">
        <v>783</v>
      </c>
      <c r="BN146" s="27">
        <v>15000000</v>
      </c>
      <c r="BO146" s="27">
        <v>15000000</v>
      </c>
      <c r="BP146" s="27">
        <v>0</v>
      </c>
      <c r="BQ146" s="27">
        <v>0</v>
      </c>
      <c r="BR146" s="27">
        <f t="shared" ref="BR146:BS146" si="542">+BN146+BP146</f>
        <v>15000000</v>
      </c>
      <c r="BS146" s="27">
        <f t="shared" si="542"/>
        <v>15000000</v>
      </c>
      <c r="BT146" s="20">
        <f t="shared" si="13"/>
        <v>1</v>
      </c>
      <c r="BU146" s="27">
        <v>15000000</v>
      </c>
      <c r="BV146" s="27">
        <v>15000000</v>
      </c>
      <c r="BW146" s="27">
        <v>15000000</v>
      </c>
      <c r="BX146" s="27">
        <v>12250000</v>
      </c>
      <c r="BY146" s="28">
        <f t="shared" si="149"/>
        <v>1</v>
      </c>
      <c r="BZ146" s="27">
        <v>44000000</v>
      </c>
      <c r="CA146" s="20">
        <v>44880000</v>
      </c>
      <c r="CB146" s="29">
        <v>45777600</v>
      </c>
      <c r="CC146" s="29">
        <v>47150928</v>
      </c>
      <c r="CD146" s="29">
        <v>181808528</v>
      </c>
    </row>
    <row r="147" spans="1:82" ht="51.75" customHeight="1">
      <c r="A147" s="12" t="s">
        <v>657</v>
      </c>
      <c r="B147" s="13">
        <v>0.113</v>
      </c>
      <c r="C147" s="12"/>
      <c r="D147" s="14">
        <v>35</v>
      </c>
      <c r="E147" s="14">
        <v>3502</v>
      </c>
      <c r="F147" s="14">
        <v>20</v>
      </c>
      <c r="G147" s="14" t="s">
        <v>784</v>
      </c>
      <c r="H147" s="14">
        <v>200</v>
      </c>
      <c r="I147" s="14">
        <v>20.100000000000001</v>
      </c>
      <c r="J147" s="14" t="s">
        <v>785</v>
      </c>
      <c r="K147" s="14" t="s">
        <v>786</v>
      </c>
      <c r="L147" s="14" t="s">
        <v>787</v>
      </c>
      <c r="M147" s="14" t="s">
        <v>788</v>
      </c>
      <c r="N147" s="14" t="s">
        <v>789</v>
      </c>
      <c r="O147" s="14">
        <v>3502012</v>
      </c>
      <c r="P147" s="17">
        <v>2024257990020</v>
      </c>
      <c r="Q147" s="14" t="s">
        <v>790</v>
      </c>
      <c r="R147" s="18">
        <v>146</v>
      </c>
      <c r="S147" s="14" t="s">
        <v>791</v>
      </c>
      <c r="T147" s="14" t="s">
        <v>792</v>
      </c>
      <c r="U147" s="14" t="s">
        <v>88</v>
      </c>
      <c r="V147" s="14" t="s">
        <v>114</v>
      </c>
      <c r="W147" s="14" t="s">
        <v>793</v>
      </c>
      <c r="X147" s="14" t="s">
        <v>91</v>
      </c>
      <c r="Y147" s="19" t="s">
        <v>124</v>
      </c>
      <c r="Z147" s="14">
        <f t="shared" ref="Z147:Z148" si="543">SUM(AF147:AI147)/4</f>
        <v>5</v>
      </c>
      <c r="AA147" s="20">
        <f t="shared" si="1"/>
        <v>0.96</v>
      </c>
      <c r="AB147" s="20">
        <f t="shared" si="2"/>
        <v>0.2</v>
      </c>
      <c r="AC147" s="21"/>
      <c r="AD147" s="21"/>
      <c r="AE147" s="21">
        <f t="shared" si="3"/>
        <v>0.21399999999999997</v>
      </c>
      <c r="AF147" s="14">
        <v>5</v>
      </c>
      <c r="AG147" s="14">
        <v>5</v>
      </c>
      <c r="AH147" s="14">
        <v>5</v>
      </c>
      <c r="AI147" s="14">
        <v>5</v>
      </c>
      <c r="AJ147" s="26"/>
      <c r="AK147" s="26"/>
      <c r="AL147" s="26"/>
      <c r="AM147" s="26"/>
      <c r="AN147" s="26">
        <v>3.5</v>
      </c>
      <c r="AO147" s="26">
        <v>3.5</v>
      </c>
      <c r="AP147" s="26">
        <v>1.5</v>
      </c>
      <c r="AQ147" s="26">
        <v>1.3</v>
      </c>
      <c r="AR147" s="22">
        <f t="shared" ref="AR147:AS147" si="544">(AJ147+AL147+AN147+AP147)</f>
        <v>5</v>
      </c>
      <c r="AS147" s="22">
        <f t="shared" si="544"/>
        <v>4.8</v>
      </c>
      <c r="AT147" s="22">
        <f>AS147/AR147</f>
        <v>0.96</v>
      </c>
      <c r="AU147" s="23" t="str">
        <f t="shared" ref="AU147:AU152" si="545">MIN((AR147 /AR147) * 100, 100) &amp; "%"</f>
        <v>100%</v>
      </c>
      <c r="AV147" s="24">
        <f t="shared" si="7"/>
        <v>0.96</v>
      </c>
      <c r="AW147" s="14" t="s">
        <v>92</v>
      </c>
      <c r="AX147" s="30" t="s">
        <v>794</v>
      </c>
      <c r="AY147" s="26">
        <v>5</v>
      </c>
      <c r="AZ147" s="26">
        <v>5</v>
      </c>
      <c r="BA147" s="26">
        <v>5</v>
      </c>
      <c r="BB147" s="26">
        <v>5</v>
      </c>
      <c r="BC147" s="26">
        <v>5</v>
      </c>
      <c r="BD147" s="26">
        <v>5</v>
      </c>
      <c r="BE147" s="26">
        <v>5</v>
      </c>
      <c r="BF147" s="26"/>
      <c r="BG147" s="22">
        <f>(AY147+BA147+BC147+BE147)/4</f>
        <v>5</v>
      </c>
      <c r="BH147" s="22">
        <f>(AZ147+BB147+BD147+BF147)/3</f>
        <v>5</v>
      </c>
      <c r="BI147" s="22">
        <f t="shared" si="408"/>
        <v>1</v>
      </c>
      <c r="BJ147" s="23" t="str">
        <f t="shared" si="409"/>
        <v>100%</v>
      </c>
      <c r="BK147" s="24">
        <f t="shared" si="410"/>
        <v>1</v>
      </c>
      <c r="BL147" s="22" t="s">
        <v>92</v>
      </c>
      <c r="BM147" s="25" t="s">
        <v>794</v>
      </c>
      <c r="BN147" s="27">
        <v>180000000</v>
      </c>
      <c r="BO147" s="27">
        <v>172666666</v>
      </c>
      <c r="BP147" s="27">
        <v>57785200</v>
      </c>
      <c r="BQ147" s="27">
        <v>57785200</v>
      </c>
      <c r="BR147" s="27">
        <f t="shared" ref="BR147:BS147" si="546">+BN147+BP147</f>
        <v>237785200</v>
      </c>
      <c r="BS147" s="27">
        <f t="shared" si="546"/>
        <v>230451866</v>
      </c>
      <c r="BT147" s="20">
        <f t="shared" si="13"/>
        <v>0.96915983837513853</v>
      </c>
      <c r="BU147" s="27">
        <v>180000000</v>
      </c>
      <c r="BV147" s="27">
        <v>286109667</v>
      </c>
      <c r="BW147" s="27">
        <v>285532404</v>
      </c>
      <c r="BX147" s="27">
        <v>132483333</v>
      </c>
      <c r="BY147" s="28">
        <f t="shared" si="149"/>
        <v>0.99798237156383818</v>
      </c>
      <c r="BZ147" s="27">
        <v>702000000</v>
      </c>
      <c r="CA147" s="20">
        <v>716040000</v>
      </c>
      <c r="CB147" s="29">
        <v>730360800</v>
      </c>
      <c r="CC147" s="29">
        <v>752271624</v>
      </c>
      <c r="CD147" s="29">
        <v>2900672424</v>
      </c>
    </row>
    <row r="148" spans="1:82" ht="51.75" customHeight="1">
      <c r="A148" s="12" t="s">
        <v>657</v>
      </c>
      <c r="B148" s="13">
        <v>0.113</v>
      </c>
      <c r="C148" s="12"/>
      <c r="D148" s="14">
        <v>35</v>
      </c>
      <c r="E148" s="14">
        <v>3502</v>
      </c>
      <c r="F148" s="14">
        <v>20</v>
      </c>
      <c r="G148" s="14" t="s">
        <v>784</v>
      </c>
      <c r="H148" s="14"/>
      <c r="I148" s="14">
        <v>20.100000000000001</v>
      </c>
      <c r="J148" s="14" t="s">
        <v>785</v>
      </c>
      <c r="K148" s="14" t="s">
        <v>786</v>
      </c>
      <c r="L148" s="14" t="s">
        <v>787</v>
      </c>
      <c r="M148" s="14" t="s">
        <v>788</v>
      </c>
      <c r="N148" s="14" t="s">
        <v>789</v>
      </c>
      <c r="O148" s="14">
        <v>3502004</v>
      </c>
      <c r="P148" s="17">
        <v>2024257990020</v>
      </c>
      <c r="Q148" s="14" t="s">
        <v>790</v>
      </c>
      <c r="R148" s="18">
        <v>147</v>
      </c>
      <c r="S148" s="14" t="s">
        <v>795</v>
      </c>
      <c r="T148" s="20">
        <v>1</v>
      </c>
      <c r="U148" s="14" t="s">
        <v>109</v>
      </c>
      <c r="V148" s="14" t="s">
        <v>114</v>
      </c>
      <c r="W148" s="14" t="s">
        <v>796</v>
      </c>
      <c r="X148" s="14" t="s">
        <v>91</v>
      </c>
      <c r="Y148" s="19"/>
      <c r="Z148" s="24">
        <f t="shared" si="543"/>
        <v>1</v>
      </c>
      <c r="AA148" s="20">
        <f t="shared" si="1"/>
        <v>1</v>
      </c>
      <c r="AB148" s="20">
        <f t="shared" si="2"/>
        <v>0.8</v>
      </c>
      <c r="AC148" s="21"/>
      <c r="AD148" s="21"/>
      <c r="AE148" s="21">
        <f t="shared" si="3"/>
        <v>0.42999999999999994</v>
      </c>
      <c r="AF148" s="20">
        <v>1</v>
      </c>
      <c r="AG148" s="20">
        <v>1</v>
      </c>
      <c r="AH148" s="20">
        <v>1</v>
      </c>
      <c r="AI148" s="20">
        <v>1</v>
      </c>
      <c r="AJ148" s="26"/>
      <c r="AK148" s="26"/>
      <c r="AL148" s="26"/>
      <c r="AM148" s="26"/>
      <c r="AN148" s="44">
        <v>1E-3</v>
      </c>
      <c r="AO148" s="26">
        <v>0</v>
      </c>
      <c r="AP148" s="24">
        <v>1</v>
      </c>
      <c r="AQ148" s="24">
        <v>1</v>
      </c>
      <c r="AR148" s="21">
        <f t="shared" ref="AR148:AS148" si="547">(AJ148+AL148+AN148+AP148)</f>
        <v>1.0009999999999999</v>
      </c>
      <c r="AS148" s="24">
        <f t="shared" si="547"/>
        <v>1</v>
      </c>
      <c r="AT148" s="24">
        <f>IF(AQ148=0, 0, AR148/AQ148)</f>
        <v>1.0009999999999999</v>
      </c>
      <c r="AU148" s="23" t="str">
        <f t="shared" si="545"/>
        <v>100%</v>
      </c>
      <c r="AV148" s="24">
        <f t="shared" si="7"/>
        <v>0.99900099900099915</v>
      </c>
      <c r="AW148" s="14" t="s">
        <v>92</v>
      </c>
      <c r="AX148" s="30" t="s">
        <v>797</v>
      </c>
      <c r="AY148" s="24">
        <v>0.05</v>
      </c>
      <c r="AZ148" s="24">
        <v>0.05</v>
      </c>
      <c r="BA148" s="24">
        <v>0.15</v>
      </c>
      <c r="BB148" s="24">
        <v>0.15</v>
      </c>
      <c r="BC148" s="24">
        <v>0.6</v>
      </c>
      <c r="BD148" s="24">
        <v>0.6</v>
      </c>
      <c r="BE148" s="24">
        <v>0.2</v>
      </c>
      <c r="BF148" s="26"/>
      <c r="BG148" s="20">
        <f t="shared" ref="BG148:BH148" si="548">(AY148+BA148+BC148+BE148)</f>
        <v>1</v>
      </c>
      <c r="BH148" s="20">
        <f t="shared" si="548"/>
        <v>0.8</v>
      </c>
      <c r="BI148" s="20">
        <f t="shared" si="408"/>
        <v>0.8</v>
      </c>
      <c r="BJ148" s="23" t="str">
        <f t="shared" si="409"/>
        <v>100%</v>
      </c>
      <c r="BK148" s="24">
        <f t="shared" si="410"/>
        <v>0.8</v>
      </c>
      <c r="BL148" s="22" t="s">
        <v>92</v>
      </c>
      <c r="BM148" s="25" t="s">
        <v>798</v>
      </c>
      <c r="BN148" s="27">
        <v>400000000</v>
      </c>
      <c r="BO148" s="27">
        <v>0</v>
      </c>
      <c r="BP148" s="27">
        <v>436069670</v>
      </c>
      <c r="BQ148" s="27">
        <v>436069670</v>
      </c>
      <c r="BR148" s="27">
        <f t="shared" ref="BR148:BS148" si="549">+BN148+BP148</f>
        <v>836069670</v>
      </c>
      <c r="BS148" s="27">
        <f t="shared" si="549"/>
        <v>436069670</v>
      </c>
      <c r="BT148" s="20">
        <f t="shared" si="13"/>
        <v>0.52157097147179132</v>
      </c>
      <c r="BU148" s="27">
        <v>400000000</v>
      </c>
      <c r="BV148" s="27">
        <v>293890333</v>
      </c>
      <c r="BW148" s="27">
        <v>0</v>
      </c>
      <c r="BX148" s="27">
        <v>0</v>
      </c>
      <c r="BY148" s="28">
        <f t="shared" si="149"/>
        <v>0</v>
      </c>
      <c r="BZ148" s="27">
        <v>330000000</v>
      </c>
      <c r="CA148" s="20">
        <v>350000000</v>
      </c>
      <c r="CB148" s="29">
        <v>363650000</v>
      </c>
      <c r="CC148" s="29">
        <v>377832350</v>
      </c>
      <c r="CD148" s="29">
        <v>1421482350</v>
      </c>
    </row>
    <row r="149" spans="1:82" ht="51.75" customHeight="1">
      <c r="A149" s="12" t="s">
        <v>657</v>
      </c>
      <c r="B149" s="13">
        <v>0.113</v>
      </c>
      <c r="C149" s="12"/>
      <c r="D149" s="14">
        <v>35</v>
      </c>
      <c r="E149" s="14">
        <v>3502</v>
      </c>
      <c r="F149" s="14">
        <v>20</v>
      </c>
      <c r="G149" s="14" t="s">
        <v>784</v>
      </c>
      <c r="H149" s="14">
        <v>200</v>
      </c>
      <c r="I149" s="14">
        <v>20.100000000000001</v>
      </c>
      <c r="J149" s="14" t="s">
        <v>785</v>
      </c>
      <c r="K149" s="14" t="s">
        <v>786</v>
      </c>
      <c r="L149" s="14" t="s">
        <v>787</v>
      </c>
      <c r="M149" s="14" t="s">
        <v>788</v>
      </c>
      <c r="N149" s="14" t="s">
        <v>789</v>
      </c>
      <c r="O149" s="14">
        <v>3502021</v>
      </c>
      <c r="P149" s="17">
        <v>2024257990020</v>
      </c>
      <c r="Q149" s="14" t="s">
        <v>790</v>
      </c>
      <c r="R149" s="18">
        <v>148</v>
      </c>
      <c r="S149" s="14" t="s">
        <v>799</v>
      </c>
      <c r="T149" s="14">
        <v>0</v>
      </c>
      <c r="U149" s="14" t="s">
        <v>88</v>
      </c>
      <c r="V149" s="14" t="s">
        <v>89</v>
      </c>
      <c r="W149" s="14" t="s">
        <v>800</v>
      </c>
      <c r="X149" s="14" t="s">
        <v>91</v>
      </c>
      <c r="Y149" s="19" t="s">
        <v>124</v>
      </c>
      <c r="Z149" s="14">
        <f>SUM(AF149:AI149)</f>
        <v>1</v>
      </c>
      <c r="AA149" s="20">
        <f t="shared" si="1"/>
        <v>9.8000000000000004E-2</v>
      </c>
      <c r="AB149" s="20">
        <f t="shared" si="2"/>
        <v>1</v>
      </c>
      <c r="AC149" s="21"/>
      <c r="AD149" s="21"/>
      <c r="AE149" s="21">
        <f t="shared" si="3"/>
        <v>0.36469999999999997</v>
      </c>
      <c r="AF149" s="14">
        <v>0.1</v>
      </c>
      <c r="AG149" s="14">
        <v>0.4</v>
      </c>
      <c r="AH149" s="14">
        <v>0.4</v>
      </c>
      <c r="AI149" s="14">
        <v>0.1</v>
      </c>
      <c r="AJ149" s="26"/>
      <c r="AK149" s="26"/>
      <c r="AL149" s="26"/>
      <c r="AM149" s="26"/>
      <c r="AN149" s="26">
        <v>7.0000000000000007E-2</v>
      </c>
      <c r="AO149" s="26">
        <v>7.0000000000000007E-2</v>
      </c>
      <c r="AP149" s="26">
        <v>0.03</v>
      </c>
      <c r="AQ149" s="26">
        <v>2.8000000000000001E-2</v>
      </c>
      <c r="AR149" s="22">
        <f t="shared" ref="AR149:AS149" si="550">(AJ149+AL149+AN149+AP149)</f>
        <v>0.1</v>
      </c>
      <c r="AS149" s="22">
        <f t="shared" si="550"/>
        <v>9.8000000000000004E-2</v>
      </c>
      <c r="AT149" s="22">
        <f t="shared" ref="AT149:AT152" si="551">AS149/AR149</f>
        <v>0.98</v>
      </c>
      <c r="AU149" s="23" t="str">
        <f t="shared" si="545"/>
        <v>100%</v>
      </c>
      <c r="AV149" s="24">
        <f t="shared" si="7"/>
        <v>0.98</v>
      </c>
      <c r="AW149" s="14" t="s">
        <v>92</v>
      </c>
      <c r="AX149" s="30" t="s">
        <v>801</v>
      </c>
      <c r="AY149" s="14">
        <v>0.1</v>
      </c>
      <c r="AZ149" s="14">
        <v>0.1</v>
      </c>
      <c r="BA149" s="14">
        <v>0.1</v>
      </c>
      <c r="BB149" s="14">
        <v>0.1</v>
      </c>
      <c r="BC149" s="14">
        <v>0.2</v>
      </c>
      <c r="BD149" s="14">
        <v>0.2</v>
      </c>
      <c r="BE149" s="14">
        <v>0</v>
      </c>
      <c r="BF149" s="26">
        <v>0</v>
      </c>
      <c r="BG149" s="22">
        <f t="shared" ref="BG149:BH149" si="552">(AY149+BA149+BC149+BE149)</f>
        <v>0.4</v>
      </c>
      <c r="BH149" s="22">
        <f t="shared" si="552"/>
        <v>0.4</v>
      </c>
      <c r="BI149" s="22">
        <f t="shared" si="408"/>
        <v>1</v>
      </c>
      <c r="BJ149" s="23" t="str">
        <f t="shared" si="409"/>
        <v>100%</v>
      </c>
      <c r="BK149" s="24">
        <f t="shared" si="410"/>
        <v>1</v>
      </c>
      <c r="BL149" s="22" t="s">
        <v>92</v>
      </c>
      <c r="BM149" s="25" t="s">
        <v>801</v>
      </c>
      <c r="BN149" s="27">
        <v>33895072</v>
      </c>
      <c r="BO149" s="27">
        <v>33366667</v>
      </c>
      <c r="BP149" s="27">
        <v>11531268</v>
      </c>
      <c r="BQ149" s="27">
        <v>11531268</v>
      </c>
      <c r="BR149" s="27">
        <f t="shared" ref="BR149:BS149" si="553">+BN149+BP149</f>
        <v>45426340</v>
      </c>
      <c r="BS149" s="27">
        <f t="shared" si="553"/>
        <v>44897935</v>
      </c>
      <c r="BT149" s="20">
        <f t="shared" si="13"/>
        <v>0.98836787203195331</v>
      </c>
      <c r="BU149" s="27">
        <v>33895072</v>
      </c>
      <c r="BV149" s="27">
        <v>33895072</v>
      </c>
      <c r="BW149" s="27">
        <v>33895072</v>
      </c>
      <c r="BX149" s="27">
        <v>24050000</v>
      </c>
      <c r="BY149" s="28">
        <f t="shared" si="149"/>
        <v>1</v>
      </c>
      <c r="BZ149" s="27">
        <v>340000000</v>
      </c>
      <c r="CA149" s="20">
        <v>346800000</v>
      </c>
      <c r="CB149" s="29">
        <v>353736000</v>
      </c>
      <c r="CC149" s="29">
        <v>364348080</v>
      </c>
      <c r="CD149" s="29">
        <v>1404884080</v>
      </c>
    </row>
    <row r="150" spans="1:82" ht="51.75" customHeight="1">
      <c r="A150" s="12" t="s">
        <v>657</v>
      </c>
      <c r="B150" s="13">
        <v>0.113</v>
      </c>
      <c r="C150" s="12"/>
      <c r="D150" s="14">
        <v>35</v>
      </c>
      <c r="E150" s="14">
        <v>3502</v>
      </c>
      <c r="F150" s="14">
        <v>20</v>
      </c>
      <c r="G150" s="14" t="s">
        <v>784</v>
      </c>
      <c r="H150" s="14">
        <v>200</v>
      </c>
      <c r="I150" s="14">
        <v>20.100000000000001</v>
      </c>
      <c r="J150" s="14" t="s">
        <v>785</v>
      </c>
      <c r="K150" s="14" t="s">
        <v>786</v>
      </c>
      <c r="L150" s="14" t="s">
        <v>787</v>
      </c>
      <c r="M150" s="14" t="s">
        <v>788</v>
      </c>
      <c r="N150" s="14" t="s">
        <v>789</v>
      </c>
      <c r="O150" s="14">
        <v>3502006</v>
      </c>
      <c r="P150" s="17">
        <v>2024257990020</v>
      </c>
      <c r="Q150" s="14" t="s">
        <v>790</v>
      </c>
      <c r="R150" s="18">
        <v>149</v>
      </c>
      <c r="S150" s="14" t="s">
        <v>802</v>
      </c>
      <c r="T150" s="14">
        <v>0</v>
      </c>
      <c r="U150" s="14" t="s">
        <v>88</v>
      </c>
      <c r="V150" s="14" t="s">
        <v>114</v>
      </c>
      <c r="W150" s="14" t="s">
        <v>803</v>
      </c>
      <c r="X150" s="14" t="s">
        <v>91</v>
      </c>
      <c r="Y150" s="19" t="s">
        <v>124</v>
      </c>
      <c r="Z150" s="14">
        <f t="shared" ref="Z150:Z151" si="554">SUM(AF150:AI150)/4</f>
        <v>1</v>
      </c>
      <c r="AA150" s="20">
        <f t="shared" si="1"/>
        <v>9.6000000000000002E-2</v>
      </c>
      <c r="AB150" s="20">
        <f t="shared" si="2"/>
        <v>0.95</v>
      </c>
      <c r="AC150" s="21"/>
      <c r="AD150" s="21"/>
      <c r="AE150" s="21">
        <f t="shared" si="3"/>
        <v>0.34689999999999999</v>
      </c>
      <c r="AF150" s="14">
        <v>1</v>
      </c>
      <c r="AG150" s="14">
        <v>1</v>
      </c>
      <c r="AH150" s="14">
        <v>1</v>
      </c>
      <c r="AI150" s="14">
        <v>1</v>
      </c>
      <c r="AJ150" s="26"/>
      <c r="AK150" s="26"/>
      <c r="AL150" s="26"/>
      <c r="AM150" s="26"/>
      <c r="AN150" s="26">
        <v>7.0000000000000007E-2</v>
      </c>
      <c r="AO150" s="26">
        <v>7.0000000000000007E-2</v>
      </c>
      <c r="AP150" s="26">
        <v>0.03</v>
      </c>
      <c r="AQ150" s="26">
        <v>2.5999999999999999E-2</v>
      </c>
      <c r="AR150" s="22">
        <f t="shared" ref="AR150:AS150" si="555">(AJ150+AL150+AN150+AP150)</f>
        <v>0.1</v>
      </c>
      <c r="AS150" s="22">
        <f t="shared" si="555"/>
        <v>9.6000000000000002E-2</v>
      </c>
      <c r="AT150" s="22">
        <f t="shared" si="551"/>
        <v>0.96</v>
      </c>
      <c r="AU150" s="23" t="str">
        <f t="shared" si="545"/>
        <v>100%</v>
      </c>
      <c r="AV150" s="24">
        <f t="shared" si="7"/>
        <v>0.96</v>
      </c>
      <c r="AW150" s="14" t="s">
        <v>92</v>
      </c>
      <c r="AX150" s="30" t="s">
        <v>804</v>
      </c>
      <c r="AY150" s="46">
        <v>0.25</v>
      </c>
      <c r="AZ150" s="46">
        <v>0.25</v>
      </c>
      <c r="BA150" s="46">
        <v>0.25</v>
      </c>
      <c r="BB150" s="46">
        <v>0.25</v>
      </c>
      <c r="BC150" s="46">
        <v>0.45</v>
      </c>
      <c r="BD150" s="46">
        <v>0.45</v>
      </c>
      <c r="BE150" s="46">
        <v>0.05</v>
      </c>
      <c r="BF150" s="26"/>
      <c r="BG150" s="22">
        <f t="shared" ref="BG150:BH150" si="556">(AY150+BA150+BC150+BE150)</f>
        <v>1</v>
      </c>
      <c r="BH150" s="22">
        <f t="shared" si="556"/>
        <v>0.95</v>
      </c>
      <c r="BI150" s="22">
        <f t="shared" si="408"/>
        <v>0.95</v>
      </c>
      <c r="BJ150" s="23" t="str">
        <f t="shared" si="409"/>
        <v>100%</v>
      </c>
      <c r="BK150" s="24">
        <f t="shared" si="410"/>
        <v>0.95</v>
      </c>
      <c r="BL150" s="22" t="s">
        <v>92</v>
      </c>
      <c r="BM150" s="25" t="s">
        <v>804</v>
      </c>
      <c r="BN150" s="27">
        <v>120000000</v>
      </c>
      <c r="BO150" s="27">
        <v>115066667</v>
      </c>
      <c r="BP150" s="27">
        <v>5510000</v>
      </c>
      <c r="BQ150" s="27">
        <v>5510000</v>
      </c>
      <c r="BR150" s="27">
        <f t="shared" ref="BR150:BS150" si="557">+BN150+BP150</f>
        <v>125510000</v>
      </c>
      <c r="BS150" s="27">
        <f t="shared" si="557"/>
        <v>120576667</v>
      </c>
      <c r="BT150" s="20">
        <f t="shared" si="13"/>
        <v>0.96069370568082224</v>
      </c>
      <c r="BU150" s="27">
        <v>120000000</v>
      </c>
      <c r="BV150" s="27">
        <v>120000000</v>
      </c>
      <c r="BW150" s="27">
        <v>120000000</v>
      </c>
      <c r="BX150" s="27">
        <v>81550000</v>
      </c>
      <c r="BY150" s="28">
        <f t="shared" si="149"/>
        <v>1</v>
      </c>
      <c r="BZ150" s="27">
        <v>126000000</v>
      </c>
      <c r="CA150" s="20">
        <v>128520000</v>
      </c>
      <c r="CB150" s="29">
        <v>131090400</v>
      </c>
      <c r="CC150" s="29">
        <v>135023112</v>
      </c>
      <c r="CD150" s="29">
        <v>520633512</v>
      </c>
    </row>
    <row r="151" spans="1:82" ht="51.75" customHeight="1">
      <c r="A151" s="12" t="s">
        <v>657</v>
      </c>
      <c r="B151" s="13">
        <v>0.113</v>
      </c>
      <c r="C151" s="12"/>
      <c r="D151" s="14">
        <v>35</v>
      </c>
      <c r="E151" s="14">
        <v>3502</v>
      </c>
      <c r="F151" s="14">
        <v>20</v>
      </c>
      <c r="G151" s="14" t="s">
        <v>784</v>
      </c>
      <c r="H151" s="14">
        <v>200</v>
      </c>
      <c r="I151" s="14">
        <v>20.100000000000001</v>
      </c>
      <c r="J151" s="14" t="s">
        <v>785</v>
      </c>
      <c r="K151" s="14" t="s">
        <v>786</v>
      </c>
      <c r="L151" s="14" t="s">
        <v>787</v>
      </c>
      <c r="M151" s="14" t="s">
        <v>788</v>
      </c>
      <c r="N151" s="14" t="s">
        <v>789</v>
      </c>
      <c r="O151" s="16">
        <v>3502090</v>
      </c>
      <c r="P151" s="17">
        <v>2024257990020</v>
      </c>
      <c r="Q151" s="14" t="s">
        <v>790</v>
      </c>
      <c r="R151" s="18">
        <v>150</v>
      </c>
      <c r="S151" s="14" t="s">
        <v>805</v>
      </c>
      <c r="T151" s="14" t="s">
        <v>806</v>
      </c>
      <c r="U151" s="14" t="s">
        <v>88</v>
      </c>
      <c r="V151" s="14" t="s">
        <v>89</v>
      </c>
      <c r="W151" s="14" t="s">
        <v>807</v>
      </c>
      <c r="X151" s="14" t="s">
        <v>91</v>
      </c>
      <c r="Y151" s="19"/>
      <c r="Z151" s="14">
        <f t="shared" si="554"/>
        <v>1</v>
      </c>
      <c r="AA151" s="20">
        <f t="shared" si="1"/>
        <v>9.4E-2</v>
      </c>
      <c r="AB151" s="20">
        <f t="shared" si="2"/>
        <v>0.95</v>
      </c>
      <c r="AC151" s="21"/>
      <c r="AD151" s="21"/>
      <c r="AE151" s="21">
        <f t="shared" si="3"/>
        <v>0.34659999999999996</v>
      </c>
      <c r="AF151" s="14">
        <v>1</v>
      </c>
      <c r="AG151" s="14">
        <v>1</v>
      </c>
      <c r="AH151" s="14">
        <v>1</v>
      </c>
      <c r="AI151" s="14">
        <v>1</v>
      </c>
      <c r="AJ151" s="26"/>
      <c r="AK151" s="26"/>
      <c r="AL151" s="26"/>
      <c r="AM151" s="26"/>
      <c r="AN151" s="26">
        <v>0.08</v>
      </c>
      <c r="AO151" s="26">
        <v>0.08</v>
      </c>
      <c r="AP151" s="26">
        <v>0.02</v>
      </c>
      <c r="AQ151" s="49">
        <v>1.4E-2</v>
      </c>
      <c r="AR151" s="22">
        <f t="shared" ref="AR151:AS151" si="558">(AJ151+AL151+AN151+AP151)</f>
        <v>0.1</v>
      </c>
      <c r="AS151" s="22">
        <f t="shared" si="558"/>
        <v>9.4E-2</v>
      </c>
      <c r="AT151" s="22">
        <f t="shared" si="551"/>
        <v>0.94</v>
      </c>
      <c r="AU151" s="23" t="str">
        <f t="shared" si="545"/>
        <v>100%</v>
      </c>
      <c r="AV151" s="24">
        <f t="shared" si="7"/>
        <v>0.94</v>
      </c>
      <c r="AW151" s="14" t="s">
        <v>92</v>
      </c>
      <c r="AX151" s="30" t="s">
        <v>808</v>
      </c>
      <c r="AY151" s="46">
        <v>0.25</v>
      </c>
      <c r="AZ151" s="46">
        <v>0.25</v>
      </c>
      <c r="BA151" s="46">
        <v>0.25</v>
      </c>
      <c r="BB151" s="46">
        <v>0.25</v>
      </c>
      <c r="BC151" s="46">
        <v>0.45</v>
      </c>
      <c r="BD151" s="46">
        <v>0.45</v>
      </c>
      <c r="BE151" s="46">
        <v>0.05</v>
      </c>
      <c r="BF151" s="26"/>
      <c r="BG151" s="22">
        <f t="shared" ref="BG151:BH151" si="559">(AY151+BA151+BC151+BE151)</f>
        <v>1</v>
      </c>
      <c r="BH151" s="22">
        <f t="shared" si="559"/>
        <v>0.95</v>
      </c>
      <c r="BI151" s="22">
        <f t="shared" si="408"/>
        <v>0.95</v>
      </c>
      <c r="BJ151" s="23" t="str">
        <f t="shared" si="409"/>
        <v>100%</v>
      </c>
      <c r="BK151" s="24">
        <f t="shared" si="410"/>
        <v>0.95</v>
      </c>
      <c r="BL151" s="22" t="s">
        <v>92</v>
      </c>
      <c r="BM151" s="25" t="s">
        <v>808</v>
      </c>
      <c r="BN151" s="27">
        <v>200000000</v>
      </c>
      <c r="BO151" s="27">
        <v>160145276</v>
      </c>
      <c r="BP151" s="27">
        <v>208223200</v>
      </c>
      <c r="BQ151" s="27">
        <v>208223200</v>
      </c>
      <c r="BR151" s="27">
        <f t="shared" ref="BR151:BS151" si="560">+BN151+BP151</f>
        <v>408223200</v>
      </c>
      <c r="BS151" s="27">
        <f t="shared" si="560"/>
        <v>368368476</v>
      </c>
      <c r="BT151" s="20">
        <f t="shared" si="13"/>
        <v>0.90237026215070582</v>
      </c>
      <c r="BU151" s="27">
        <v>200000000</v>
      </c>
      <c r="BV151" s="27">
        <v>200000000</v>
      </c>
      <c r="BW151" s="27">
        <v>199998276</v>
      </c>
      <c r="BX151" s="27">
        <v>129845275</v>
      </c>
      <c r="BY151" s="28">
        <f t="shared" si="149"/>
        <v>0.99999137999999999</v>
      </c>
      <c r="BZ151" s="27">
        <v>300000000</v>
      </c>
      <c r="CA151" s="20">
        <v>306000000</v>
      </c>
      <c r="CB151" s="29">
        <v>312120000</v>
      </c>
      <c r="CC151" s="29">
        <v>321483600</v>
      </c>
      <c r="CD151" s="29">
        <v>1239603600</v>
      </c>
    </row>
    <row r="152" spans="1:82" ht="48.75" customHeight="1">
      <c r="A152" s="12" t="s">
        <v>657</v>
      </c>
      <c r="B152" s="13">
        <v>0.113</v>
      </c>
      <c r="C152" s="12"/>
      <c r="D152" s="14">
        <v>36</v>
      </c>
      <c r="E152" s="14">
        <v>3502</v>
      </c>
      <c r="F152" s="14">
        <v>21</v>
      </c>
      <c r="G152" s="14" t="s">
        <v>809</v>
      </c>
      <c r="H152" s="14">
        <v>1300</v>
      </c>
      <c r="I152" s="14">
        <v>21.1</v>
      </c>
      <c r="J152" s="14" t="s">
        <v>810</v>
      </c>
      <c r="K152" s="14" t="s">
        <v>811</v>
      </c>
      <c r="L152" s="14" t="s">
        <v>812</v>
      </c>
      <c r="M152" s="14" t="s">
        <v>813</v>
      </c>
      <c r="N152" s="14">
        <v>0</v>
      </c>
      <c r="O152" s="16">
        <v>3502008</v>
      </c>
      <c r="P152" s="17">
        <v>2024257990020</v>
      </c>
      <c r="Q152" s="14" t="s">
        <v>790</v>
      </c>
      <c r="R152" s="18">
        <v>151</v>
      </c>
      <c r="S152" s="14" t="s">
        <v>814</v>
      </c>
      <c r="T152" s="14">
        <v>0</v>
      </c>
      <c r="U152" s="14" t="s">
        <v>88</v>
      </c>
      <c r="V152" s="14" t="s">
        <v>89</v>
      </c>
      <c r="W152" s="14" t="s">
        <v>815</v>
      </c>
      <c r="X152" s="14" t="s">
        <v>91</v>
      </c>
      <c r="Y152" s="19"/>
      <c r="Z152" s="14">
        <f t="shared" ref="Z152:Z156" si="561">SUM(AF152:AI152)</f>
        <v>1</v>
      </c>
      <c r="AA152" s="20">
        <f t="shared" si="1"/>
        <v>0.2</v>
      </c>
      <c r="AB152" s="20">
        <f t="shared" si="2"/>
        <v>0.96666666666666667</v>
      </c>
      <c r="AC152" s="21"/>
      <c r="AD152" s="21"/>
      <c r="AE152" s="21">
        <f t="shared" si="3"/>
        <v>0.36833333333333329</v>
      </c>
      <c r="AF152" s="14">
        <v>0.2</v>
      </c>
      <c r="AG152" s="14">
        <v>0.3</v>
      </c>
      <c r="AH152" s="14">
        <v>0.3</v>
      </c>
      <c r="AI152" s="14">
        <v>0.2</v>
      </c>
      <c r="AJ152" s="26"/>
      <c r="AK152" s="26"/>
      <c r="AL152" s="26"/>
      <c r="AM152" s="26"/>
      <c r="AN152" s="26">
        <v>0.16</v>
      </c>
      <c r="AO152" s="26">
        <v>0.16</v>
      </c>
      <c r="AP152" s="26">
        <v>0.04</v>
      </c>
      <c r="AQ152" s="26">
        <v>0.04</v>
      </c>
      <c r="AR152" s="22">
        <f t="shared" ref="AR152:AS152" si="562">(AJ152+AL152+AN152+AP152)</f>
        <v>0.2</v>
      </c>
      <c r="AS152" s="22">
        <f t="shared" si="562"/>
        <v>0.2</v>
      </c>
      <c r="AT152" s="22">
        <f t="shared" si="551"/>
        <v>1</v>
      </c>
      <c r="AU152" s="23" t="str">
        <f t="shared" si="545"/>
        <v>100%</v>
      </c>
      <c r="AV152" s="24">
        <f t="shared" si="7"/>
        <v>1</v>
      </c>
      <c r="AW152" s="14" t="s">
        <v>92</v>
      </c>
      <c r="AX152" s="30" t="s">
        <v>816</v>
      </c>
      <c r="AY152" s="14">
        <v>7.5</v>
      </c>
      <c r="AZ152" s="14">
        <v>7.5</v>
      </c>
      <c r="BA152" s="14">
        <v>7.5</v>
      </c>
      <c r="BB152" s="14">
        <v>7.5</v>
      </c>
      <c r="BC152" s="14">
        <v>14</v>
      </c>
      <c r="BD152" s="14">
        <v>14</v>
      </c>
      <c r="BE152" s="14">
        <v>1</v>
      </c>
      <c r="BF152" s="26"/>
      <c r="BG152" s="22">
        <f t="shared" ref="BG152:BH152" si="563">(AY152+BA152+BC152+BE152)</f>
        <v>30</v>
      </c>
      <c r="BH152" s="22">
        <f t="shared" si="563"/>
        <v>29</v>
      </c>
      <c r="BI152" s="22">
        <f t="shared" si="408"/>
        <v>0.96666666666666667</v>
      </c>
      <c r="BJ152" s="23" t="str">
        <f t="shared" si="409"/>
        <v>100%</v>
      </c>
      <c r="BK152" s="24">
        <f t="shared" si="410"/>
        <v>0.96666666666666667</v>
      </c>
      <c r="BL152" s="22" t="s">
        <v>92</v>
      </c>
      <c r="BM152" s="25" t="s">
        <v>816</v>
      </c>
      <c r="BN152" s="27">
        <v>200000000</v>
      </c>
      <c r="BO152" s="27">
        <v>194266669</v>
      </c>
      <c r="BP152" s="27">
        <v>971906667</v>
      </c>
      <c r="BQ152" s="27">
        <v>971906667</v>
      </c>
      <c r="BR152" s="27">
        <f t="shared" ref="BR152:BS152" si="564">+BN152+BP152</f>
        <v>1171906667</v>
      </c>
      <c r="BS152" s="27">
        <f t="shared" si="564"/>
        <v>1166173336</v>
      </c>
      <c r="BT152" s="20">
        <f t="shared" si="13"/>
        <v>0.99510768974915309</v>
      </c>
      <c r="BU152" s="27">
        <v>200000000</v>
      </c>
      <c r="BV152" s="27">
        <v>261470000</v>
      </c>
      <c r="BW152" s="27">
        <v>200000000</v>
      </c>
      <c r="BX152" s="27">
        <v>141571165</v>
      </c>
      <c r="BY152" s="28">
        <f t="shared" si="149"/>
        <v>0.76490610777527057</v>
      </c>
      <c r="BZ152" s="27">
        <v>0</v>
      </c>
      <c r="CA152" s="20">
        <v>1420000000</v>
      </c>
      <c r="CB152" s="29">
        <v>1500000000</v>
      </c>
      <c r="CC152" s="29">
        <v>500000000</v>
      </c>
      <c r="CD152" s="29">
        <v>3420000000</v>
      </c>
    </row>
    <row r="153" spans="1:82" ht="48.75" customHeight="1">
      <c r="A153" s="12" t="s">
        <v>657</v>
      </c>
      <c r="B153" s="13">
        <v>0.113</v>
      </c>
      <c r="C153" s="12"/>
      <c r="D153" s="14">
        <v>39</v>
      </c>
      <c r="E153" s="16">
        <v>3906</v>
      </c>
      <c r="F153" s="14">
        <v>21</v>
      </c>
      <c r="G153" s="14" t="s">
        <v>809</v>
      </c>
      <c r="H153" s="14">
        <v>1002</v>
      </c>
      <c r="I153" s="14">
        <v>21.1</v>
      </c>
      <c r="J153" s="14" t="s">
        <v>810</v>
      </c>
      <c r="K153" s="14" t="s">
        <v>811</v>
      </c>
      <c r="L153" s="14" t="s">
        <v>812</v>
      </c>
      <c r="M153" s="14" t="s">
        <v>813</v>
      </c>
      <c r="N153" s="14">
        <v>0</v>
      </c>
      <c r="O153" s="16">
        <v>3906015</v>
      </c>
      <c r="P153" s="17">
        <v>2024257990021</v>
      </c>
      <c r="Q153" s="14" t="s">
        <v>817</v>
      </c>
      <c r="R153" s="18">
        <v>152</v>
      </c>
      <c r="S153" s="14" t="s">
        <v>818</v>
      </c>
      <c r="T153" s="14">
        <v>0</v>
      </c>
      <c r="U153" s="14" t="s">
        <v>88</v>
      </c>
      <c r="V153" s="14" t="s">
        <v>89</v>
      </c>
      <c r="W153" s="14" t="s">
        <v>819</v>
      </c>
      <c r="X153" s="14" t="s">
        <v>91</v>
      </c>
      <c r="Y153" s="19"/>
      <c r="Z153" s="14">
        <f t="shared" si="561"/>
        <v>2</v>
      </c>
      <c r="AA153" s="20">
        <f t="shared" si="1"/>
        <v>0</v>
      </c>
      <c r="AB153" s="20">
        <f t="shared" si="2"/>
        <v>0.2</v>
      </c>
      <c r="AC153" s="21"/>
      <c r="AD153" s="21"/>
      <c r="AE153" s="21">
        <f t="shared" si="3"/>
        <v>6.9999999999999993E-2</v>
      </c>
      <c r="AF153" s="14">
        <v>0</v>
      </c>
      <c r="AG153" s="14">
        <v>1</v>
      </c>
      <c r="AH153" s="14">
        <v>0</v>
      </c>
      <c r="AI153" s="14">
        <v>1</v>
      </c>
      <c r="AJ153" s="26"/>
      <c r="AK153" s="26"/>
      <c r="AL153" s="26"/>
      <c r="AM153" s="26"/>
      <c r="AN153" s="34">
        <v>0</v>
      </c>
      <c r="AO153" s="34">
        <v>0</v>
      </c>
      <c r="AP153" s="34">
        <v>0</v>
      </c>
      <c r="AQ153" s="34">
        <v>0</v>
      </c>
      <c r="AR153" s="34">
        <v>0</v>
      </c>
      <c r="AS153" s="34">
        <f>(AK153+AM153+AO153+AQ153)/2</f>
        <v>0</v>
      </c>
      <c r="AT153" s="24">
        <f t="shared" ref="AT153:AT154" si="565">IF(AQ153=0, 0, AR153/AQ153)</f>
        <v>0</v>
      </c>
      <c r="AU153" s="23" t="str">
        <f>IF(AR153&gt; 1, IF(AR153 = AS153, "100%", AR153 &amp; "%"), IF(AR153 &lt;= 0.01, "0%", AR153 * 100 &amp; "%"))</f>
        <v>0%</v>
      </c>
      <c r="AV153" s="24">
        <f t="shared" si="7"/>
        <v>0</v>
      </c>
      <c r="AW153" s="26" t="s">
        <v>192</v>
      </c>
      <c r="AX153" s="26"/>
      <c r="AY153" s="46">
        <v>0.1</v>
      </c>
      <c r="AZ153" s="46">
        <v>0.1</v>
      </c>
      <c r="BA153" s="46">
        <v>0.3</v>
      </c>
      <c r="BB153" s="46">
        <v>0.3</v>
      </c>
      <c r="BC153" s="46">
        <v>0.3</v>
      </c>
      <c r="BD153" s="57"/>
      <c r="BE153" s="46">
        <v>0.3</v>
      </c>
      <c r="BF153" s="26"/>
      <c r="BG153" s="22">
        <f t="shared" ref="BG153:BH153" si="566">(AY153+BA153+BC153+BE153)</f>
        <v>1</v>
      </c>
      <c r="BH153" s="22">
        <f t="shared" si="566"/>
        <v>0.4</v>
      </c>
      <c r="BI153" s="22">
        <f t="shared" si="408"/>
        <v>0.4</v>
      </c>
      <c r="BJ153" s="23" t="str">
        <f t="shared" si="409"/>
        <v>100%</v>
      </c>
      <c r="BK153" s="24">
        <f t="shared" si="410"/>
        <v>0.4</v>
      </c>
      <c r="BL153" s="22" t="s">
        <v>192</v>
      </c>
      <c r="BM153" s="25" t="s">
        <v>820</v>
      </c>
      <c r="BN153" s="27">
        <v>0</v>
      </c>
      <c r="BO153" s="27">
        <v>0</v>
      </c>
      <c r="BP153" s="27">
        <v>0</v>
      </c>
      <c r="BQ153" s="27">
        <v>0</v>
      </c>
      <c r="BR153" s="27">
        <f t="shared" ref="BR153:BS153" si="567">+BN153+BP153</f>
        <v>0</v>
      </c>
      <c r="BS153" s="27">
        <f t="shared" si="567"/>
        <v>0</v>
      </c>
      <c r="BT153" s="20" t="str">
        <f t="shared" si="13"/>
        <v/>
      </c>
      <c r="BU153" s="27">
        <v>0</v>
      </c>
      <c r="BV153" s="27">
        <v>0</v>
      </c>
      <c r="BW153" s="27">
        <v>0</v>
      </c>
      <c r="BX153" s="27">
        <v>0</v>
      </c>
      <c r="BY153" s="28" t="str">
        <f t="shared" si="149"/>
        <v/>
      </c>
      <c r="BZ153" s="27">
        <v>20000000</v>
      </c>
      <c r="CA153" s="20">
        <v>20400000</v>
      </c>
      <c r="CB153" s="29">
        <v>20808000</v>
      </c>
      <c r="CC153" s="29">
        <v>21432240</v>
      </c>
      <c r="CD153" s="29">
        <v>82640240</v>
      </c>
    </row>
    <row r="154" spans="1:82" ht="48.75" customHeight="1">
      <c r="A154" s="12" t="s">
        <v>657</v>
      </c>
      <c r="B154" s="13">
        <v>0.113</v>
      </c>
      <c r="C154" s="12"/>
      <c r="D154" s="14">
        <v>39</v>
      </c>
      <c r="E154" s="16">
        <v>3906</v>
      </c>
      <c r="F154" s="14">
        <v>21</v>
      </c>
      <c r="G154" s="14" t="s">
        <v>809</v>
      </c>
      <c r="H154" s="14">
        <v>1002</v>
      </c>
      <c r="I154" s="14">
        <v>21.1</v>
      </c>
      <c r="J154" s="14" t="s">
        <v>810</v>
      </c>
      <c r="K154" s="14" t="s">
        <v>811</v>
      </c>
      <c r="L154" s="14" t="s">
        <v>812</v>
      </c>
      <c r="M154" s="14" t="s">
        <v>813</v>
      </c>
      <c r="N154" s="14">
        <v>0</v>
      </c>
      <c r="O154" s="16">
        <v>3906005</v>
      </c>
      <c r="P154" s="17">
        <v>2024257990021</v>
      </c>
      <c r="Q154" s="14" t="s">
        <v>817</v>
      </c>
      <c r="R154" s="18">
        <v>153</v>
      </c>
      <c r="S154" s="14" t="s">
        <v>821</v>
      </c>
      <c r="T154" s="14">
        <v>0</v>
      </c>
      <c r="U154" s="14" t="s">
        <v>88</v>
      </c>
      <c r="V154" s="14" t="s">
        <v>89</v>
      </c>
      <c r="W154" s="14" t="s">
        <v>822</v>
      </c>
      <c r="X154" s="14" t="s">
        <v>91</v>
      </c>
      <c r="Y154" s="19"/>
      <c r="Z154" s="14">
        <f t="shared" si="561"/>
        <v>2</v>
      </c>
      <c r="AA154" s="20">
        <f t="shared" si="1"/>
        <v>0.5</v>
      </c>
      <c r="AB154" s="20">
        <f t="shared" si="2"/>
        <v>0.45</v>
      </c>
      <c r="AC154" s="21"/>
      <c r="AD154" s="21"/>
      <c r="AE154" s="21">
        <f t="shared" si="3"/>
        <v>0.23249999999999998</v>
      </c>
      <c r="AF154" s="14">
        <v>1</v>
      </c>
      <c r="AG154" s="14">
        <v>1</v>
      </c>
      <c r="AH154" s="14">
        <v>0</v>
      </c>
      <c r="AI154" s="14">
        <v>0</v>
      </c>
      <c r="AJ154" s="26"/>
      <c r="AK154" s="26"/>
      <c r="AL154" s="26"/>
      <c r="AM154" s="26"/>
      <c r="AN154" s="44">
        <v>1E-3</v>
      </c>
      <c r="AO154" s="26">
        <v>0</v>
      </c>
      <c r="AP154" s="26">
        <v>1</v>
      </c>
      <c r="AQ154" s="26">
        <v>1</v>
      </c>
      <c r="AR154" s="22">
        <f t="shared" ref="AR154:AS154" si="568">(AJ154+AL154+AN154+AP154)</f>
        <v>1.0009999999999999</v>
      </c>
      <c r="AS154" s="22">
        <f t="shared" si="568"/>
        <v>1</v>
      </c>
      <c r="AT154" s="24">
        <f t="shared" si="565"/>
        <v>1.0009999999999999</v>
      </c>
      <c r="AU154" s="23" t="str">
        <f t="shared" ref="AU154:AU155" si="569">MIN((AR154 /AR154) * 100, 100) &amp; "%"</f>
        <v>100%</v>
      </c>
      <c r="AV154" s="24">
        <f t="shared" si="7"/>
        <v>0.99900099900099915</v>
      </c>
      <c r="AW154" s="14" t="s">
        <v>92</v>
      </c>
      <c r="AX154" s="30" t="s">
        <v>823</v>
      </c>
      <c r="AY154" s="46">
        <v>0.1</v>
      </c>
      <c r="AZ154" s="46">
        <v>0.1</v>
      </c>
      <c r="BA154" s="46">
        <v>0.3</v>
      </c>
      <c r="BB154" s="46">
        <v>0.3</v>
      </c>
      <c r="BC154" s="46">
        <v>0.5</v>
      </c>
      <c r="BD154" s="46">
        <v>0.5</v>
      </c>
      <c r="BE154" s="46">
        <v>0.1</v>
      </c>
      <c r="BF154" s="26"/>
      <c r="BG154" s="22">
        <f t="shared" ref="BG154:BH154" si="570">(AY154+BA154+BC154+BE154)</f>
        <v>1</v>
      </c>
      <c r="BH154" s="22">
        <f t="shared" si="570"/>
        <v>0.9</v>
      </c>
      <c r="BI154" s="22">
        <f t="shared" si="408"/>
        <v>0.9</v>
      </c>
      <c r="BJ154" s="23" t="str">
        <f t="shared" si="409"/>
        <v>100%</v>
      </c>
      <c r="BK154" s="24">
        <f t="shared" si="410"/>
        <v>0.9</v>
      </c>
      <c r="BL154" s="22" t="s">
        <v>192</v>
      </c>
      <c r="BM154" s="25" t="s">
        <v>824</v>
      </c>
      <c r="BN154" s="27">
        <v>0</v>
      </c>
      <c r="BO154" s="27">
        <v>0</v>
      </c>
      <c r="BP154" s="27">
        <v>983525515</v>
      </c>
      <c r="BQ154" s="27">
        <v>983525515</v>
      </c>
      <c r="BR154" s="27">
        <f t="shared" ref="BR154:BS154" si="571">+BN154+BP154</f>
        <v>983525515</v>
      </c>
      <c r="BS154" s="27">
        <f t="shared" si="571"/>
        <v>983525515</v>
      </c>
      <c r="BT154" s="20">
        <f t="shared" si="13"/>
        <v>1</v>
      </c>
      <c r="BU154" s="27">
        <v>0</v>
      </c>
      <c r="BV154" s="27">
        <v>0</v>
      </c>
      <c r="BW154" s="27">
        <v>0</v>
      </c>
      <c r="BX154" s="27">
        <v>0</v>
      </c>
      <c r="BY154" s="28" t="str">
        <f t="shared" si="149"/>
        <v/>
      </c>
      <c r="BZ154" s="27">
        <v>0</v>
      </c>
      <c r="CA154" s="20">
        <v>67500000</v>
      </c>
      <c r="CB154" s="29">
        <v>0</v>
      </c>
      <c r="CC154" s="29">
        <v>0</v>
      </c>
      <c r="CD154" s="29">
        <v>67500000</v>
      </c>
    </row>
    <row r="155" spans="1:82" ht="48.75" customHeight="1">
      <c r="A155" s="12" t="s">
        <v>657</v>
      </c>
      <c r="B155" s="13">
        <v>0.113</v>
      </c>
      <c r="C155" s="12"/>
      <c r="D155" s="14">
        <v>39</v>
      </c>
      <c r="E155" s="16">
        <v>3906</v>
      </c>
      <c r="F155" s="14">
        <v>21</v>
      </c>
      <c r="G155" s="14" t="s">
        <v>809</v>
      </c>
      <c r="H155" s="14">
        <v>1002</v>
      </c>
      <c r="I155" s="14">
        <v>21.1</v>
      </c>
      <c r="J155" s="14" t="s">
        <v>810</v>
      </c>
      <c r="K155" s="14" t="s">
        <v>811</v>
      </c>
      <c r="L155" s="14" t="s">
        <v>812</v>
      </c>
      <c r="M155" s="14" t="s">
        <v>813</v>
      </c>
      <c r="N155" s="14">
        <v>0</v>
      </c>
      <c r="O155" s="16">
        <v>3906018</v>
      </c>
      <c r="P155" s="17">
        <v>2024257990021</v>
      </c>
      <c r="Q155" s="14" t="s">
        <v>817</v>
      </c>
      <c r="R155" s="18">
        <v>154</v>
      </c>
      <c r="S155" s="14" t="s">
        <v>825</v>
      </c>
      <c r="T155" s="14">
        <v>0</v>
      </c>
      <c r="U155" s="14" t="s">
        <v>88</v>
      </c>
      <c r="V155" s="14" t="s">
        <v>89</v>
      </c>
      <c r="W155" s="14" t="s">
        <v>826</v>
      </c>
      <c r="X155" s="14" t="s">
        <v>206</v>
      </c>
      <c r="Y155" s="19" t="s">
        <v>124</v>
      </c>
      <c r="Z155" s="18">
        <f t="shared" si="561"/>
        <v>1</v>
      </c>
      <c r="AA155" s="20">
        <f t="shared" si="1"/>
        <v>0.16999999999999998</v>
      </c>
      <c r="AB155" s="20">
        <f t="shared" si="2"/>
        <v>1</v>
      </c>
      <c r="AC155" s="21"/>
      <c r="AD155" s="21"/>
      <c r="AE155" s="21">
        <f t="shared" si="3"/>
        <v>0.3755</v>
      </c>
      <c r="AF155" s="63">
        <v>0.2</v>
      </c>
      <c r="AG155" s="63">
        <v>0.3</v>
      </c>
      <c r="AH155" s="63">
        <v>0.3</v>
      </c>
      <c r="AI155" s="63">
        <v>0.2</v>
      </c>
      <c r="AJ155" s="26"/>
      <c r="AK155" s="26"/>
      <c r="AL155" s="26"/>
      <c r="AM155" s="26"/>
      <c r="AN155" s="26">
        <v>0.05</v>
      </c>
      <c r="AO155" s="26">
        <v>0.05</v>
      </c>
      <c r="AP155" s="26">
        <v>0.15</v>
      </c>
      <c r="AQ155" s="26">
        <v>0.12</v>
      </c>
      <c r="AR155" s="22">
        <f t="shared" ref="AR155:AS155" si="572">(AJ155+AL155+AN155+AP155)</f>
        <v>0.2</v>
      </c>
      <c r="AS155" s="22">
        <f t="shared" si="572"/>
        <v>0.16999999999999998</v>
      </c>
      <c r="AT155" s="22">
        <f>AS155/AR155</f>
        <v>0.84999999999999987</v>
      </c>
      <c r="AU155" s="23" t="str">
        <f t="shared" si="569"/>
        <v>100%</v>
      </c>
      <c r="AV155" s="24">
        <f t="shared" si="7"/>
        <v>0.84999999999999987</v>
      </c>
      <c r="AW155" s="14" t="s">
        <v>92</v>
      </c>
      <c r="AX155" s="30" t="s">
        <v>827</v>
      </c>
      <c r="AY155" s="14">
        <v>0</v>
      </c>
      <c r="AZ155" s="26">
        <v>0</v>
      </c>
      <c r="BA155" s="14">
        <v>0.1</v>
      </c>
      <c r="BB155" s="14">
        <v>0.1</v>
      </c>
      <c r="BC155" s="14">
        <v>0.1</v>
      </c>
      <c r="BD155" s="14">
        <v>0.2</v>
      </c>
      <c r="BE155" s="14">
        <v>0.1</v>
      </c>
      <c r="BF155" s="26">
        <v>0</v>
      </c>
      <c r="BG155" s="22">
        <f t="shared" ref="BG155:BH155" si="573">(AY155+BA155+BC155+BE155)</f>
        <v>0.30000000000000004</v>
      </c>
      <c r="BH155" s="22">
        <f t="shared" si="573"/>
        <v>0.30000000000000004</v>
      </c>
      <c r="BI155" s="22">
        <f t="shared" si="408"/>
        <v>1</v>
      </c>
      <c r="BJ155" s="23" t="str">
        <f t="shared" si="409"/>
        <v>100%</v>
      </c>
      <c r="BK155" s="24">
        <f t="shared" si="410"/>
        <v>1</v>
      </c>
      <c r="BL155" s="22" t="s">
        <v>92</v>
      </c>
      <c r="BM155" s="25" t="s">
        <v>828</v>
      </c>
      <c r="BN155" s="27">
        <v>250000000</v>
      </c>
      <c r="BO155" s="27">
        <v>0</v>
      </c>
      <c r="BP155" s="27">
        <v>300000000</v>
      </c>
      <c r="BQ155" s="27">
        <v>300000000</v>
      </c>
      <c r="BR155" s="27">
        <f t="shared" ref="BR155:BS155" si="574">+BN155+BP155</f>
        <v>550000000</v>
      </c>
      <c r="BS155" s="27">
        <f t="shared" si="574"/>
        <v>300000000</v>
      </c>
      <c r="BT155" s="20">
        <f t="shared" si="13"/>
        <v>0.54545454545454541</v>
      </c>
      <c r="BU155" s="27">
        <v>250000000</v>
      </c>
      <c r="BV155" s="27">
        <v>4500000</v>
      </c>
      <c r="BW155" s="27">
        <v>0</v>
      </c>
      <c r="BX155" s="27">
        <v>0</v>
      </c>
      <c r="BY155" s="28">
        <f t="shared" si="149"/>
        <v>0</v>
      </c>
      <c r="BZ155" s="27">
        <v>80000000</v>
      </c>
      <c r="CA155" s="20">
        <v>81600000</v>
      </c>
      <c r="CB155" s="29">
        <v>83232000</v>
      </c>
      <c r="CC155" s="29">
        <v>85728960</v>
      </c>
      <c r="CD155" s="29">
        <v>330560960</v>
      </c>
    </row>
    <row r="156" spans="1:82" ht="48.75" customHeight="1">
      <c r="A156" s="12" t="s">
        <v>657</v>
      </c>
      <c r="B156" s="13">
        <v>0.113</v>
      </c>
      <c r="C156" s="12"/>
      <c r="D156" s="14">
        <v>39</v>
      </c>
      <c r="E156" s="16">
        <v>3906</v>
      </c>
      <c r="F156" s="14">
        <v>22</v>
      </c>
      <c r="G156" s="14" t="s">
        <v>829</v>
      </c>
      <c r="H156" s="14">
        <v>1002</v>
      </c>
      <c r="I156" s="14">
        <v>22.1</v>
      </c>
      <c r="J156" s="14" t="s">
        <v>830</v>
      </c>
      <c r="K156" s="14" t="s">
        <v>811</v>
      </c>
      <c r="L156" s="14" t="s">
        <v>812</v>
      </c>
      <c r="M156" s="14" t="s">
        <v>813</v>
      </c>
      <c r="N156" s="14">
        <v>0</v>
      </c>
      <c r="O156" s="16">
        <v>3906021</v>
      </c>
      <c r="P156" s="17">
        <v>2024257990021</v>
      </c>
      <c r="Q156" s="14" t="s">
        <v>817</v>
      </c>
      <c r="R156" s="18">
        <v>155</v>
      </c>
      <c r="S156" s="14" t="s">
        <v>831</v>
      </c>
      <c r="T156" s="14">
        <v>0</v>
      </c>
      <c r="U156" s="14" t="s">
        <v>88</v>
      </c>
      <c r="V156" s="14" t="s">
        <v>89</v>
      </c>
      <c r="W156" s="14" t="s">
        <v>832</v>
      </c>
      <c r="X156" s="14" t="s">
        <v>91</v>
      </c>
      <c r="Y156" s="19"/>
      <c r="Z156" s="18">
        <f t="shared" si="561"/>
        <v>1</v>
      </c>
      <c r="AA156" s="20">
        <f t="shared" si="1"/>
        <v>0</v>
      </c>
      <c r="AB156" s="20">
        <f t="shared" si="2"/>
        <v>1</v>
      </c>
      <c r="AC156" s="21"/>
      <c r="AD156" s="21"/>
      <c r="AE156" s="21">
        <f t="shared" si="3"/>
        <v>0.35</v>
      </c>
      <c r="AF156" s="22">
        <v>0.2</v>
      </c>
      <c r="AG156" s="22">
        <v>0.3</v>
      </c>
      <c r="AH156" s="22">
        <v>0.4</v>
      </c>
      <c r="AI156" s="22">
        <v>0.1</v>
      </c>
      <c r="AJ156" s="26"/>
      <c r="AK156" s="26"/>
      <c r="AL156" s="26"/>
      <c r="AM156" s="26"/>
      <c r="AN156" s="26">
        <v>0</v>
      </c>
      <c r="AO156" s="26">
        <v>0</v>
      </c>
      <c r="AP156" s="26">
        <v>0</v>
      </c>
      <c r="AQ156" s="26"/>
      <c r="AR156" s="26">
        <v>0</v>
      </c>
      <c r="AS156" s="26">
        <v>0</v>
      </c>
      <c r="AT156" s="24">
        <f t="shared" ref="AT156:AT160" si="575">IF(AQ156=0, 0, AR156/AQ156)</f>
        <v>0</v>
      </c>
      <c r="AU156" s="23" t="str">
        <f>IF(AR156&gt; 1, IF(AR156 = AS156, "100%", AR156 &amp; "%"), IF(AR156 &lt;= 0.01, "0%", AR156 * 100 &amp; "%"))</f>
        <v>0%</v>
      </c>
      <c r="AV156" s="24">
        <f t="shared" si="7"/>
        <v>0</v>
      </c>
      <c r="AW156" s="26" t="s">
        <v>192</v>
      </c>
      <c r="AX156" s="26"/>
      <c r="AY156" s="14">
        <v>0.1</v>
      </c>
      <c r="AZ156" s="14">
        <v>0.1</v>
      </c>
      <c r="BA156" s="14">
        <v>0.1</v>
      </c>
      <c r="BB156" s="14">
        <v>0.1</v>
      </c>
      <c r="BC156" s="14">
        <v>0.1</v>
      </c>
      <c r="BD156" s="14">
        <v>0.1</v>
      </c>
      <c r="BE156" s="14">
        <v>0</v>
      </c>
      <c r="BF156" s="26"/>
      <c r="BG156" s="22">
        <f t="shared" ref="BG156:BH156" si="576">(AY156+BA156+BC156+BE156)</f>
        <v>0.30000000000000004</v>
      </c>
      <c r="BH156" s="22">
        <f t="shared" si="576"/>
        <v>0.30000000000000004</v>
      </c>
      <c r="BI156" s="22">
        <f t="shared" si="408"/>
        <v>1</v>
      </c>
      <c r="BJ156" s="23" t="str">
        <f t="shared" si="409"/>
        <v>100%</v>
      </c>
      <c r="BK156" s="24">
        <f t="shared" si="410"/>
        <v>1</v>
      </c>
      <c r="BL156" s="22" t="s">
        <v>192</v>
      </c>
      <c r="BM156" s="25" t="s">
        <v>833</v>
      </c>
      <c r="BN156" s="27">
        <v>0</v>
      </c>
      <c r="BO156" s="27">
        <v>0</v>
      </c>
      <c r="BP156" s="27">
        <v>0</v>
      </c>
      <c r="BQ156" s="27">
        <v>0</v>
      </c>
      <c r="BR156" s="27">
        <f t="shared" ref="BR156:BS156" si="577">+BN156+BP156</f>
        <v>0</v>
      </c>
      <c r="BS156" s="27">
        <f t="shared" si="577"/>
        <v>0</v>
      </c>
      <c r="BT156" s="20" t="str">
        <f t="shared" si="13"/>
        <v/>
      </c>
      <c r="BU156" s="27">
        <v>0</v>
      </c>
      <c r="BV156" s="27">
        <v>0</v>
      </c>
      <c r="BW156" s="27">
        <v>0</v>
      </c>
      <c r="BX156" s="27">
        <v>0</v>
      </c>
      <c r="BY156" s="28" t="str">
        <f t="shared" si="149"/>
        <v/>
      </c>
      <c r="BZ156" s="27">
        <v>250000000</v>
      </c>
      <c r="CA156" s="20">
        <v>255000000</v>
      </c>
      <c r="CB156" s="29">
        <v>260100000</v>
      </c>
      <c r="CC156" s="29">
        <v>267903000</v>
      </c>
      <c r="CD156" s="29">
        <v>1033003000</v>
      </c>
    </row>
    <row r="157" spans="1:82" ht="66.75" customHeight="1">
      <c r="A157" s="12" t="s">
        <v>657</v>
      </c>
      <c r="B157" s="13">
        <v>0.113</v>
      </c>
      <c r="C157" s="12"/>
      <c r="D157" s="14">
        <v>39</v>
      </c>
      <c r="E157" s="14">
        <v>3905</v>
      </c>
      <c r="F157" s="14">
        <v>22</v>
      </c>
      <c r="G157" s="14" t="s">
        <v>829</v>
      </c>
      <c r="H157" s="14">
        <v>1001</v>
      </c>
      <c r="I157" s="14">
        <v>22.1</v>
      </c>
      <c r="J157" s="14" t="s">
        <v>830</v>
      </c>
      <c r="K157" s="14" t="s">
        <v>811</v>
      </c>
      <c r="L157" s="14" t="s">
        <v>812</v>
      </c>
      <c r="M157" s="14" t="s">
        <v>813</v>
      </c>
      <c r="N157" s="14">
        <v>0</v>
      </c>
      <c r="O157" s="16">
        <v>3905005</v>
      </c>
      <c r="P157" s="17">
        <v>2024257990022</v>
      </c>
      <c r="Q157" s="14" t="s">
        <v>834</v>
      </c>
      <c r="R157" s="18">
        <v>156</v>
      </c>
      <c r="S157" s="14" t="s">
        <v>835</v>
      </c>
      <c r="T157" s="14">
        <v>0</v>
      </c>
      <c r="U157" s="14" t="s">
        <v>88</v>
      </c>
      <c r="V157" s="14" t="s">
        <v>89</v>
      </c>
      <c r="W157" s="14" t="s">
        <v>836</v>
      </c>
      <c r="X157" s="14" t="s">
        <v>837</v>
      </c>
      <c r="Y157" s="19"/>
      <c r="Z157" s="18">
        <f t="shared" ref="Z157:Z160" si="578">SUM(AF157:AI157)/3</f>
        <v>1</v>
      </c>
      <c r="AA157" s="20">
        <f t="shared" si="1"/>
        <v>1</v>
      </c>
      <c r="AB157" s="20">
        <f t="shared" si="2"/>
        <v>1</v>
      </c>
      <c r="AC157" s="21"/>
      <c r="AD157" s="21"/>
      <c r="AE157" s="21">
        <f t="shared" si="3"/>
        <v>0.5</v>
      </c>
      <c r="AF157" s="22">
        <v>0</v>
      </c>
      <c r="AG157" s="29">
        <v>1</v>
      </c>
      <c r="AH157" s="29">
        <v>1</v>
      </c>
      <c r="AI157" s="29">
        <v>1</v>
      </c>
      <c r="AJ157" s="26"/>
      <c r="AK157" s="26"/>
      <c r="AL157" s="26"/>
      <c r="AM157" s="26"/>
      <c r="AN157" s="44">
        <v>1E-3</v>
      </c>
      <c r="AO157" s="26">
        <v>0</v>
      </c>
      <c r="AP157" s="26">
        <v>1</v>
      </c>
      <c r="AQ157" s="26">
        <v>1</v>
      </c>
      <c r="AR157" s="22">
        <f t="shared" ref="AR157:AS157" si="579">(AJ157+AL157+AN157+AP157)</f>
        <v>1.0009999999999999</v>
      </c>
      <c r="AS157" s="22">
        <f t="shared" si="579"/>
        <v>1</v>
      </c>
      <c r="AT157" s="24">
        <f t="shared" si="575"/>
        <v>1.0009999999999999</v>
      </c>
      <c r="AU157" s="23" t="str">
        <f>MIN((AR157 /AR157) * 100, 100) &amp; "%"</f>
        <v>100%</v>
      </c>
      <c r="AV157" s="24">
        <f t="shared" si="7"/>
        <v>0.99900099900099915</v>
      </c>
      <c r="AW157" s="14" t="s">
        <v>92</v>
      </c>
      <c r="AX157" s="30" t="s">
        <v>838</v>
      </c>
      <c r="AY157" s="46">
        <v>0.1</v>
      </c>
      <c r="AZ157" s="46">
        <v>0.1</v>
      </c>
      <c r="BA157" s="46">
        <v>0</v>
      </c>
      <c r="BB157" s="46">
        <v>0</v>
      </c>
      <c r="BC157" s="46">
        <v>0</v>
      </c>
      <c r="BD157" s="57"/>
      <c r="BE157" s="46">
        <v>0</v>
      </c>
      <c r="BF157" s="26"/>
      <c r="BG157" s="36">
        <f t="shared" ref="BG157:BH157" si="580">(AY157+BA157+BC157+BE157)</f>
        <v>0.1</v>
      </c>
      <c r="BH157" s="36">
        <f t="shared" si="580"/>
        <v>0.1</v>
      </c>
      <c r="BI157" s="36">
        <f t="shared" si="408"/>
        <v>1</v>
      </c>
      <c r="BJ157" s="37" t="str">
        <f t="shared" si="409"/>
        <v>100%</v>
      </c>
      <c r="BK157" s="38">
        <f t="shared" si="410"/>
        <v>1</v>
      </c>
      <c r="BL157" s="22" t="s">
        <v>192</v>
      </c>
      <c r="BM157" s="25" t="s">
        <v>838</v>
      </c>
      <c r="BN157" s="27">
        <v>10000000</v>
      </c>
      <c r="BO157" s="27">
        <v>0</v>
      </c>
      <c r="BP157" s="27">
        <v>0</v>
      </c>
      <c r="BQ157" s="27">
        <v>0</v>
      </c>
      <c r="BR157" s="27">
        <f t="shared" ref="BR157:BS157" si="581">+BN157+BP157</f>
        <v>10000000</v>
      </c>
      <c r="BS157" s="27">
        <f t="shared" si="581"/>
        <v>0</v>
      </c>
      <c r="BT157" s="20">
        <f t="shared" si="13"/>
        <v>0</v>
      </c>
      <c r="BU157" s="27">
        <v>10000000</v>
      </c>
      <c r="BV157" s="27">
        <v>0</v>
      </c>
      <c r="BW157" s="27">
        <v>0</v>
      </c>
      <c r="BX157" s="27">
        <v>0</v>
      </c>
      <c r="BY157" s="28" t="str">
        <f t="shared" si="149"/>
        <v/>
      </c>
      <c r="BZ157" s="27">
        <v>0</v>
      </c>
      <c r="CA157" s="20">
        <v>0</v>
      </c>
      <c r="CB157" s="29">
        <v>0</v>
      </c>
      <c r="CC157" s="29">
        <v>0</v>
      </c>
      <c r="CD157" s="29">
        <v>30000000</v>
      </c>
    </row>
    <row r="158" spans="1:82" ht="48.75" customHeight="1">
      <c r="A158" s="12" t="s">
        <v>657</v>
      </c>
      <c r="B158" s="13">
        <v>0.113</v>
      </c>
      <c r="C158" s="12"/>
      <c r="D158" s="14">
        <v>39</v>
      </c>
      <c r="E158" s="14">
        <v>3905</v>
      </c>
      <c r="F158" s="14">
        <v>22</v>
      </c>
      <c r="G158" s="14" t="s">
        <v>829</v>
      </c>
      <c r="H158" s="14">
        <v>1001</v>
      </c>
      <c r="I158" s="14">
        <v>22.1</v>
      </c>
      <c r="J158" s="14" t="s">
        <v>830</v>
      </c>
      <c r="K158" s="14" t="s">
        <v>811</v>
      </c>
      <c r="L158" s="14" t="s">
        <v>812</v>
      </c>
      <c r="M158" s="14" t="s">
        <v>813</v>
      </c>
      <c r="N158" s="14">
        <v>0</v>
      </c>
      <c r="O158" s="16">
        <v>3905004</v>
      </c>
      <c r="P158" s="17">
        <v>2024257990022</v>
      </c>
      <c r="Q158" s="14" t="s">
        <v>834</v>
      </c>
      <c r="R158" s="18">
        <v>157</v>
      </c>
      <c r="S158" s="14" t="s">
        <v>839</v>
      </c>
      <c r="T158" s="14">
        <v>0</v>
      </c>
      <c r="U158" s="14" t="s">
        <v>88</v>
      </c>
      <c r="V158" s="14" t="s">
        <v>89</v>
      </c>
      <c r="W158" s="14" t="s">
        <v>840</v>
      </c>
      <c r="X158" s="14" t="s">
        <v>837</v>
      </c>
      <c r="Y158" s="19" t="s">
        <v>124</v>
      </c>
      <c r="Z158" s="18">
        <f t="shared" si="578"/>
        <v>1</v>
      </c>
      <c r="AA158" s="20">
        <f t="shared" si="1"/>
        <v>0</v>
      </c>
      <c r="AB158" s="20">
        <f t="shared" si="2"/>
        <v>0</v>
      </c>
      <c r="AC158" s="21"/>
      <c r="AD158" s="21"/>
      <c r="AE158" s="21">
        <f t="shared" si="3"/>
        <v>0</v>
      </c>
      <c r="AF158" s="22">
        <v>0</v>
      </c>
      <c r="AG158" s="29">
        <v>1</v>
      </c>
      <c r="AH158" s="29">
        <v>1</v>
      </c>
      <c r="AI158" s="29">
        <v>1</v>
      </c>
      <c r="AJ158" s="26"/>
      <c r="AK158" s="26"/>
      <c r="AL158" s="26"/>
      <c r="AM158" s="26"/>
      <c r="AN158" s="34">
        <v>0</v>
      </c>
      <c r="AO158" s="34">
        <v>0</v>
      </c>
      <c r="AP158" s="34">
        <v>0</v>
      </c>
      <c r="AQ158" s="34">
        <v>0</v>
      </c>
      <c r="AR158" s="34">
        <v>0</v>
      </c>
      <c r="AS158" s="34">
        <f>(AK158+AM158+AO158+AQ158)/2</f>
        <v>0</v>
      </c>
      <c r="AT158" s="24">
        <f t="shared" si="575"/>
        <v>0</v>
      </c>
      <c r="AU158" s="23" t="str">
        <f t="shared" ref="AU158:AU160" si="582">IF(AR158&gt; 1, IF(AR158 = AS158, "100%", AR158 &amp; "%"), IF(AR158 &lt;= 0.01, "0%", AR158 * 100 &amp; "%"))</f>
        <v>0%</v>
      </c>
      <c r="AV158" s="24">
        <f t="shared" si="7"/>
        <v>0</v>
      </c>
      <c r="AW158" s="26" t="s">
        <v>192</v>
      </c>
      <c r="AX158" s="26"/>
      <c r="AY158" s="46">
        <v>0</v>
      </c>
      <c r="AZ158" s="46">
        <v>0</v>
      </c>
      <c r="BA158" s="46">
        <v>0</v>
      </c>
      <c r="BB158" s="46">
        <v>0</v>
      </c>
      <c r="BC158" s="46">
        <v>0</v>
      </c>
      <c r="BD158" s="57"/>
      <c r="BE158" s="46">
        <v>0</v>
      </c>
      <c r="BF158" s="26"/>
      <c r="BG158" s="22">
        <f t="shared" ref="BG158:BH158" si="583">(AY158+BA158+BC158+BE158)</f>
        <v>0</v>
      </c>
      <c r="BH158" s="22">
        <f t="shared" si="583"/>
        <v>0</v>
      </c>
      <c r="BI158" s="23" t="str">
        <f t="shared" ref="BI158:BI159" si="584">IF(BF158&gt; 1, IF(BF158 = BG158, "100%", BF158 &amp; "%"), IF(BF158 &lt;= 0.01, "0%", BF158 * 100 &amp; "%"))</f>
        <v>0%</v>
      </c>
      <c r="BJ158" s="23">
        <f t="shared" ref="BJ158:BJ159" si="585">IF(BF160=0, 0, BG160/BF160)</f>
        <v>0</v>
      </c>
      <c r="BK158" s="24">
        <f t="shared" si="410"/>
        <v>0</v>
      </c>
      <c r="BL158" s="22" t="s">
        <v>192</v>
      </c>
      <c r="BM158" s="25" t="s">
        <v>841</v>
      </c>
      <c r="BN158" s="27">
        <v>10000000</v>
      </c>
      <c r="BO158" s="27">
        <v>0</v>
      </c>
      <c r="BP158" s="27">
        <v>0</v>
      </c>
      <c r="BQ158" s="27">
        <v>0</v>
      </c>
      <c r="BR158" s="27">
        <f t="shared" ref="BR158:BS158" si="586">+BN158+BP158</f>
        <v>10000000</v>
      </c>
      <c r="BS158" s="27">
        <f t="shared" si="586"/>
        <v>0</v>
      </c>
      <c r="BT158" s="20">
        <f t="shared" si="13"/>
        <v>0</v>
      </c>
      <c r="BU158" s="27">
        <v>10000000</v>
      </c>
      <c r="BV158" s="27"/>
      <c r="BW158" s="27"/>
      <c r="BX158" s="27"/>
      <c r="BY158" s="28" t="str">
        <f t="shared" si="149"/>
        <v/>
      </c>
      <c r="BZ158" s="27">
        <v>0</v>
      </c>
      <c r="CA158" s="20">
        <v>0</v>
      </c>
      <c r="CB158" s="29">
        <v>0</v>
      </c>
      <c r="CC158" s="29">
        <v>0</v>
      </c>
      <c r="CD158" s="29">
        <v>400000000</v>
      </c>
    </row>
    <row r="159" spans="1:82" ht="48.75" customHeight="1">
      <c r="A159" s="12" t="s">
        <v>657</v>
      </c>
      <c r="B159" s="13">
        <v>0.113</v>
      </c>
      <c r="C159" s="12"/>
      <c r="D159" s="14">
        <v>39</v>
      </c>
      <c r="E159" s="14">
        <v>3905</v>
      </c>
      <c r="F159" s="14">
        <v>22</v>
      </c>
      <c r="G159" s="14" t="s">
        <v>829</v>
      </c>
      <c r="H159" s="14">
        <v>1001</v>
      </c>
      <c r="I159" s="14">
        <v>22.1</v>
      </c>
      <c r="J159" s="14" t="s">
        <v>830</v>
      </c>
      <c r="K159" s="14" t="s">
        <v>811</v>
      </c>
      <c r="L159" s="14" t="s">
        <v>812</v>
      </c>
      <c r="M159" s="14" t="s">
        <v>813</v>
      </c>
      <c r="N159" s="14">
        <v>0</v>
      </c>
      <c r="O159" s="16">
        <v>3905007</v>
      </c>
      <c r="P159" s="17">
        <v>2024257990022</v>
      </c>
      <c r="Q159" s="14" t="s">
        <v>834</v>
      </c>
      <c r="R159" s="18">
        <v>158</v>
      </c>
      <c r="S159" s="14" t="s">
        <v>842</v>
      </c>
      <c r="T159" s="14">
        <v>0</v>
      </c>
      <c r="U159" s="14" t="s">
        <v>88</v>
      </c>
      <c r="V159" s="14" t="s">
        <v>89</v>
      </c>
      <c r="W159" s="14" t="s">
        <v>836</v>
      </c>
      <c r="X159" s="14" t="s">
        <v>837</v>
      </c>
      <c r="Y159" s="19"/>
      <c r="Z159" s="18">
        <f t="shared" si="578"/>
        <v>1</v>
      </c>
      <c r="AA159" s="20">
        <f t="shared" si="1"/>
        <v>0</v>
      </c>
      <c r="AB159" s="20">
        <f t="shared" si="2"/>
        <v>0</v>
      </c>
      <c r="AC159" s="21"/>
      <c r="AD159" s="21"/>
      <c r="AE159" s="21">
        <f t="shared" si="3"/>
        <v>0</v>
      </c>
      <c r="AF159" s="22">
        <v>0</v>
      </c>
      <c r="AG159" s="29">
        <v>1</v>
      </c>
      <c r="AH159" s="29">
        <v>1</v>
      </c>
      <c r="AI159" s="29">
        <v>1</v>
      </c>
      <c r="AJ159" s="26"/>
      <c r="AK159" s="26"/>
      <c r="AL159" s="26"/>
      <c r="AM159" s="24"/>
      <c r="AN159" s="44">
        <v>0</v>
      </c>
      <c r="AO159" s="26">
        <v>0</v>
      </c>
      <c r="AP159" s="26">
        <v>0</v>
      </c>
      <c r="AQ159" s="24"/>
      <c r="AR159" s="22">
        <f t="shared" ref="AR159:AS159" si="587">(AJ159+AL159+AN159+AP159)</f>
        <v>0</v>
      </c>
      <c r="AS159" s="22">
        <f t="shared" si="587"/>
        <v>0</v>
      </c>
      <c r="AT159" s="24">
        <f t="shared" si="575"/>
        <v>0</v>
      </c>
      <c r="AU159" s="23" t="str">
        <f t="shared" si="582"/>
        <v>0%</v>
      </c>
      <c r="AV159" s="24">
        <f t="shared" si="7"/>
        <v>0</v>
      </c>
      <c r="AW159" s="14" t="s">
        <v>192</v>
      </c>
      <c r="AX159" s="26"/>
      <c r="AY159" s="46">
        <v>0</v>
      </c>
      <c r="AZ159" s="46">
        <v>0</v>
      </c>
      <c r="BA159" s="46">
        <v>0</v>
      </c>
      <c r="BB159" s="46">
        <v>0</v>
      </c>
      <c r="BC159" s="46">
        <v>0</v>
      </c>
      <c r="BD159" s="57"/>
      <c r="BE159" s="46">
        <v>0</v>
      </c>
      <c r="BF159" s="26"/>
      <c r="BG159" s="22">
        <f t="shared" ref="BG159:BH159" si="588">(AY159+BA159+BC159+BE159)</f>
        <v>0</v>
      </c>
      <c r="BH159" s="22">
        <f t="shared" si="588"/>
        <v>0</v>
      </c>
      <c r="BI159" s="23" t="str">
        <f t="shared" si="584"/>
        <v>0%</v>
      </c>
      <c r="BJ159" s="23">
        <f t="shared" si="585"/>
        <v>0</v>
      </c>
      <c r="BK159" s="24">
        <f t="shared" si="410"/>
        <v>0</v>
      </c>
      <c r="BL159" s="22" t="s">
        <v>192</v>
      </c>
      <c r="BM159" s="25" t="s">
        <v>843</v>
      </c>
      <c r="BN159" s="27">
        <v>10000000</v>
      </c>
      <c r="BO159" s="27">
        <v>0</v>
      </c>
      <c r="BP159" s="27">
        <v>0</v>
      </c>
      <c r="BQ159" s="27">
        <v>0</v>
      </c>
      <c r="BR159" s="27">
        <f t="shared" ref="BR159:BS159" si="589">+BN159+BP159</f>
        <v>10000000</v>
      </c>
      <c r="BS159" s="27">
        <f t="shared" si="589"/>
        <v>0</v>
      </c>
      <c r="BT159" s="20">
        <f t="shared" si="13"/>
        <v>0</v>
      </c>
      <c r="BU159" s="27">
        <v>10000000</v>
      </c>
      <c r="BV159" s="27"/>
      <c r="BW159" s="27"/>
      <c r="BX159" s="27"/>
      <c r="BY159" s="28" t="str">
        <f t="shared" si="149"/>
        <v/>
      </c>
      <c r="BZ159" s="27">
        <v>0</v>
      </c>
      <c r="CA159" s="20">
        <v>0</v>
      </c>
      <c r="CB159" s="29">
        <v>0</v>
      </c>
      <c r="CC159" s="29">
        <v>0</v>
      </c>
      <c r="CD159" s="29">
        <v>120000000</v>
      </c>
    </row>
    <row r="160" spans="1:82" ht="64.5" customHeight="1">
      <c r="A160" s="12" t="s">
        <v>657</v>
      </c>
      <c r="B160" s="13">
        <v>0.113</v>
      </c>
      <c r="C160" s="12"/>
      <c r="D160" s="14">
        <v>39</v>
      </c>
      <c r="E160" s="14">
        <v>3905</v>
      </c>
      <c r="F160" s="14">
        <v>22</v>
      </c>
      <c r="G160" s="14" t="s">
        <v>829</v>
      </c>
      <c r="H160" s="14">
        <v>1001</v>
      </c>
      <c r="I160" s="14">
        <v>22.1</v>
      </c>
      <c r="J160" s="14" t="s">
        <v>830</v>
      </c>
      <c r="K160" s="14" t="s">
        <v>811</v>
      </c>
      <c r="L160" s="14" t="s">
        <v>812</v>
      </c>
      <c r="M160" s="14" t="s">
        <v>813</v>
      </c>
      <c r="N160" s="14">
        <v>0</v>
      </c>
      <c r="O160" s="16">
        <v>3905005</v>
      </c>
      <c r="P160" s="17">
        <v>2024257990022</v>
      </c>
      <c r="Q160" s="14" t="s">
        <v>834</v>
      </c>
      <c r="R160" s="18">
        <v>159</v>
      </c>
      <c r="S160" s="14" t="s">
        <v>844</v>
      </c>
      <c r="T160" s="14">
        <v>0</v>
      </c>
      <c r="U160" s="14" t="s">
        <v>88</v>
      </c>
      <c r="V160" s="14" t="s">
        <v>89</v>
      </c>
      <c r="W160" s="14" t="s">
        <v>845</v>
      </c>
      <c r="X160" s="14" t="s">
        <v>91</v>
      </c>
      <c r="Y160" s="19"/>
      <c r="Z160" s="18">
        <f t="shared" si="578"/>
        <v>1</v>
      </c>
      <c r="AA160" s="20">
        <f t="shared" si="1"/>
        <v>0</v>
      </c>
      <c r="AB160" s="20">
        <f t="shared" si="2"/>
        <v>0.7</v>
      </c>
      <c r="AC160" s="21"/>
      <c r="AD160" s="21"/>
      <c r="AE160" s="21">
        <f t="shared" si="3"/>
        <v>0.24499999999999997</v>
      </c>
      <c r="AF160" s="22">
        <v>0</v>
      </c>
      <c r="AG160" s="29">
        <v>1</v>
      </c>
      <c r="AH160" s="29">
        <v>1</v>
      </c>
      <c r="AI160" s="29">
        <v>1</v>
      </c>
      <c r="AJ160" s="26"/>
      <c r="AK160" s="26"/>
      <c r="AL160" s="26"/>
      <c r="AM160" s="26"/>
      <c r="AN160" s="34">
        <v>0</v>
      </c>
      <c r="AO160" s="34">
        <v>0</v>
      </c>
      <c r="AP160" s="34">
        <v>0</v>
      </c>
      <c r="AQ160" s="34">
        <v>0</v>
      </c>
      <c r="AR160" s="34">
        <v>0</v>
      </c>
      <c r="AS160" s="34">
        <f>(AK160+AM160+AO160+AQ160)/2</f>
        <v>0</v>
      </c>
      <c r="AT160" s="24">
        <f t="shared" si="575"/>
        <v>0</v>
      </c>
      <c r="AU160" s="23" t="str">
        <f t="shared" si="582"/>
        <v>0%</v>
      </c>
      <c r="AV160" s="24">
        <f t="shared" si="7"/>
        <v>0</v>
      </c>
      <c r="AW160" s="26" t="s">
        <v>192</v>
      </c>
      <c r="AX160" s="26"/>
      <c r="AY160" s="46">
        <v>0.1</v>
      </c>
      <c r="AZ160" s="14">
        <v>0.1</v>
      </c>
      <c r="BA160" s="46">
        <v>0.3</v>
      </c>
      <c r="BB160" s="46">
        <v>0.3</v>
      </c>
      <c r="BC160" s="46">
        <v>0.3</v>
      </c>
      <c r="BD160" s="46">
        <v>0.3</v>
      </c>
      <c r="BE160" s="46">
        <v>0.3</v>
      </c>
      <c r="BF160" s="26"/>
      <c r="BG160" s="22">
        <f t="shared" ref="BG160:BH160" si="590">(AY160+BA160+BC160+BE160)</f>
        <v>1</v>
      </c>
      <c r="BH160" s="22">
        <f t="shared" si="590"/>
        <v>0.7</v>
      </c>
      <c r="BI160" s="22">
        <f t="shared" ref="BI160:BI187" si="591">BH160/BG160</f>
        <v>0.7</v>
      </c>
      <c r="BJ160" s="23" t="str">
        <f t="shared" ref="BJ160:BJ187" si="592">MIN((BG160 /BG160) * 100, 100) &amp; "%"</f>
        <v>100%</v>
      </c>
      <c r="BK160" s="24">
        <f t="shared" si="410"/>
        <v>0.7</v>
      </c>
      <c r="BL160" s="22" t="s">
        <v>192</v>
      </c>
      <c r="BM160" s="25" t="s">
        <v>846</v>
      </c>
      <c r="BN160" s="27">
        <v>0</v>
      </c>
      <c r="BO160" s="27">
        <v>0</v>
      </c>
      <c r="BP160" s="27">
        <v>0</v>
      </c>
      <c r="BQ160" s="27">
        <v>0</v>
      </c>
      <c r="BR160" s="27">
        <f t="shared" ref="BR160:BS160" si="593">+BN160+BP160</f>
        <v>0</v>
      </c>
      <c r="BS160" s="27">
        <f t="shared" si="593"/>
        <v>0</v>
      </c>
      <c r="BT160" s="20" t="str">
        <f t="shared" si="13"/>
        <v/>
      </c>
      <c r="BU160" s="27">
        <v>0</v>
      </c>
      <c r="BV160" s="27">
        <v>0</v>
      </c>
      <c r="BW160" s="27">
        <v>0</v>
      </c>
      <c r="BX160" s="27">
        <v>0</v>
      </c>
      <c r="BY160" s="28" t="str">
        <f t="shared" si="149"/>
        <v/>
      </c>
      <c r="BZ160" s="27">
        <v>40000000</v>
      </c>
      <c r="CA160" s="20">
        <v>40800000</v>
      </c>
      <c r="CB160" s="29">
        <v>41616000</v>
      </c>
      <c r="CC160" s="29">
        <v>42864480</v>
      </c>
      <c r="CD160" s="29">
        <v>165280480</v>
      </c>
    </row>
    <row r="161" spans="1:82" ht="48.75" customHeight="1">
      <c r="A161" s="12" t="s">
        <v>657</v>
      </c>
      <c r="B161" s="13">
        <v>0.113</v>
      </c>
      <c r="C161" s="12"/>
      <c r="D161" s="14">
        <v>39</v>
      </c>
      <c r="E161" s="14">
        <v>3905</v>
      </c>
      <c r="F161" s="14">
        <v>22</v>
      </c>
      <c r="G161" s="14" t="s">
        <v>829</v>
      </c>
      <c r="H161" s="14">
        <v>1001</v>
      </c>
      <c r="I161" s="14">
        <v>22.1</v>
      </c>
      <c r="J161" s="14" t="s">
        <v>847</v>
      </c>
      <c r="K161" s="14" t="s">
        <v>811</v>
      </c>
      <c r="L161" s="14" t="s">
        <v>812</v>
      </c>
      <c r="M161" s="14" t="s">
        <v>813</v>
      </c>
      <c r="N161" s="14">
        <v>0</v>
      </c>
      <c r="O161" s="16">
        <v>3905002</v>
      </c>
      <c r="P161" s="17">
        <v>2024257990022</v>
      </c>
      <c r="Q161" s="14" t="s">
        <v>834</v>
      </c>
      <c r="R161" s="18">
        <v>160</v>
      </c>
      <c r="S161" s="14" t="s">
        <v>848</v>
      </c>
      <c r="T161" s="14">
        <v>0</v>
      </c>
      <c r="U161" s="14" t="s">
        <v>109</v>
      </c>
      <c r="V161" s="14" t="s">
        <v>89</v>
      </c>
      <c r="W161" s="14" t="s">
        <v>849</v>
      </c>
      <c r="X161" s="14" t="s">
        <v>91</v>
      </c>
      <c r="Y161" s="19"/>
      <c r="Z161" s="20">
        <f>SUM(AF161:AI161)</f>
        <v>0.4</v>
      </c>
      <c r="AA161" s="20">
        <f t="shared" si="1"/>
        <v>2.4999999999999998E-2</v>
      </c>
      <c r="AB161" s="20">
        <f t="shared" si="2"/>
        <v>0.39473684210526316</v>
      </c>
      <c r="AC161" s="21"/>
      <c r="AD161" s="21"/>
      <c r="AE161" s="21">
        <f t="shared" si="3"/>
        <v>0.14190789473684209</v>
      </c>
      <c r="AF161" s="24">
        <v>0.03</v>
      </c>
      <c r="AG161" s="24">
        <v>0.35</v>
      </c>
      <c r="AH161" s="24">
        <v>0.01</v>
      </c>
      <c r="AI161" s="24">
        <v>0.01</v>
      </c>
      <c r="AJ161" s="26"/>
      <c r="AK161" s="26"/>
      <c r="AL161" s="26"/>
      <c r="AM161" s="26"/>
      <c r="AN161" s="24">
        <v>0.01</v>
      </c>
      <c r="AO161" s="24">
        <v>0.01</v>
      </c>
      <c r="AP161" s="24">
        <v>0.04</v>
      </c>
      <c r="AQ161" s="26">
        <v>0</v>
      </c>
      <c r="AR161" s="24">
        <f t="shared" ref="AR161:AS161" si="594">(AJ161+AL161+AN161+AP161)</f>
        <v>0.05</v>
      </c>
      <c r="AS161" s="24">
        <f t="shared" si="594"/>
        <v>0.01</v>
      </c>
      <c r="AT161" s="24">
        <f t="shared" ref="AT161:AT166" si="595">AS161/AR161</f>
        <v>0.19999999999999998</v>
      </c>
      <c r="AU161" s="23" t="str">
        <f t="shared" ref="AU161:AU166" si="596">MIN((AR161 /AR161) * 100, 100) &amp; "%"</f>
        <v>100%</v>
      </c>
      <c r="AV161" s="24">
        <f t="shared" si="7"/>
        <v>0.19999999999999998</v>
      </c>
      <c r="AW161" s="14" t="s">
        <v>92</v>
      </c>
      <c r="AX161" s="30" t="s">
        <v>850</v>
      </c>
      <c r="AY161" s="24">
        <v>0.05</v>
      </c>
      <c r="AZ161" s="24">
        <v>0.05</v>
      </c>
      <c r="BA161" s="24">
        <v>0.1</v>
      </c>
      <c r="BB161" s="24">
        <v>0.1</v>
      </c>
      <c r="BC161" s="24">
        <v>0.6</v>
      </c>
      <c r="BD161" s="24">
        <v>0</v>
      </c>
      <c r="BE161" s="24">
        <v>0.2</v>
      </c>
      <c r="BF161" s="26"/>
      <c r="BG161" s="20">
        <f t="shared" ref="BG161:BH161" si="597">(AY161+BA161+BC161+BE161)</f>
        <v>0.95</v>
      </c>
      <c r="BH161" s="20">
        <f t="shared" si="597"/>
        <v>0.15000000000000002</v>
      </c>
      <c r="BI161" s="20">
        <f t="shared" si="591"/>
        <v>0.15789473684210528</v>
      </c>
      <c r="BJ161" s="23" t="str">
        <f t="shared" si="592"/>
        <v>100%</v>
      </c>
      <c r="BK161" s="24">
        <f t="shared" si="410"/>
        <v>0.15789473684210528</v>
      </c>
      <c r="BL161" s="22" t="s">
        <v>92</v>
      </c>
      <c r="BM161" s="25" t="s">
        <v>850</v>
      </c>
      <c r="BN161" s="27">
        <v>70000000</v>
      </c>
      <c r="BO161" s="27">
        <v>0</v>
      </c>
      <c r="BP161" s="27">
        <v>0</v>
      </c>
      <c r="BQ161" s="27">
        <v>0</v>
      </c>
      <c r="BR161" s="27">
        <f t="shared" ref="BR161:BS161" si="598">+BN161+BP161</f>
        <v>70000000</v>
      </c>
      <c r="BS161" s="27">
        <f t="shared" si="598"/>
        <v>0</v>
      </c>
      <c r="BT161" s="20">
        <f t="shared" si="13"/>
        <v>0</v>
      </c>
      <c r="BU161" s="27">
        <v>0</v>
      </c>
      <c r="BV161" s="27">
        <v>70000000</v>
      </c>
      <c r="BW161" s="27">
        <v>0</v>
      </c>
      <c r="BX161" s="27">
        <v>0</v>
      </c>
      <c r="BY161" s="28">
        <f t="shared" si="149"/>
        <v>0</v>
      </c>
      <c r="BZ161" s="27">
        <v>70000000</v>
      </c>
      <c r="CA161" s="20">
        <v>71400000</v>
      </c>
      <c r="CB161" s="29">
        <v>72828000</v>
      </c>
      <c r="CC161" s="29">
        <v>75012840</v>
      </c>
      <c r="CD161" s="29">
        <v>289240840</v>
      </c>
    </row>
    <row r="162" spans="1:82" ht="51" customHeight="1">
      <c r="A162" s="12" t="s">
        <v>851</v>
      </c>
      <c r="B162" s="13">
        <v>0.432</v>
      </c>
      <c r="C162" s="12"/>
      <c r="D162" s="14">
        <v>22</v>
      </c>
      <c r="E162" s="14">
        <v>2201</v>
      </c>
      <c r="F162" s="14">
        <v>23</v>
      </c>
      <c r="G162" s="14" t="s">
        <v>852</v>
      </c>
      <c r="H162" s="14"/>
      <c r="I162" s="14">
        <v>23.1</v>
      </c>
      <c r="J162" s="14" t="s">
        <v>853</v>
      </c>
      <c r="K162" s="14" t="s">
        <v>854</v>
      </c>
      <c r="L162" s="14" t="s">
        <v>855</v>
      </c>
      <c r="M162" s="14" t="s">
        <v>856</v>
      </c>
      <c r="N162" s="14" t="s">
        <v>857</v>
      </c>
      <c r="O162" s="14">
        <v>2201028</v>
      </c>
      <c r="P162" s="17">
        <v>2024257990023</v>
      </c>
      <c r="Q162" s="14" t="s">
        <v>858</v>
      </c>
      <c r="R162" s="18">
        <v>161</v>
      </c>
      <c r="S162" s="14" t="s">
        <v>859</v>
      </c>
      <c r="T162" s="14" t="s">
        <v>860</v>
      </c>
      <c r="U162" s="14" t="s">
        <v>109</v>
      </c>
      <c r="V162" s="14" t="s">
        <v>114</v>
      </c>
      <c r="W162" s="14" t="s">
        <v>861</v>
      </c>
      <c r="X162" s="14" t="s">
        <v>837</v>
      </c>
      <c r="Y162" s="22" t="s">
        <v>124</v>
      </c>
      <c r="Z162" s="24">
        <f t="shared" ref="Z162:Z164" si="599">SUM(AF162:AI162)/4</f>
        <v>1</v>
      </c>
      <c r="AA162" s="20">
        <f t="shared" si="1"/>
        <v>1</v>
      </c>
      <c r="AB162" s="20">
        <f t="shared" si="2"/>
        <v>1</v>
      </c>
      <c r="AC162" s="21"/>
      <c r="AD162" s="21"/>
      <c r="AE162" s="21">
        <f t="shared" si="3"/>
        <v>0.5</v>
      </c>
      <c r="AF162" s="20">
        <v>1</v>
      </c>
      <c r="AG162" s="20">
        <v>1</v>
      </c>
      <c r="AH162" s="20">
        <v>1</v>
      </c>
      <c r="AI162" s="20">
        <v>1</v>
      </c>
      <c r="AJ162" s="26"/>
      <c r="AK162" s="26"/>
      <c r="AL162" s="26"/>
      <c r="AM162" s="26"/>
      <c r="AN162" s="24">
        <v>1</v>
      </c>
      <c r="AO162" s="24">
        <v>1</v>
      </c>
      <c r="AP162" s="24">
        <v>1</v>
      </c>
      <c r="AQ162" s="24">
        <v>1</v>
      </c>
      <c r="AR162" s="24">
        <f t="shared" ref="AR162:AS162" si="600">(AJ162+AL162+AN162+AP162)/2</f>
        <v>1</v>
      </c>
      <c r="AS162" s="24">
        <f t="shared" si="600"/>
        <v>1</v>
      </c>
      <c r="AT162" s="24">
        <f t="shared" si="595"/>
        <v>1</v>
      </c>
      <c r="AU162" s="23" t="str">
        <f t="shared" si="596"/>
        <v>100%</v>
      </c>
      <c r="AV162" s="24">
        <f t="shared" si="7"/>
        <v>1</v>
      </c>
      <c r="AW162" s="14" t="s">
        <v>92</v>
      </c>
      <c r="AX162" s="30" t="s">
        <v>862</v>
      </c>
      <c r="AY162" s="24">
        <v>1</v>
      </c>
      <c r="AZ162" s="24">
        <v>1</v>
      </c>
      <c r="BA162" s="24">
        <v>1</v>
      </c>
      <c r="BB162" s="24">
        <v>1</v>
      </c>
      <c r="BC162" s="24">
        <v>1</v>
      </c>
      <c r="BD162" s="24">
        <v>1</v>
      </c>
      <c r="BE162" s="24">
        <v>1</v>
      </c>
      <c r="BF162" s="26"/>
      <c r="BG162" s="20">
        <f t="shared" ref="BG162:BG163" si="601">(AY162+BA162+BC162+BE162)/4</f>
        <v>1</v>
      </c>
      <c r="BH162" s="20">
        <f t="shared" ref="BH162:BH163" si="602">(AZ162+BB162+BD162+BF162)/3</f>
        <v>1</v>
      </c>
      <c r="BI162" s="20">
        <f t="shared" si="591"/>
        <v>1</v>
      </c>
      <c r="BJ162" s="23" t="str">
        <f t="shared" si="592"/>
        <v>100%</v>
      </c>
      <c r="BK162" s="24">
        <f t="shared" si="410"/>
        <v>1</v>
      </c>
      <c r="BL162" s="22" t="s">
        <v>92</v>
      </c>
      <c r="BM162" s="25" t="s">
        <v>862</v>
      </c>
      <c r="BN162" s="27">
        <v>321114173</v>
      </c>
      <c r="BO162" s="27">
        <v>130508000</v>
      </c>
      <c r="BP162" s="27">
        <v>402810843</v>
      </c>
      <c r="BQ162" s="27">
        <v>402810843</v>
      </c>
      <c r="BR162" s="27">
        <f t="shared" ref="BR162:BS162" si="603">+BN162+BP162</f>
        <v>723925016</v>
      </c>
      <c r="BS162" s="27">
        <f t="shared" si="603"/>
        <v>533318843</v>
      </c>
      <c r="BT162" s="20">
        <f t="shared" si="13"/>
        <v>0.73670453598470476</v>
      </c>
      <c r="BU162" s="27">
        <v>307996671</v>
      </c>
      <c r="BV162" s="27">
        <v>271114173</v>
      </c>
      <c r="BW162" s="27">
        <v>198476000</v>
      </c>
      <c r="BX162" s="27">
        <v>94328000</v>
      </c>
      <c r="BY162" s="28">
        <f t="shared" si="149"/>
        <v>0.73207533860651397</v>
      </c>
      <c r="BZ162" s="27">
        <v>550005784</v>
      </c>
      <c r="CA162" s="20">
        <v>647612714</v>
      </c>
      <c r="CB162" s="29">
        <v>699993350</v>
      </c>
      <c r="CC162" s="29">
        <v>752493017</v>
      </c>
      <c r="CD162" s="29">
        <v>2650104865</v>
      </c>
    </row>
    <row r="163" spans="1:82" ht="51" customHeight="1">
      <c r="A163" s="12" t="s">
        <v>851</v>
      </c>
      <c r="B163" s="13">
        <v>0.432</v>
      </c>
      <c r="C163" s="12"/>
      <c r="D163" s="14">
        <v>22</v>
      </c>
      <c r="E163" s="14">
        <v>2201</v>
      </c>
      <c r="F163" s="14">
        <v>23</v>
      </c>
      <c r="G163" s="14" t="s">
        <v>852</v>
      </c>
      <c r="H163" s="14"/>
      <c r="I163" s="14">
        <v>23.1</v>
      </c>
      <c r="J163" s="14" t="s">
        <v>853</v>
      </c>
      <c r="K163" s="14" t="s">
        <v>854</v>
      </c>
      <c r="L163" s="14" t="s">
        <v>855</v>
      </c>
      <c r="M163" s="14" t="s">
        <v>856</v>
      </c>
      <c r="N163" s="14" t="s">
        <v>857</v>
      </c>
      <c r="O163" s="14">
        <v>2201029</v>
      </c>
      <c r="P163" s="17">
        <v>2024257990023</v>
      </c>
      <c r="Q163" s="14" t="s">
        <v>858</v>
      </c>
      <c r="R163" s="18">
        <v>162</v>
      </c>
      <c r="S163" s="14" t="s">
        <v>863</v>
      </c>
      <c r="T163" s="14" t="s">
        <v>864</v>
      </c>
      <c r="U163" s="14" t="s">
        <v>109</v>
      </c>
      <c r="V163" s="14" t="s">
        <v>114</v>
      </c>
      <c r="W163" s="14" t="s">
        <v>865</v>
      </c>
      <c r="X163" s="14" t="s">
        <v>837</v>
      </c>
      <c r="Y163" s="22"/>
      <c r="Z163" s="24">
        <f t="shared" si="599"/>
        <v>1</v>
      </c>
      <c r="AA163" s="20">
        <f t="shared" si="1"/>
        <v>1</v>
      </c>
      <c r="AB163" s="20">
        <f t="shared" si="2"/>
        <v>1</v>
      </c>
      <c r="AC163" s="21"/>
      <c r="AD163" s="21"/>
      <c r="AE163" s="21">
        <f t="shared" si="3"/>
        <v>0.5</v>
      </c>
      <c r="AF163" s="20">
        <v>1</v>
      </c>
      <c r="AG163" s="20">
        <v>1</v>
      </c>
      <c r="AH163" s="20">
        <v>1</v>
      </c>
      <c r="AI163" s="20">
        <v>1</v>
      </c>
      <c r="AJ163" s="26"/>
      <c r="AK163" s="26"/>
      <c r="AL163" s="26"/>
      <c r="AM163" s="26"/>
      <c r="AN163" s="24">
        <v>1</v>
      </c>
      <c r="AO163" s="24">
        <v>1</v>
      </c>
      <c r="AP163" s="24">
        <v>1</v>
      </c>
      <c r="AQ163" s="24">
        <v>1</v>
      </c>
      <c r="AR163" s="24">
        <f t="shared" ref="AR163:AS163" si="604">(AJ163+AL163+AN163+AP163)/2</f>
        <v>1</v>
      </c>
      <c r="AS163" s="24">
        <f t="shared" si="604"/>
        <v>1</v>
      </c>
      <c r="AT163" s="24">
        <f t="shared" si="595"/>
        <v>1</v>
      </c>
      <c r="AU163" s="23" t="str">
        <f t="shared" si="596"/>
        <v>100%</v>
      </c>
      <c r="AV163" s="24">
        <f t="shared" si="7"/>
        <v>1</v>
      </c>
      <c r="AW163" s="14" t="s">
        <v>92</v>
      </c>
      <c r="AX163" s="30" t="s">
        <v>866</v>
      </c>
      <c r="AY163" s="24">
        <v>1</v>
      </c>
      <c r="AZ163" s="24">
        <v>1</v>
      </c>
      <c r="BA163" s="24">
        <v>1</v>
      </c>
      <c r="BB163" s="24">
        <v>1</v>
      </c>
      <c r="BC163" s="24">
        <v>1</v>
      </c>
      <c r="BD163" s="24">
        <v>1</v>
      </c>
      <c r="BE163" s="24">
        <v>1</v>
      </c>
      <c r="BF163" s="26"/>
      <c r="BG163" s="20">
        <f t="shared" si="601"/>
        <v>1</v>
      </c>
      <c r="BH163" s="20">
        <f t="shared" si="602"/>
        <v>1</v>
      </c>
      <c r="BI163" s="20">
        <f t="shared" si="591"/>
        <v>1</v>
      </c>
      <c r="BJ163" s="23" t="str">
        <f t="shared" si="592"/>
        <v>100%</v>
      </c>
      <c r="BK163" s="24">
        <f t="shared" si="410"/>
        <v>1</v>
      </c>
      <c r="BL163" s="22" t="s">
        <v>92</v>
      </c>
      <c r="BM163" s="25" t="s">
        <v>866</v>
      </c>
      <c r="BN163" s="27">
        <v>2539800945</v>
      </c>
      <c r="BO163" s="27">
        <v>1784433333</v>
      </c>
      <c r="BP163" s="27">
        <v>637760679</v>
      </c>
      <c r="BQ163" s="27">
        <v>637760679</v>
      </c>
      <c r="BR163" s="27">
        <f t="shared" ref="BR163:BS163" si="605">+BN163+BP163</f>
        <v>3177561624</v>
      </c>
      <c r="BS163" s="27">
        <f t="shared" si="605"/>
        <v>2422194012</v>
      </c>
      <c r="BT163" s="20">
        <f t="shared" si="13"/>
        <v>0.76228073555057507</v>
      </c>
      <c r="BU163" s="27">
        <v>1650000000</v>
      </c>
      <c r="BV163" s="27">
        <v>2638329407</v>
      </c>
      <c r="BW163" s="27">
        <v>2293256073</v>
      </c>
      <c r="BX163" s="27">
        <v>1496310547</v>
      </c>
      <c r="BY163" s="28">
        <f t="shared" si="149"/>
        <v>0.86920763833187265</v>
      </c>
      <c r="BZ163" s="27">
        <v>2200532243</v>
      </c>
      <c r="CA163" s="20">
        <v>1962816158</v>
      </c>
      <c r="CB163" s="29">
        <v>2035193376</v>
      </c>
      <c r="CC163" s="29">
        <v>2038343258</v>
      </c>
      <c r="CD163" s="29">
        <v>8236885035</v>
      </c>
    </row>
    <row r="164" spans="1:82" ht="43.5" customHeight="1">
      <c r="A164" s="12" t="s">
        <v>851</v>
      </c>
      <c r="B164" s="13">
        <v>0.432</v>
      </c>
      <c r="C164" s="12"/>
      <c r="D164" s="14">
        <v>22</v>
      </c>
      <c r="E164" s="14">
        <v>2201</v>
      </c>
      <c r="F164" s="14">
        <v>23</v>
      </c>
      <c r="G164" s="14" t="s">
        <v>852</v>
      </c>
      <c r="H164" s="14"/>
      <c r="I164" s="14">
        <v>23.1</v>
      </c>
      <c r="J164" s="14" t="s">
        <v>853</v>
      </c>
      <c r="K164" s="14" t="s">
        <v>854</v>
      </c>
      <c r="L164" s="14" t="s">
        <v>855</v>
      </c>
      <c r="M164" s="14" t="s">
        <v>856</v>
      </c>
      <c r="N164" s="14" t="s">
        <v>857</v>
      </c>
      <c r="O164" s="14">
        <v>2201017</v>
      </c>
      <c r="P164" s="17">
        <v>2024257990023</v>
      </c>
      <c r="Q164" s="14" t="s">
        <v>858</v>
      </c>
      <c r="R164" s="18">
        <v>163</v>
      </c>
      <c r="S164" s="14" t="s">
        <v>867</v>
      </c>
      <c r="T164" s="14" t="s">
        <v>868</v>
      </c>
      <c r="U164" s="14" t="s">
        <v>109</v>
      </c>
      <c r="V164" s="14" t="s">
        <v>114</v>
      </c>
      <c r="W164" s="14" t="s">
        <v>869</v>
      </c>
      <c r="X164" s="14" t="s">
        <v>837</v>
      </c>
      <c r="Y164" s="22" t="s">
        <v>124</v>
      </c>
      <c r="Z164" s="24">
        <f t="shared" si="599"/>
        <v>1</v>
      </c>
      <c r="AA164" s="20">
        <f t="shared" si="1"/>
        <v>1</v>
      </c>
      <c r="AB164" s="20">
        <f t="shared" si="2"/>
        <v>0.74747474747474751</v>
      </c>
      <c r="AC164" s="21"/>
      <c r="AD164" s="21"/>
      <c r="AE164" s="21">
        <f t="shared" si="3"/>
        <v>0.41161616161616166</v>
      </c>
      <c r="AF164" s="20">
        <v>1</v>
      </c>
      <c r="AG164" s="20">
        <v>1</v>
      </c>
      <c r="AH164" s="20">
        <v>1</v>
      </c>
      <c r="AI164" s="20">
        <v>1</v>
      </c>
      <c r="AJ164" s="26"/>
      <c r="AK164" s="26"/>
      <c r="AL164" s="26"/>
      <c r="AM164" s="26"/>
      <c r="AN164" s="24">
        <v>1</v>
      </c>
      <c r="AO164" s="24">
        <v>1</v>
      </c>
      <c r="AP164" s="24">
        <v>1</v>
      </c>
      <c r="AQ164" s="24">
        <v>1</v>
      </c>
      <c r="AR164" s="24">
        <f t="shared" ref="AR164:AS164" si="606">(AJ164+AL164+AN164+AP164)/2</f>
        <v>1</v>
      </c>
      <c r="AS164" s="24">
        <f t="shared" si="606"/>
        <v>1</v>
      </c>
      <c r="AT164" s="24">
        <f t="shared" si="595"/>
        <v>1</v>
      </c>
      <c r="AU164" s="23" t="str">
        <f t="shared" si="596"/>
        <v>100%</v>
      </c>
      <c r="AV164" s="24">
        <f t="shared" si="7"/>
        <v>1</v>
      </c>
      <c r="AW164" s="14" t="s">
        <v>92</v>
      </c>
      <c r="AX164" s="30" t="s">
        <v>870</v>
      </c>
      <c r="AY164" s="24">
        <v>0.14000000000000001</v>
      </c>
      <c r="AZ164" s="24">
        <v>0.14000000000000001</v>
      </c>
      <c r="BA164" s="24">
        <v>0.3</v>
      </c>
      <c r="BB164" s="24">
        <v>0.3</v>
      </c>
      <c r="BC164" s="24">
        <v>0.3</v>
      </c>
      <c r="BD164" s="24">
        <v>0.3</v>
      </c>
      <c r="BE164" s="24">
        <v>0.25</v>
      </c>
      <c r="BF164" s="26"/>
      <c r="BG164" s="20">
        <f t="shared" ref="BG164:BH164" si="607">(AY164+BA164+BC164+BE164)</f>
        <v>0.99</v>
      </c>
      <c r="BH164" s="20">
        <f t="shared" si="607"/>
        <v>0.74</v>
      </c>
      <c r="BI164" s="20">
        <f t="shared" si="591"/>
        <v>0.74747474747474751</v>
      </c>
      <c r="BJ164" s="23" t="str">
        <f t="shared" si="592"/>
        <v>100%</v>
      </c>
      <c r="BK164" s="24">
        <f t="shared" si="410"/>
        <v>0.74747474747474751</v>
      </c>
      <c r="BL164" s="22" t="s">
        <v>92</v>
      </c>
      <c r="BM164" s="25" t="s">
        <v>870</v>
      </c>
      <c r="BN164" s="27">
        <v>561151000</v>
      </c>
      <c r="BO164" s="27">
        <v>374018798</v>
      </c>
      <c r="BP164" s="27">
        <v>206103334</v>
      </c>
      <c r="BQ164" s="27">
        <v>206103334</v>
      </c>
      <c r="BR164" s="27">
        <f t="shared" ref="BR164:BS164" si="608">+BN164+BP164</f>
        <v>767254334</v>
      </c>
      <c r="BS164" s="27">
        <f t="shared" si="608"/>
        <v>580122132</v>
      </c>
      <c r="BT164" s="20">
        <f t="shared" si="13"/>
        <v>0.75610147286571083</v>
      </c>
      <c r="BU164" s="27">
        <v>561151000</v>
      </c>
      <c r="BV164" s="27">
        <v>495018798</v>
      </c>
      <c r="BW164" s="27">
        <v>475018798</v>
      </c>
      <c r="BX164" s="27">
        <v>305502931</v>
      </c>
      <c r="BY164" s="28">
        <f t="shared" si="149"/>
        <v>0.95959749391173621</v>
      </c>
      <c r="BZ164" s="27">
        <v>550000000</v>
      </c>
      <c r="CA164" s="20">
        <v>561000000</v>
      </c>
      <c r="CB164" s="29">
        <v>572220000</v>
      </c>
      <c r="CC164" s="29">
        <v>589386600</v>
      </c>
      <c r="CD164" s="29">
        <v>2272606600</v>
      </c>
    </row>
    <row r="165" spans="1:82" ht="51" customHeight="1">
      <c r="A165" s="12" t="s">
        <v>851</v>
      </c>
      <c r="B165" s="13">
        <v>0.432</v>
      </c>
      <c r="C165" s="12"/>
      <c r="D165" s="14">
        <v>22</v>
      </c>
      <c r="E165" s="14">
        <v>2201</v>
      </c>
      <c r="F165" s="14">
        <v>23</v>
      </c>
      <c r="G165" s="14" t="s">
        <v>852</v>
      </c>
      <c r="H165" s="14"/>
      <c r="I165" s="14">
        <v>23.1</v>
      </c>
      <c r="J165" s="14" t="s">
        <v>853</v>
      </c>
      <c r="K165" s="14" t="s">
        <v>854</v>
      </c>
      <c r="L165" s="14" t="s">
        <v>855</v>
      </c>
      <c r="M165" s="14" t="s">
        <v>856</v>
      </c>
      <c r="N165" s="14" t="s">
        <v>857</v>
      </c>
      <c r="O165" s="14">
        <v>2201069</v>
      </c>
      <c r="P165" s="17">
        <v>2024257990023</v>
      </c>
      <c r="Q165" s="14" t="s">
        <v>858</v>
      </c>
      <c r="R165" s="18">
        <v>164</v>
      </c>
      <c r="S165" s="14" t="s">
        <v>871</v>
      </c>
      <c r="T165" s="14">
        <v>3</v>
      </c>
      <c r="U165" s="14" t="s">
        <v>88</v>
      </c>
      <c r="V165" s="14" t="s">
        <v>89</v>
      </c>
      <c r="W165" s="14" t="s">
        <v>872</v>
      </c>
      <c r="X165" s="14" t="s">
        <v>837</v>
      </c>
      <c r="Y165" s="22" t="s">
        <v>124</v>
      </c>
      <c r="Z165" s="18">
        <f>SUM(AF165:AI165)</f>
        <v>4</v>
      </c>
      <c r="AA165" s="20">
        <f t="shared" si="1"/>
        <v>0.22499999999999998</v>
      </c>
      <c r="AB165" s="20">
        <f t="shared" si="2"/>
        <v>0.15</v>
      </c>
      <c r="AC165" s="21"/>
      <c r="AD165" s="21"/>
      <c r="AE165" s="21">
        <f t="shared" si="3"/>
        <v>8.6249999999999993E-2</v>
      </c>
      <c r="AF165" s="29">
        <v>1</v>
      </c>
      <c r="AG165" s="29">
        <v>1</v>
      </c>
      <c r="AH165" s="29">
        <v>1</v>
      </c>
      <c r="AI165" s="29">
        <v>1</v>
      </c>
      <c r="AJ165" s="26"/>
      <c r="AK165" s="26"/>
      <c r="AL165" s="26"/>
      <c r="AM165" s="26"/>
      <c r="AN165" s="26">
        <v>0.2</v>
      </c>
      <c r="AO165" s="26">
        <v>0.2</v>
      </c>
      <c r="AP165" s="26">
        <v>0.8</v>
      </c>
      <c r="AQ165" s="26">
        <v>0.7</v>
      </c>
      <c r="AR165" s="22">
        <f t="shared" ref="AR165:AS165" si="609">(AJ165+AL165+AN165+AP165)</f>
        <v>1</v>
      </c>
      <c r="AS165" s="22">
        <f t="shared" si="609"/>
        <v>0.89999999999999991</v>
      </c>
      <c r="AT165" s="22">
        <f t="shared" si="595"/>
        <v>0.89999999999999991</v>
      </c>
      <c r="AU165" s="23" t="str">
        <f t="shared" si="596"/>
        <v>100%</v>
      </c>
      <c r="AV165" s="24">
        <f t="shared" si="7"/>
        <v>0.89999999999999991</v>
      </c>
      <c r="AW165" s="14" t="s">
        <v>92</v>
      </c>
      <c r="AX165" s="30" t="s">
        <v>873</v>
      </c>
      <c r="AY165" s="46">
        <v>0</v>
      </c>
      <c r="AZ165" s="46">
        <v>0</v>
      </c>
      <c r="BA165" s="46">
        <v>0.3</v>
      </c>
      <c r="BB165" s="46">
        <v>0.3</v>
      </c>
      <c r="BC165" s="46">
        <v>0.3</v>
      </c>
      <c r="BD165" s="46">
        <v>0.3</v>
      </c>
      <c r="BE165" s="46">
        <v>0.4</v>
      </c>
      <c r="BF165" s="26"/>
      <c r="BG165" s="22">
        <f t="shared" ref="BG165:BH165" si="610">(AY165+BA165+BC165+BE165)</f>
        <v>1</v>
      </c>
      <c r="BH165" s="22">
        <f t="shared" si="610"/>
        <v>0.6</v>
      </c>
      <c r="BI165" s="22">
        <f t="shared" si="591"/>
        <v>0.6</v>
      </c>
      <c r="BJ165" s="23" t="str">
        <f t="shared" si="592"/>
        <v>100%</v>
      </c>
      <c r="BK165" s="24">
        <f t="shared" si="410"/>
        <v>0.6</v>
      </c>
      <c r="BL165" s="22" t="s">
        <v>92</v>
      </c>
      <c r="BM165" s="25" t="s">
        <v>873</v>
      </c>
      <c r="BN165" s="27">
        <v>150000000</v>
      </c>
      <c r="BO165" s="27">
        <v>0</v>
      </c>
      <c r="BP165" s="27">
        <v>200000000</v>
      </c>
      <c r="BQ165" s="27">
        <v>200000000</v>
      </c>
      <c r="BR165" s="27">
        <f t="shared" ref="BR165:BS165" si="611">+BN165+BP165</f>
        <v>350000000</v>
      </c>
      <c r="BS165" s="27">
        <f t="shared" si="611"/>
        <v>200000000</v>
      </c>
      <c r="BT165" s="20">
        <f t="shared" si="13"/>
        <v>0.5714285714285714</v>
      </c>
      <c r="BU165" s="27">
        <v>150000000</v>
      </c>
      <c r="BV165" s="27">
        <v>150000000</v>
      </c>
      <c r="BW165" s="27">
        <v>71000223</v>
      </c>
      <c r="BX165" s="27">
        <v>0</v>
      </c>
      <c r="BY165" s="28">
        <f t="shared" si="149"/>
        <v>0.47333481999999999</v>
      </c>
      <c r="BZ165" s="27">
        <v>200000000</v>
      </c>
      <c r="CA165" s="20">
        <v>204000000</v>
      </c>
      <c r="CB165" s="29">
        <v>208080000</v>
      </c>
      <c r="CC165" s="29">
        <v>214322400</v>
      </c>
      <c r="CD165" s="29">
        <v>826402400</v>
      </c>
    </row>
    <row r="166" spans="1:82" ht="62.25" customHeight="1">
      <c r="A166" s="12" t="s">
        <v>851</v>
      </c>
      <c r="B166" s="13">
        <v>0.432</v>
      </c>
      <c r="C166" s="12"/>
      <c r="D166" s="14">
        <v>22</v>
      </c>
      <c r="E166" s="14">
        <v>2201</v>
      </c>
      <c r="F166" s="14">
        <v>23</v>
      </c>
      <c r="G166" s="14" t="s">
        <v>852</v>
      </c>
      <c r="H166" s="14"/>
      <c r="I166" s="14">
        <v>23.1</v>
      </c>
      <c r="J166" s="14" t="s">
        <v>853</v>
      </c>
      <c r="K166" s="14" t="s">
        <v>854</v>
      </c>
      <c r="L166" s="14" t="s">
        <v>855</v>
      </c>
      <c r="M166" s="14" t="s">
        <v>856</v>
      </c>
      <c r="N166" s="14" t="s">
        <v>857</v>
      </c>
      <c r="O166" s="14">
        <v>2201017</v>
      </c>
      <c r="P166" s="17">
        <v>2024257990023</v>
      </c>
      <c r="Q166" s="14" t="s">
        <v>858</v>
      </c>
      <c r="R166" s="18">
        <v>165</v>
      </c>
      <c r="S166" s="14" t="s">
        <v>874</v>
      </c>
      <c r="T166" s="14">
        <v>1</v>
      </c>
      <c r="U166" s="14" t="s">
        <v>109</v>
      </c>
      <c r="V166" s="14" t="s">
        <v>114</v>
      </c>
      <c r="W166" s="14" t="s">
        <v>875</v>
      </c>
      <c r="X166" s="14" t="s">
        <v>837</v>
      </c>
      <c r="Y166" s="19" t="s">
        <v>124</v>
      </c>
      <c r="Z166" s="24">
        <f>SUM(AF166:AI166)/2</f>
        <v>1</v>
      </c>
      <c r="AA166" s="20">
        <f t="shared" si="1"/>
        <v>0.1</v>
      </c>
      <c r="AB166" s="20">
        <f t="shared" si="2"/>
        <v>1</v>
      </c>
      <c r="AC166" s="21"/>
      <c r="AD166" s="21"/>
      <c r="AE166" s="21">
        <f t="shared" si="3"/>
        <v>0.36499999999999999</v>
      </c>
      <c r="AF166" s="20">
        <v>1</v>
      </c>
      <c r="AG166" s="24">
        <v>0</v>
      </c>
      <c r="AH166" s="24">
        <v>0</v>
      </c>
      <c r="AI166" s="20">
        <v>1</v>
      </c>
      <c r="AJ166" s="26"/>
      <c r="AK166" s="26"/>
      <c r="AL166" s="26"/>
      <c r="AM166" s="26"/>
      <c r="AN166" s="24">
        <v>0.05</v>
      </c>
      <c r="AO166" s="24">
        <v>0.05</v>
      </c>
      <c r="AP166" s="24">
        <v>0.05</v>
      </c>
      <c r="AQ166" s="24">
        <v>0.05</v>
      </c>
      <c r="AR166" s="24">
        <f t="shared" ref="AR166:AS166" si="612">(AJ166+AL166+AN166+AP166)</f>
        <v>0.1</v>
      </c>
      <c r="AS166" s="24">
        <f t="shared" si="612"/>
        <v>0.1</v>
      </c>
      <c r="AT166" s="24">
        <f t="shared" si="595"/>
        <v>1</v>
      </c>
      <c r="AU166" s="23" t="str">
        <f t="shared" si="596"/>
        <v>100%</v>
      </c>
      <c r="AV166" s="24">
        <f t="shared" si="7"/>
        <v>1</v>
      </c>
      <c r="AW166" s="14" t="s">
        <v>92</v>
      </c>
      <c r="AX166" s="30" t="s">
        <v>876</v>
      </c>
      <c r="AY166" s="24">
        <v>1</v>
      </c>
      <c r="AZ166" s="24">
        <v>1</v>
      </c>
      <c r="BA166" s="24">
        <v>0</v>
      </c>
      <c r="BB166" s="24"/>
      <c r="BC166" s="24">
        <v>0</v>
      </c>
      <c r="BD166" s="24">
        <v>0</v>
      </c>
      <c r="BE166" s="24">
        <v>0</v>
      </c>
      <c r="BF166" s="26"/>
      <c r="BG166" s="20">
        <f t="shared" ref="BG166:BH166" si="613">(AY166+BA166+BC166+BE166)</f>
        <v>1</v>
      </c>
      <c r="BH166" s="20">
        <f t="shared" si="613"/>
        <v>1</v>
      </c>
      <c r="BI166" s="20">
        <f t="shared" si="591"/>
        <v>1</v>
      </c>
      <c r="BJ166" s="23" t="str">
        <f t="shared" si="592"/>
        <v>100%</v>
      </c>
      <c r="BK166" s="24">
        <f t="shared" si="410"/>
        <v>1</v>
      </c>
      <c r="BL166" s="26" t="s">
        <v>192</v>
      </c>
      <c r="BM166" s="25" t="s">
        <v>876</v>
      </c>
      <c r="BN166" s="27">
        <v>0</v>
      </c>
      <c r="BO166" s="27">
        <v>0</v>
      </c>
      <c r="BP166" s="27">
        <v>1599987000</v>
      </c>
      <c r="BQ166" s="27">
        <v>1599987000</v>
      </c>
      <c r="BR166" s="27">
        <f t="shared" ref="BR166:BS166" si="614">+BN166+BP166</f>
        <v>1599987000</v>
      </c>
      <c r="BS166" s="27">
        <f t="shared" si="614"/>
        <v>1599987000</v>
      </c>
      <c r="BT166" s="20">
        <f t="shared" si="13"/>
        <v>1</v>
      </c>
      <c r="BU166" s="27"/>
      <c r="BV166" s="27"/>
      <c r="BW166" s="27"/>
      <c r="BX166" s="27"/>
      <c r="BY166" s="28" t="str">
        <f t="shared" si="149"/>
        <v/>
      </c>
      <c r="BZ166" s="27">
        <v>1600000000</v>
      </c>
      <c r="CA166" s="20"/>
      <c r="CB166" s="29">
        <v>1600000000</v>
      </c>
      <c r="CC166" s="29"/>
      <c r="CD166" s="29">
        <v>3600000000</v>
      </c>
    </row>
    <row r="167" spans="1:82" ht="54" customHeight="1">
      <c r="A167" s="12" t="s">
        <v>851</v>
      </c>
      <c r="B167" s="13">
        <v>0.432</v>
      </c>
      <c r="C167" s="12"/>
      <c r="D167" s="14">
        <v>22</v>
      </c>
      <c r="E167" s="14">
        <v>2201</v>
      </c>
      <c r="F167" s="14">
        <v>23</v>
      </c>
      <c r="G167" s="14" t="s">
        <v>852</v>
      </c>
      <c r="H167" s="14"/>
      <c r="I167" s="14">
        <v>23.1</v>
      </c>
      <c r="J167" s="14" t="s">
        <v>853</v>
      </c>
      <c r="K167" s="14" t="s">
        <v>854</v>
      </c>
      <c r="L167" s="14" t="s">
        <v>855</v>
      </c>
      <c r="M167" s="14" t="s">
        <v>856</v>
      </c>
      <c r="N167" s="14" t="s">
        <v>857</v>
      </c>
      <c r="O167" s="14">
        <v>2201026</v>
      </c>
      <c r="P167" s="17">
        <v>2024257990023</v>
      </c>
      <c r="Q167" s="14" t="s">
        <v>858</v>
      </c>
      <c r="R167" s="18">
        <v>166</v>
      </c>
      <c r="S167" s="14" t="s">
        <v>877</v>
      </c>
      <c r="T167" s="14" t="s">
        <v>167</v>
      </c>
      <c r="U167" s="14" t="s">
        <v>88</v>
      </c>
      <c r="V167" s="14" t="s">
        <v>89</v>
      </c>
      <c r="W167" s="14" t="s">
        <v>878</v>
      </c>
      <c r="X167" s="14" t="s">
        <v>206</v>
      </c>
      <c r="Y167" s="19" t="s">
        <v>124</v>
      </c>
      <c r="Z167" s="18">
        <f t="shared" ref="Z167:Z168" si="615">SUM(AF167:AI167)</f>
        <v>17</v>
      </c>
      <c r="AA167" s="20">
        <f t="shared" si="1"/>
        <v>0</v>
      </c>
      <c r="AB167" s="20">
        <f t="shared" si="2"/>
        <v>1.8627450980392157E-2</v>
      </c>
      <c r="AC167" s="21"/>
      <c r="AD167" s="21"/>
      <c r="AE167" s="21">
        <f t="shared" si="3"/>
        <v>6.5196078431372546E-3</v>
      </c>
      <c r="AF167" s="29">
        <v>0</v>
      </c>
      <c r="AG167" s="29">
        <v>6</v>
      </c>
      <c r="AH167" s="29">
        <v>6</v>
      </c>
      <c r="AI167" s="29">
        <v>5</v>
      </c>
      <c r="AJ167" s="26"/>
      <c r="AK167" s="26"/>
      <c r="AL167" s="26"/>
      <c r="AM167" s="26"/>
      <c r="AN167" s="34">
        <v>0</v>
      </c>
      <c r="AO167" s="34">
        <v>0</v>
      </c>
      <c r="AP167" s="34">
        <v>0</v>
      </c>
      <c r="AQ167" s="34">
        <v>0</v>
      </c>
      <c r="AR167" s="34">
        <v>0</v>
      </c>
      <c r="AS167" s="34">
        <f t="shared" ref="AS167:AS168" si="616">(AK167+AM167+AO167+AQ167)/2</f>
        <v>0</v>
      </c>
      <c r="AT167" s="24">
        <f t="shared" ref="AT167:AT168" si="617">IF(AQ167=0, 0, AR167/AQ167)</f>
        <v>0</v>
      </c>
      <c r="AU167" s="23" t="str">
        <f t="shared" ref="AU167:AU168" si="618">IF(AR167&gt; 1, IF(AR167 = AS167, "100%", AR167 &amp; "%"), IF(AR167 &lt;= 0.01, "0%", AR167 * 100 &amp; "%"))</f>
        <v>0%</v>
      </c>
      <c r="AV167" s="24">
        <f t="shared" si="7"/>
        <v>0</v>
      </c>
      <c r="AW167" s="26" t="s">
        <v>192</v>
      </c>
      <c r="AX167" s="30" t="s">
        <v>879</v>
      </c>
      <c r="AY167" s="26">
        <v>0</v>
      </c>
      <c r="AZ167" s="26">
        <v>0</v>
      </c>
      <c r="BA167" s="26">
        <v>2</v>
      </c>
      <c r="BB167" s="26">
        <v>1.9</v>
      </c>
      <c r="BC167" s="26">
        <v>2</v>
      </c>
      <c r="BD167" s="26">
        <v>0</v>
      </c>
      <c r="BE167" s="26">
        <v>2</v>
      </c>
      <c r="BF167" s="26"/>
      <c r="BG167" s="22">
        <f t="shared" ref="BG167:BH167" si="619">(AY167+BA167+BC167+BE167)</f>
        <v>6</v>
      </c>
      <c r="BH167" s="22">
        <f t="shared" si="619"/>
        <v>1.9</v>
      </c>
      <c r="BI167" s="22">
        <f t="shared" si="591"/>
        <v>0.31666666666666665</v>
      </c>
      <c r="BJ167" s="23" t="str">
        <f t="shared" si="592"/>
        <v>100%</v>
      </c>
      <c r="BK167" s="24">
        <f t="shared" si="410"/>
        <v>0.31666666666666665</v>
      </c>
      <c r="BL167" s="22" t="s">
        <v>92</v>
      </c>
      <c r="BM167" s="25" t="s">
        <v>880</v>
      </c>
      <c r="BN167" s="27">
        <v>600000000</v>
      </c>
      <c r="BO167" s="27">
        <v>115597000</v>
      </c>
      <c r="BP167" s="27">
        <v>111296666</v>
      </c>
      <c r="BQ167" s="27">
        <v>111296666</v>
      </c>
      <c r="BR167" s="27">
        <f t="shared" ref="BR167:BS167" si="620">+BN167+BP167</f>
        <v>711296666</v>
      </c>
      <c r="BS167" s="27">
        <f t="shared" si="620"/>
        <v>226893666</v>
      </c>
      <c r="BT167" s="20">
        <f t="shared" si="13"/>
        <v>0.31898598270668682</v>
      </c>
      <c r="BU167" s="27">
        <v>400000000</v>
      </c>
      <c r="BV167" s="27">
        <v>1148182419</v>
      </c>
      <c r="BW167" s="27">
        <v>115597000</v>
      </c>
      <c r="BX167" s="27">
        <v>80646000</v>
      </c>
      <c r="BY167" s="28">
        <f t="shared" si="149"/>
        <v>0.10067825293883027</v>
      </c>
      <c r="BZ167" s="27">
        <v>435388179</v>
      </c>
      <c r="CA167" s="20">
        <v>600000000</v>
      </c>
      <c r="CB167" s="29">
        <v>612000000</v>
      </c>
      <c r="CC167" s="29">
        <v>700000000</v>
      </c>
      <c r="CD167" s="29">
        <v>2347388179</v>
      </c>
    </row>
    <row r="168" spans="1:82" ht="56.25" customHeight="1">
      <c r="A168" s="12" t="s">
        <v>851</v>
      </c>
      <c r="B168" s="13">
        <v>0.432</v>
      </c>
      <c r="C168" s="12"/>
      <c r="D168" s="14">
        <v>22</v>
      </c>
      <c r="E168" s="14">
        <v>2201</v>
      </c>
      <c r="F168" s="14">
        <v>23</v>
      </c>
      <c r="G168" s="14" t="s">
        <v>852</v>
      </c>
      <c r="H168" s="14"/>
      <c r="I168" s="14">
        <v>23.1</v>
      </c>
      <c r="J168" s="14" t="s">
        <v>853</v>
      </c>
      <c r="K168" s="14" t="s">
        <v>854</v>
      </c>
      <c r="L168" s="14" t="s">
        <v>855</v>
      </c>
      <c r="M168" s="14" t="s">
        <v>856</v>
      </c>
      <c r="N168" s="14" t="s">
        <v>857</v>
      </c>
      <c r="O168" s="14">
        <v>2201070</v>
      </c>
      <c r="P168" s="17">
        <v>2024257990023</v>
      </c>
      <c r="Q168" s="14" t="s">
        <v>858</v>
      </c>
      <c r="R168" s="18">
        <v>167</v>
      </c>
      <c r="S168" s="14" t="s">
        <v>881</v>
      </c>
      <c r="T168" s="14">
        <v>0</v>
      </c>
      <c r="U168" s="14" t="s">
        <v>88</v>
      </c>
      <c r="V168" s="14" t="s">
        <v>89</v>
      </c>
      <c r="W168" s="14" t="s">
        <v>882</v>
      </c>
      <c r="X168" s="14" t="s">
        <v>837</v>
      </c>
      <c r="Y168" s="22" t="s">
        <v>124</v>
      </c>
      <c r="Z168" s="18">
        <f t="shared" si="615"/>
        <v>3</v>
      </c>
      <c r="AA168" s="20">
        <f t="shared" si="1"/>
        <v>0</v>
      </c>
      <c r="AB168" s="20">
        <f t="shared" si="2"/>
        <v>0.23333333333333331</v>
      </c>
      <c r="AC168" s="21"/>
      <c r="AD168" s="21"/>
      <c r="AE168" s="21">
        <f t="shared" si="3"/>
        <v>8.1666666666666651E-2</v>
      </c>
      <c r="AF168" s="29">
        <v>0</v>
      </c>
      <c r="AG168" s="29">
        <v>1</v>
      </c>
      <c r="AH168" s="29">
        <v>1</v>
      </c>
      <c r="AI168" s="29">
        <v>1</v>
      </c>
      <c r="AJ168" s="26"/>
      <c r="AK168" s="26"/>
      <c r="AL168" s="26"/>
      <c r="AM168" s="26"/>
      <c r="AN168" s="34">
        <v>0</v>
      </c>
      <c r="AO168" s="34">
        <v>0</v>
      </c>
      <c r="AP168" s="34">
        <v>0</v>
      </c>
      <c r="AQ168" s="34">
        <v>0</v>
      </c>
      <c r="AR168" s="34">
        <v>0</v>
      </c>
      <c r="AS168" s="34">
        <f t="shared" si="616"/>
        <v>0</v>
      </c>
      <c r="AT168" s="24">
        <f t="shared" si="617"/>
        <v>0</v>
      </c>
      <c r="AU168" s="23" t="str">
        <f t="shared" si="618"/>
        <v>0%</v>
      </c>
      <c r="AV168" s="24">
        <f t="shared" si="7"/>
        <v>0</v>
      </c>
      <c r="AW168" s="26" t="s">
        <v>192</v>
      </c>
      <c r="AX168" s="26"/>
      <c r="AY168" s="46">
        <v>0</v>
      </c>
      <c r="AZ168" s="26">
        <v>0</v>
      </c>
      <c r="BA168" s="46">
        <v>0.3</v>
      </c>
      <c r="BB168" s="46">
        <v>0.3</v>
      </c>
      <c r="BC168" s="46">
        <v>0.4</v>
      </c>
      <c r="BD168" s="46">
        <v>0.4</v>
      </c>
      <c r="BE168" s="46">
        <v>0.3</v>
      </c>
      <c r="BF168" s="26"/>
      <c r="BG168" s="22">
        <f t="shared" ref="BG168:BH168" si="621">(AY168+BA168+BC168+BE168)</f>
        <v>1</v>
      </c>
      <c r="BH168" s="22">
        <f t="shared" si="621"/>
        <v>0.7</v>
      </c>
      <c r="BI168" s="22">
        <f t="shared" si="591"/>
        <v>0.7</v>
      </c>
      <c r="BJ168" s="23" t="str">
        <f t="shared" si="592"/>
        <v>100%</v>
      </c>
      <c r="BK168" s="24">
        <f t="shared" si="410"/>
        <v>0.7</v>
      </c>
      <c r="BL168" s="26" t="s">
        <v>92</v>
      </c>
      <c r="BM168" s="25" t="s">
        <v>883</v>
      </c>
      <c r="BN168" s="27">
        <v>200000000</v>
      </c>
      <c r="BO168" s="27">
        <v>0</v>
      </c>
      <c r="BP168" s="27">
        <v>0</v>
      </c>
      <c r="BQ168" s="27">
        <v>0</v>
      </c>
      <c r="BR168" s="27">
        <f t="shared" ref="BR168:BS168" si="622">+BN168+BP168</f>
        <v>200000000</v>
      </c>
      <c r="BS168" s="27">
        <f t="shared" si="622"/>
        <v>0</v>
      </c>
      <c r="BT168" s="20">
        <f t="shared" si="13"/>
        <v>0</v>
      </c>
      <c r="BU168" s="27">
        <v>200000000</v>
      </c>
      <c r="BV168" s="27">
        <v>200000000</v>
      </c>
      <c r="BW168" s="27">
        <v>0</v>
      </c>
      <c r="BX168" s="27">
        <v>0</v>
      </c>
      <c r="BY168" s="28">
        <f t="shared" si="149"/>
        <v>0</v>
      </c>
      <c r="BZ168" s="27">
        <v>0</v>
      </c>
      <c r="CA168" s="20">
        <v>250000000</v>
      </c>
      <c r="CB168" s="29">
        <v>0</v>
      </c>
      <c r="CC168" s="29">
        <v>0</v>
      </c>
      <c r="CD168" s="29">
        <v>250000000</v>
      </c>
    </row>
    <row r="169" spans="1:82" ht="63" customHeight="1">
      <c r="A169" s="12" t="s">
        <v>851</v>
      </c>
      <c r="B169" s="13">
        <v>0.432</v>
      </c>
      <c r="C169" s="12"/>
      <c r="D169" s="14">
        <v>22</v>
      </c>
      <c r="E169" s="14">
        <v>2201</v>
      </c>
      <c r="F169" s="14">
        <v>23</v>
      </c>
      <c r="G169" s="14" t="s">
        <v>852</v>
      </c>
      <c r="H169" s="14"/>
      <c r="I169" s="14">
        <v>23.1</v>
      </c>
      <c r="J169" s="14" t="s">
        <v>853</v>
      </c>
      <c r="K169" s="14" t="s">
        <v>854</v>
      </c>
      <c r="L169" s="14" t="s">
        <v>855</v>
      </c>
      <c r="M169" s="14" t="s">
        <v>856</v>
      </c>
      <c r="N169" s="14" t="s">
        <v>857</v>
      </c>
      <c r="O169" s="14">
        <v>2201070</v>
      </c>
      <c r="P169" s="17">
        <v>2024257990023</v>
      </c>
      <c r="Q169" s="14" t="s">
        <v>858</v>
      </c>
      <c r="R169" s="18">
        <v>168</v>
      </c>
      <c r="S169" s="14" t="s">
        <v>884</v>
      </c>
      <c r="T169" s="14">
        <v>15</v>
      </c>
      <c r="U169" s="14" t="s">
        <v>88</v>
      </c>
      <c r="V169" s="14" t="s">
        <v>89</v>
      </c>
      <c r="W169" s="14" t="s">
        <v>885</v>
      </c>
      <c r="X169" s="14" t="s">
        <v>837</v>
      </c>
      <c r="Y169" s="22" t="s">
        <v>124</v>
      </c>
      <c r="Z169" s="17">
        <f>SUM(AF169:AI169)/4</f>
        <v>16.5</v>
      </c>
      <c r="AA169" s="20">
        <f t="shared" si="1"/>
        <v>0.90909090909090906</v>
      </c>
      <c r="AB169" s="20">
        <f t="shared" si="2"/>
        <v>5.4664289958407608E-2</v>
      </c>
      <c r="AC169" s="21"/>
      <c r="AD169" s="21"/>
      <c r="AE169" s="21">
        <f t="shared" si="3"/>
        <v>0.15549613784907901</v>
      </c>
      <c r="AF169" s="29">
        <v>15</v>
      </c>
      <c r="AG169" s="29">
        <v>17</v>
      </c>
      <c r="AH169" s="29">
        <v>17</v>
      </c>
      <c r="AI169" s="29">
        <v>17</v>
      </c>
      <c r="AJ169" s="26">
        <v>0</v>
      </c>
      <c r="AK169" s="26"/>
      <c r="AL169" s="26">
        <v>0</v>
      </c>
      <c r="AM169" s="26"/>
      <c r="AN169" s="26">
        <v>15</v>
      </c>
      <c r="AO169" s="26">
        <v>15</v>
      </c>
      <c r="AP169" s="26">
        <v>15</v>
      </c>
      <c r="AQ169" s="26">
        <v>15</v>
      </c>
      <c r="AR169" s="29">
        <f t="shared" ref="AR169:AS169" si="623">(AJ169+AL169+AN169+AP169)/2</f>
        <v>15</v>
      </c>
      <c r="AS169" s="29">
        <f t="shared" si="623"/>
        <v>15</v>
      </c>
      <c r="AT169" s="26">
        <f>(AS169+AR169)/2</f>
        <v>15</v>
      </c>
      <c r="AU169" s="23" t="str">
        <f>MIN((AR169 /AR169) * 100, 100) &amp; "%"</f>
        <v>100%</v>
      </c>
      <c r="AV169" s="24">
        <f t="shared" si="7"/>
        <v>1</v>
      </c>
      <c r="AW169" s="14" t="s">
        <v>92</v>
      </c>
      <c r="AX169" s="30" t="s">
        <v>886</v>
      </c>
      <c r="AY169" s="26">
        <v>17</v>
      </c>
      <c r="AZ169" s="26">
        <v>15</v>
      </c>
      <c r="BA169" s="26">
        <v>17</v>
      </c>
      <c r="BB169" s="26">
        <v>15</v>
      </c>
      <c r="BC169" s="26">
        <v>17</v>
      </c>
      <c r="BD169" s="26">
        <v>16</v>
      </c>
      <c r="BE169" s="26">
        <v>17</v>
      </c>
      <c r="BF169" s="26"/>
      <c r="BG169" s="22">
        <f>(AY169+BA169+BC169+BE169)/4</f>
        <v>17</v>
      </c>
      <c r="BH169" s="22">
        <f>(AZ169+BB169+BD169+BF169)/3</f>
        <v>15.333333333333334</v>
      </c>
      <c r="BI169" s="22">
        <f t="shared" si="591"/>
        <v>0.90196078431372551</v>
      </c>
      <c r="BJ169" s="23" t="str">
        <f t="shared" si="592"/>
        <v>100%</v>
      </c>
      <c r="BK169" s="24">
        <f t="shared" si="410"/>
        <v>0.90196078431372551</v>
      </c>
      <c r="BL169" s="22" t="s">
        <v>92</v>
      </c>
      <c r="BM169" s="25" t="s">
        <v>886</v>
      </c>
      <c r="BN169" s="27">
        <v>61200000</v>
      </c>
      <c r="BO169" s="27">
        <v>8414464</v>
      </c>
      <c r="BP169" s="27">
        <v>0</v>
      </c>
      <c r="BQ169" s="27">
        <v>0</v>
      </c>
      <c r="BR169" s="27">
        <f t="shared" ref="BR169:BS169" si="624">+BN169+BP169</f>
        <v>61200000</v>
      </c>
      <c r="BS169" s="27">
        <f t="shared" si="624"/>
        <v>8414464</v>
      </c>
      <c r="BT169" s="20">
        <f t="shared" si="13"/>
        <v>0.13749124183006536</v>
      </c>
      <c r="BU169" s="27">
        <v>61200000</v>
      </c>
      <c r="BV169" s="27">
        <v>61200000</v>
      </c>
      <c r="BW169" s="27">
        <v>61200000</v>
      </c>
      <c r="BX169" s="27">
        <v>6999880</v>
      </c>
      <c r="BY169" s="28">
        <f t="shared" si="149"/>
        <v>1</v>
      </c>
      <c r="BZ169" s="27">
        <v>60000000</v>
      </c>
      <c r="CA169" s="20">
        <v>61200000</v>
      </c>
      <c r="CB169" s="29">
        <v>62424000</v>
      </c>
      <c r="CC169" s="29">
        <v>64296720</v>
      </c>
      <c r="CD169" s="29">
        <v>247920720</v>
      </c>
    </row>
    <row r="170" spans="1:82" ht="48.75" customHeight="1">
      <c r="A170" s="12" t="s">
        <v>851</v>
      </c>
      <c r="B170" s="13">
        <v>0.432</v>
      </c>
      <c r="C170" s="12"/>
      <c r="D170" s="14">
        <v>22</v>
      </c>
      <c r="E170" s="14">
        <v>2201</v>
      </c>
      <c r="F170" s="14">
        <v>23</v>
      </c>
      <c r="G170" s="14" t="s">
        <v>852</v>
      </c>
      <c r="H170" s="14"/>
      <c r="I170" s="14">
        <v>23.1</v>
      </c>
      <c r="J170" s="14" t="s">
        <v>853</v>
      </c>
      <c r="K170" s="14" t="s">
        <v>854</v>
      </c>
      <c r="L170" s="14" t="s">
        <v>855</v>
      </c>
      <c r="M170" s="14" t="s">
        <v>856</v>
      </c>
      <c r="N170" s="14" t="s">
        <v>857</v>
      </c>
      <c r="O170" s="14">
        <v>2201022</v>
      </c>
      <c r="P170" s="17">
        <v>2024257990023</v>
      </c>
      <c r="Q170" s="14" t="s">
        <v>858</v>
      </c>
      <c r="R170" s="18">
        <v>169</v>
      </c>
      <c r="S170" s="14" t="s">
        <v>887</v>
      </c>
      <c r="T170" s="14">
        <v>0</v>
      </c>
      <c r="U170" s="14" t="s">
        <v>88</v>
      </c>
      <c r="V170" s="14" t="s">
        <v>89</v>
      </c>
      <c r="W170" s="14" t="s">
        <v>888</v>
      </c>
      <c r="X170" s="14" t="s">
        <v>206</v>
      </c>
      <c r="Y170" s="22" t="s">
        <v>124</v>
      </c>
      <c r="Z170" s="17">
        <f t="shared" ref="Z170:Z171" si="625">SUM(AF170:AI170)</f>
        <v>3</v>
      </c>
      <c r="AA170" s="20">
        <f t="shared" si="1"/>
        <v>0</v>
      </c>
      <c r="AB170" s="20">
        <f t="shared" si="2"/>
        <v>9.9999999999999992E-2</v>
      </c>
      <c r="AC170" s="21"/>
      <c r="AD170" s="21"/>
      <c r="AE170" s="21">
        <f t="shared" si="3"/>
        <v>3.4999999999999996E-2</v>
      </c>
      <c r="AF170" s="22">
        <v>0</v>
      </c>
      <c r="AG170" s="22">
        <v>1</v>
      </c>
      <c r="AH170" s="22">
        <v>1</v>
      </c>
      <c r="AI170" s="22">
        <v>1</v>
      </c>
      <c r="AJ170" s="26"/>
      <c r="AK170" s="26"/>
      <c r="AL170" s="26"/>
      <c r="AM170" s="26"/>
      <c r="AN170" s="34">
        <v>0</v>
      </c>
      <c r="AO170" s="34">
        <v>0</v>
      </c>
      <c r="AP170" s="34">
        <v>0</v>
      </c>
      <c r="AQ170" s="34">
        <v>0</v>
      </c>
      <c r="AR170" s="34">
        <v>0</v>
      </c>
      <c r="AS170" s="34">
        <f>(AK170+AM170+AO170+AQ170)/2</f>
        <v>0</v>
      </c>
      <c r="AT170" s="24">
        <f>IF(AQ170=0, 0, AR170/AQ170)</f>
        <v>0</v>
      </c>
      <c r="AU170" s="23" t="str">
        <f>IF(AR170&gt; 1, IF(AR170 = AS170, "100%", AR170 &amp; "%"), IF(AR170 &lt;= 0.01, "0%", AR170 * 100 &amp; "%"))</f>
        <v>0%</v>
      </c>
      <c r="AV170" s="24">
        <f t="shared" si="7"/>
        <v>0</v>
      </c>
      <c r="AW170" s="26" t="s">
        <v>192</v>
      </c>
      <c r="AX170" s="26"/>
      <c r="AY170" s="46">
        <v>0</v>
      </c>
      <c r="AZ170" s="46">
        <v>0</v>
      </c>
      <c r="BA170" s="46">
        <v>0</v>
      </c>
      <c r="BB170" s="46">
        <v>0</v>
      </c>
      <c r="BC170" s="46">
        <v>0.3</v>
      </c>
      <c r="BD170" s="46">
        <v>0.3</v>
      </c>
      <c r="BE170" s="46">
        <v>0.7</v>
      </c>
      <c r="BF170" s="26"/>
      <c r="BG170" s="22">
        <f t="shared" ref="BG170:BH170" si="626">(AY170+BA170+BC170+BE170)</f>
        <v>1</v>
      </c>
      <c r="BH170" s="22">
        <f t="shared" si="626"/>
        <v>0.3</v>
      </c>
      <c r="BI170" s="22">
        <f t="shared" si="591"/>
        <v>0.3</v>
      </c>
      <c r="BJ170" s="23" t="str">
        <f t="shared" si="592"/>
        <v>100%</v>
      </c>
      <c r="BK170" s="24">
        <f t="shared" si="410"/>
        <v>0.3</v>
      </c>
      <c r="BL170" s="22" t="s">
        <v>92</v>
      </c>
      <c r="BM170" s="25" t="s">
        <v>889</v>
      </c>
      <c r="BN170" s="27">
        <v>206280429</v>
      </c>
      <c r="BO170" s="27">
        <v>0</v>
      </c>
      <c r="BP170" s="27">
        <v>0</v>
      </c>
      <c r="BQ170" s="27">
        <v>0</v>
      </c>
      <c r="BR170" s="27">
        <f t="shared" ref="BR170:BS170" si="627">+BN170+BP170</f>
        <v>206280429</v>
      </c>
      <c r="BS170" s="27">
        <f t="shared" si="627"/>
        <v>0</v>
      </c>
      <c r="BT170" s="20">
        <f t="shared" si="13"/>
        <v>0</v>
      </c>
      <c r="BU170" s="27">
        <v>206280429</v>
      </c>
      <c r="BV170" s="27">
        <v>206280429</v>
      </c>
      <c r="BW170" s="27">
        <v>0</v>
      </c>
      <c r="BX170" s="27">
        <v>0</v>
      </c>
      <c r="BY170" s="28">
        <f t="shared" si="149"/>
        <v>0</v>
      </c>
      <c r="BZ170" s="27">
        <v>0</v>
      </c>
      <c r="CA170" s="20">
        <v>700000000</v>
      </c>
      <c r="CB170" s="29">
        <v>700000000</v>
      </c>
      <c r="CC170" s="29">
        <v>0</v>
      </c>
      <c r="CD170" s="29">
        <v>1400000000</v>
      </c>
    </row>
    <row r="171" spans="1:82" ht="58.5" customHeight="1">
      <c r="A171" s="12" t="s">
        <v>851</v>
      </c>
      <c r="B171" s="13">
        <v>0.432</v>
      </c>
      <c r="C171" s="12"/>
      <c r="D171" s="14">
        <v>22</v>
      </c>
      <c r="E171" s="14">
        <v>2201</v>
      </c>
      <c r="F171" s="14">
        <v>23</v>
      </c>
      <c r="G171" s="14" t="s">
        <v>852</v>
      </c>
      <c r="H171" s="14"/>
      <c r="I171" s="14">
        <v>23.1</v>
      </c>
      <c r="J171" s="14" t="s">
        <v>853</v>
      </c>
      <c r="K171" s="14" t="s">
        <v>854</v>
      </c>
      <c r="L171" s="14" t="s">
        <v>855</v>
      </c>
      <c r="M171" s="14" t="s">
        <v>856</v>
      </c>
      <c r="N171" s="14" t="s">
        <v>857</v>
      </c>
      <c r="O171" s="14">
        <v>2201017</v>
      </c>
      <c r="P171" s="17">
        <v>2024257990023</v>
      </c>
      <c r="Q171" s="14" t="s">
        <v>858</v>
      </c>
      <c r="R171" s="18">
        <v>170</v>
      </c>
      <c r="S171" s="14" t="s">
        <v>890</v>
      </c>
      <c r="T171" s="14">
        <v>0</v>
      </c>
      <c r="U171" s="14" t="s">
        <v>88</v>
      </c>
      <c r="V171" s="14" t="s">
        <v>89</v>
      </c>
      <c r="W171" s="14" t="s">
        <v>891</v>
      </c>
      <c r="X171" s="14" t="s">
        <v>837</v>
      </c>
      <c r="Y171" s="22" t="s">
        <v>124</v>
      </c>
      <c r="Z171" s="40">
        <f t="shared" si="625"/>
        <v>4</v>
      </c>
      <c r="AA171" s="20">
        <f t="shared" si="1"/>
        <v>0.25</v>
      </c>
      <c r="AB171" s="20">
        <f t="shared" si="2"/>
        <v>0.125</v>
      </c>
      <c r="AC171" s="21"/>
      <c r="AD171" s="21"/>
      <c r="AE171" s="21">
        <f t="shared" si="3"/>
        <v>8.1249999999999989E-2</v>
      </c>
      <c r="AF171" s="22">
        <v>1</v>
      </c>
      <c r="AG171" s="22">
        <v>1</v>
      </c>
      <c r="AH171" s="22">
        <v>1</v>
      </c>
      <c r="AI171" s="22">
        <v>1</v>
      </c>
      <c r="AJ171" s="26"/>
      <c r="AK171" s="26"/>
      <c r="AL171" s="26"/>
      <c r="AM171" s="26"/>
      <c r="AN171" s="26">
        <v>0.2</v>
      </c>
      <c r="AO171" s="26">
        <v>0.2</v>
      </c>
      <c r="AP171" s="26">
        <v>0.8</v>
      </c>
      <c r="AQ171" s="26">
        <v>0.8</v>
      </c>
      <c r="AR171" s="22">
        <f t="shared" ref="AR171:AS171" si="628">(AJ171+AL171+AN171+AP171)</f>
        <v>1</v>
      </c>
      <c r="AS171" s="22">
        <f t="shared" si="628"/>
        <v>1</v>
      </c>
      <c r="AT171" s="22">
        <f t="shared" ref="AT171:AT183" si="629">AS171/AR171</f>
        <v>1</v>
      </c>
      <c r="AU171" s="23" t="str">
        <f t="shared" ref="AU171:AU195" si="630">MIN((AR171 /AR171) * 100, 100) &amp; "%"</f>
        <v>100%</v>
      </c>
      <c r="AV171" s="24">
        <f t="shared" si="7"/>
        <v>1</v>
      </c>
      <c r="AW171" s="14" t="s">
        <v>92</v>
      </c>
      <c r="AX171" s="30" t="s">
        <v>892</v>
      </c>
      <c r="AY171" s="46">
        <v>0</v>
      </c>
      <c r="AZ171" s="46">
        <v>0</v>
      </c>
      <c r="BA171" s="46">
        <v>0.1</v>
      </c>
      <c r="BB171" s="46">
        <v>0.1</v>
      </c>
      <c r="BC171" s="46">
        <v>0.4</v>
      </c>
      <c r="BD171" s="46">
        <v>0.4</v>
      </c>
      <c r="BE171" s="46">
        <v>0.5</v>
      </c>
      <c r="BF171" s="26"/>
      <c r="BG171" s="22">
        <f t="shared" ref="BG171:BH171" si="631">(AY171+BA171+BC171+BE171)</f>
        <v>1</v>
      </c>
      <c r="BH171" s="22">
        <f t="shared" si="631"/>
        <v>0.5</v>
      </c>
      <c r="BI171" s="22">
        <f t="shared" si="591"/>
        <v>0.5</v>
      </c>
      <c r="BJ171" s="23" t="str">
        <f t="shared" si="592"/>
        <v>100%</v>
      </c>
      <c r="BK171" s="24">
        <f t="shared" si="410"/>
        <v>0.5</v>
      </c>
      <c r="BL171" s="22" t="s">
        <v>92</v>
      </c>
      <c r="BM171" s="25" t="s">
        <v>892</v>
      </c>
      <c r="BN171" s="27">
        <v>117000000</v>
      </c>
      <c r="BO171" s="27">
        <v>0</v>
      </c>
      <c r="BP171" s="27">
        <v>20000000</v>
      </c>
      <c r="BQ171" s="27">
        <v>20000000</v>
      </c>
      <c r="BR171" s="27">
        <f t="shared" ref="BR171:BS171" si="632">+BN171+BP171</f>
        <v>137000000</v>
      </c>
      <c r="BS171" s="27">
        <f t="shared" si="632"/>
        <v>20000000</v>
      </c>
      <c r="BT171" s="20">
        <f t="shared" si="13"/>
        <v>0.145985401459854</v>
      </c>
      <c r="BU171" s="27">
        <v>117000000</v>
      </c>
      <c r="BV171" s="27">
        <v>117000000</v>
      </c>
      <c r="BW171" s="27">
        <v>115637560</v>
      </c>
      <c r="BX171" s="27">
        <v>0</v>
      </c>
      <c r="BY171" s="28">
        <f t="shared" si="149"/>
        <v>0.98835521367521373</v>
      </c>
      <c r="BZ171" s="27">
        <v>20000000</v>
      </c>
      <c r="CA171" s="20">
        <v>20400000</v>
      </c>
      <c r="CB171" s="29">
        <v>20808000</v>
      </c>
      <c r="CC171" s="29">
        <v>21432240</v>
      </c>
      <c r="CD171" s="29">
        <v>82640240</v>
      </c>
    </row>
    <row r="172" spans="1:82" ht="44.25" customHeight="1">
      <c r="A172" s="12" t="s">
        <v>851</v>
      </c>
      <c r="B172" s="13">
        <v>0.432</v>
      </c>
      <c r="C172" s="12"/>
      <c r="D172" s="14">
        <v>22</v>
      </c>
      <c r="E172" s="14">
        <v>2201</v>
      </c>
      <c r="F172" s="14">
        <v>23</v>
      </c>
      <c r="G172" s="14" t="s">
        <v>852</v>
      </c>
      <c r="H172" s="14"/>
      <c r="I172" s="14">
        <v>23.2</v>
      </c>
      <c r="J172" s="14" t="s">
        <v>893</v>
      </c>
      <c r="K172" s="14" t="s">
        <v>894</v>
      </c>
      <c r="L172" s="14" t="s">
        <v>895</v>
      </c>
      <c r="M172" s="14" t="s">
        <v>896</v>
      </c>
      <c r="N172" s="14" t="s">
        <v>897</v>
      </c>
      <c r="O172" s="16">
        <v>2201072</v>
      </c>
      <c r="P172" s="17">
        <v>2024257990024</v>
      </c>
      <c r="Q172" s="14" t="s">
        <v>898</v>
      </c>
      <c r="R172" s="18">
        <v>171</v>
      </c>
      <c r="S172" s="14" t="s">
        <v>899</v>
      </c>
      <c r="T172" s="14">
        <v>1</v>
      </c>
      <c r="U172" s="14" t="s">
        <v>88</v>
      </c>
      <c r="V172" s="14" t="s">
        <v>114</v>
      </c>
      <c r="W172" s="14" t="s">
        <v>900</v>
      </c>
      <c r="X172" s="14" t="s">
        <v>837</v>
      </c>
      <c r="Y172" s="22" t="s">
        <v>124</v>
      </c>
      <c r="Z172" s="17">
        <f>SUM(AF172:AI172)/4</f>
        <v>3</v>
      </c>
      <c r="AA172" s="20">
        <f t="shared" si="1"/>
        <v>0</v>
      </c>
      <c r="AB172" s="20">
        <f t="shared" si="2"/>
        <v>0.30555555555555552</v>
      </c>
      <c r="AC172" s="21"/>
      <c r="AD172" s="21"/>
      <c r="AE172" s="21">
        <f t="shared" si="3"/>
        <v>0.10694444444444443</v>
      </c>
      <c r="AF172" s="14">
        <v>3</v>
      </c>
      <c r="AG172" s="14">
        <v>3</v>
      </c>
      <c r="AH172" s="14">
        <v>3</v>
      </c>
      <c r="AI172" s="14">
        <v>3</v>
      </c>
      <c r="AJ172" s="26"/>
      <c r="AK172" s="26"/>
      <c r="AL172" s="26"/>
      <c r="AM172" s="26"/>
      <c r="AN172" s="26">
        <v>0.2</v>
      </c>
      <c r="AO172" s="24">
        <v>0</v>
      </c>
      <c r="AP172" s="26">
        <v>0.8</v>
      </c>
      <c r="AQ172" s="24">
        <v>0</v>
      </c>
      <c r="AR172" s="22">
        <f t="shared" ref="AR172:AS172" si="633">(AJ172+AL172+AN172+AP172)</f>
        <v>1</v>
      </c>
      <c r="AS172" s="22">
        <f t="shared" si="633"/>
        <v>0</v>
      </c>
      <c r="AT172" s="22">
        <f t="shared" si="629"/>
        <v>0</v>
      </c>
      <c r="AU172" s="23" t="str">
        <f t="shared" si="630"/>
        <v>100%</v>
      </c>
      <c r="AV172" s="24">
        <f t="shared" si="7"/>
        <v>0</v>
      </c>
      <c r="AW172" s="14" t="s">
        <v>92</v>
      </c>
      <c r="AX172" s="30" t="s">
        <v>901</v>
      </c>
      <c r="AY172" s="26">
        <v>0</v>
      </c>
      <c r="AZ172" s="26">
        <v>0</v>
      </c>
      <c r="BA172" s="26">
        <v>3</v>
      </c>
      <c r="BB172" s="26">
        <v>3</v>
      </c>
      <c r="BC172" s="26">
        <v>3</v>
      </c>
      <c r="BD172" s="26">
        <v>2.5</v>
      </c>
      <c r="BE172" s="26">
        <v>3</v>
      </c>
      <c r="BF172" s="26"/>
      <c r="BG172" s="22">
        <f>(AY172+BA172+BC172+BE172)/3</f>
        <v>3</v>
      </c>
      <c r="BH172" s="22">
        <f>(AZ172+BB172+BD172+BF172)/2</f>
        <v>2.75</v>
      </c>
      <c r="BI172" s="22">
        <f t="shared" si="591"/>
        <v>0.91666666666666663</v>
      </c>
      <c r="BJ172" s="23" t="str">
        <f t="shared" si="592"/>
        <v>100%</v>
      </c>
      <c r="BK172" s="24">
        <f t="shared" si="410"/>
        <v>0.91666666666666663</v>
      </c>
      <c r="BL172" s="22" t="s">
        <v>92</v>
      </c>
      <c r="BM172" s="25" t="s">
        <v>901</v>
      </c>
      <c r="BN172" s="27">
        <v>51000000</v>
      </c>
      <c r="BO172" s="27">
        <v>51000000</v>
      </c>
      <c r="BP172" s="27">
        <v>0</v>
      </c>
      <c r="BQ172" s="27">
        <v>0</v>
      </c>
      <c r="BR172" s="27">
        <f t="shared" ref="BR172:BS172" si="634">+BN172+BP172</f>
        <v>51000000</v>
      </c>
      <c r="BS172" s="27">
        <f t="shared" si="634"/>
        <v>51000000</v>
      </c>
      <c r="BT172" s="20">
        <f t="shared" si="13"/>
        <v>1</v>
      </c>
      <c r="BU172" s="27">
        <v>51000000</v>
      </c>
      <c r="BV172" s="27">
        <v>301000000</v>
      </c>
      <c r="BW172" s="27">
        <v>51000000</v>
      </c>
      <c r="BX172" s="27">
        <v>51000000</v>
      </c>
      <c r="BY172" s="28">
        <f t="shared" si="149"/>
        <v>0.16943521594684385</v>
      </c>
      <c r="BZ172" s="27">
        <v>50000000</v>
      </c>
      <c r="CA172" s="20">
        <v>51000000</v>
      </c>
      <c r="CB172" s="29">
        <v>52020000</v>
      </c>
      <c r="CC172" s="29">
        <v>53580600</v>
      </c>
      <c r="CD172" s="29">
        <v>206600600</v>
      </c>
    </row>
    <row r="173" spans="1:82" ht="68.25" customHeight="1">
      <c r="A173" s="12" t="s">
        <v>851</v>
      </c>
      <c r="B173" s="13">
        <v>0.432</v>
      </c>
      <c r="C173" s="12"/>
      <c r="D173" s="14">
        <v>22</v>
      </c>
      <c r="E173" s="14">
        <v>2201</v>
      </c>
      <c r="F173" s="14">
        <v>23</v>
      </c>
      <c r="G173" s="14" t="s">
        <v>852</v>
      </c>
      <c r="H173" s="14"/>
      <c r="I173" s="14">
        <v>23.2</v>
      </c>
      <c r="J173" s="14" t="s">
        <v>893</v>
      </c>
      <c r="K173" s="14" t="s">
        <v>894</v>
      </c>
      <c r="L173" s="14" t="s">
        <v>895</v>
      </c>
      <c r="M173" s="14" t="s">
        <v>896</v>
      </c>
      <c r="N173" s="14" t="s">
        <v>897</v>
      </c>
      <c r="O173" s="16">
        <v>2201067</v>
      </c>
      <c r="P173" s="17">
        <v>2024257990024</v>
      </c>
      <c r="Q173" s="14" t="s">
        <v>898</v>
      </c>
      <c r="R173" s="18">
        <v>172</v>
      </c>
      <c r="S173" s="14" t="s">
        <v>902</v>
      </c>
      <c r="T173" s="14">
        <v>400</v>
      </c>
      <c r="U173" s="14" t="s">
        <v>88</v>
      </c>
      <c r="V173" s="14" t="s">
        <v>89</v>
      </c>
      <c r="W173" s="14" t="s">
        <v>903</v>
      </c>
      <c r="X173" s="14" t="s">
        <v>837</v>
      </c>
      <c r="Y173" s="22" t="s">
        <v>124</v>
      </c>
      <c r="Z173" s="17">
        <f t="shared" ref="Z173:Z174" si="635">SUM(AF173:AI173)</f>
        <v>500</v>
      </c>
      <c r="AA173" s="20">
        <f t="shared" si="1"/>
        <v>0.25</v>
      </c>
      <c r="AB173" s="20">
        <f t="shared" si="2"/>
        <v>5.3333333333333332E-3</v>
      </c>
      <c r="AC173" s="21"/>
      <c r="AD173" s="21"/>
      <c r="AE173" s="21">
        <f t="shared" si="3"/>
        <v>3.9366666666666668E-2</v>
      </c>
      <c r="AF173" s="29">
        <v>125</v>
      </c>
      <c r="AG173" s="29">
        <v>125</v>
      </c>
      <c r="AH173" s="29">
        <v>125</v>
      </c>
      <c r="AI173" s="29">
        <v>125</v>
      </c>
      <c r="AJ173" s="26"/>
      <c r="AK173" s="26"/>
      <c r="AL173" s="26"/>
      <c r="AM173" s="26"/>
      <c r="AN173" s="26">
        <v>100</v>
      </c>
      <c r="AO173" s="26">
        <v>100</v>
      </c>
      <c r="AP173" s="26">
        <v>25</v>
      </c>
      <c r="AQ173" s="26">
        <v>25</v>
      </c>
      <c r="AR173" s="29">
        <f t="shared" ref="AR173:AS173" si="636">(AJ173+AL173+AN173+AP173)</f>
        <v>125</v>
      </c>
      <c r="AS173" s="22">
        <f t="shared" si="636"/>
        <v>125</v>
      </c>
      <c r="AT173" s="22">
        <f t="shared" si="629"/>
        <v>1</v>
      </c>
      <c r="AU173" s="23" t="str">
        <f t="shared" si="630"/>
        <v>100%</v>
      </c>
      <c r="AV173" s="24">
        <f t="shared" si="7"/>
        <v>1</v>
      </c>
      <c r="AW173" s="14" t="s">
        <v>92</v>
      </c>
      <c r="AX173" s="30" t="s">
        <v>904</v>
      </c>
      <c r="AY173" s="26">
        <v>200</v>
      </c>
      <c r="AZ173" s="26">
        <v>150</v>
      </c>
      <c r="BA173" s="26">
        <v>50</v>
      </c>
      <c r="BB173" s="26">
        <v>100</v>
      </c>
      <c r="BC173" s="26">
        <v>100</v>
      </c>
      <c r="BD173" s="26">
        <v>50</v>
      </c>
      <c r="BE173" s="26">
        <v>100</v>
      </c>
      <c r="BF173" s="26"/>
      <c r="BG173" s="22">
        <f>(AY173+BA173+BC173+BE173)/4</f>
        <v>112.5</v>
      </c>
      <c r="BH173" s="22">
        <f>(AZ173+BB173+BD173+BF173)</f>
        <v>300</v>
      </c>
      <c r="BI173" s="22">
        <f t="shared" si="591"/>
        <v>2.6666666666666665</v>
      </c>
      <c r="BJ173" s="23" t="str">
        <f t="shared" si="592"/>
        <v>100%</v>
      </c>
      <c r="BK173" s="24">
        <f t="shared" si="410"/>
        <v>2.6666666666666665</v>
      </c>
      <c r="BL173" s="22" t="s">
        <v>92</v>
      </c>
      <c r="BM173" s="25" t="s">
        <v>904</v>
      </c>
      <c r="BN173" s="27">
        <v>250000000</v>
      </c>
      <c r="BO173" s="27">
        <v>116513333</v>
      </c>
      <c r="BP173" s="27">
        <v>346423133</v>
      </c>
      <c r="BQ173" s="27">
        <v>346423133</v>
      </c>
      <c r="BR173" s="27">
        <f t="shared" ref="BR173:BS173" si="637">+BN173+BP173</f>
        <v>596423133</v>
      </c>
      <c r="BS173" s="27">
        <f t="shared" si="637"/>
        <v>462936466</v>
      </c>
      <c r="BT173" s="20">
        <f t="shared" si="13"/>
        <v>0.77618797861081623</v>
      </c>
      <c r="BU173" s="27">
        <v>250000000</v>
      </c>
      <c r="BV173" s="27">
        <v>454792202</v>
      </c>
      <c r="BW173" s="27">
        <v>454506593</v>
      </c>
      <c r="BX173" s="27">
        <v>115373333</v>
      </c>
      <c r="BY173" s="28">
        <f t="shared" si="149"/>
        <v>0.99937200110568303</v>
      </c>
      <c r="BZ173" s="27">
        <v>200000000</v>
      </c>
      <c r="CA173" s="20">
        <v>204000000</v>
      </c>
      <c r="CB173" s="29">
        <v>208080000</v>
      </c>
      <c r="CC173" s="29">
        <v>214322400</v>
      </c>
      <c r="CD173" s="29">
        <v>826402400</v>
      </c>
    </row>
    <row r="174" spans="1:82" ht="73.5" customHeight="1">
      <c r="A174" s="12" t="s">
        <v>851</v>
      </c>
      <c r="B174" s="13">
        <v>0.432</v>
      </c>
      <c r="C174" s="12"/>
      <c r="D174" s="14">
        <v>22</v>
      </c>
      <c r="E174" s="14">
        <v>2201</v>
      </c>
      <c r="F174" s="14">
        <v>23</v>
      </c>
      <c r="G174" s="14" t="s">
        <v>852</v>
      </c>
      <c r="H174" s="14"/>
      <c r="I174" s="14">
        <v>23.2</v>
      </c>
      <c r="J174" s="14" t="s">
        <v>893</v>
      </c>
      <c r="K174" s="14" t="s">
        <v>894</v>
      </c>
      <c r="L174" s="14" t="s">
        <v>895</v>
      </c>
      <c r="M174" s="14" t="s">
        <v>896</v>
      </c>
      <c r="N174" s="14" t="s">
        <v>897</v>
      </c>
      <c r="O174" s="16">
        <v>2201001</v>
      </c>
      <c r="P174" s="17">
        <v>2024257990024</v>
      </c>
      <c r="Q174" s="14" t="s">
        <v>898</v>
      </c>
      <c r="R174" s="18">
        <v>173</v>
      </c>
      <c r="S174" s="14" t="s">
        <v>905</v>
      </c>
      <c r="T174" s="14">
        <v>0</v>
      </c>
      <c r="U174" s="14" t="s">
        <v>109</v>
      </c>
      <c r="V174" s="14" t="s">
        <v>89</v>
      </c>
      <c r="W174" s="14" t="s">
        <v>906</v>
      </c>
      <c r="X174" s="14" t="s">
        <v>837</v>
      </c>
      <c r="Y174" s="22"/>
      <c r="Z174" s="20">
        <f t="shared" si="635"/>
        <v>0.39999999999999997</v>
      </c>
      <c r="AA174" s="20">
        <f t="shared" si="1"/>
        <v>0.1</v>
      </c>
      <c r="AB174" s="20">
        <f t="shared" si="2"/>
        <v>1.7045454545454548</v>
      </c>
      <c r="AC174" s="21"/>
      <c r="AD174" s="21"/>
      <c r="AE174" s="21">
        <f t="shared" si="3"/>
        <v>0.61159090909090918</v>
      </c>
      <c r="AF174" s="24">
        <v>0.04</v>
      </c>
      <c r="AG174" s="24">
        <v>0.22</v>
      </c>
      <c r="AH174" s="24">
        <v>0.1</v>
      </c>
      <c r="AI174" s="24">
        <v>0.04</v>
      </c>
      <c r="AJ174" s="26"/>
      <c r="AK174" s="26"/>
      <c r="AL174" s="26"/>
      <c r="AM174" s="26"/>
      <c r="AN174" s="24">
        <v>0.04</v>
      </c>
      <c r="AO174" s="24">
        <v>0.04</v>
      </c>
      <c r="AP174" s="24">
        <v>0.04</v>
      </c>
      <c r="AQ174" s="24">
        <v>0.04</v>
      </c>
      <c r="AR174" s="24">
        <f t="shared" ref="AR174:AS174" si="638">(AJ174+AL174+AN174+AP174)/2</f>
        <v>0.04</v>
      </c>
      <c r="AS174" s="24">
        <f t="shared" si="638"/>
        <v>0.04</v>
      </c>
      <c r="AT174" s="24">
        <f t="shared" si="629"/>
        <v>1</v>
      </c>
      <c r="AU174" s="23" t="str">
        <f t="shared" si="630"/>
        <v>100%</v>
      </c>
      <c r="AV174" s="24">
        <f t="shared" si="7"/>
        <v>1</v>
      </c>
      <c r="AW174" s="14" t="s">
        <v>92</v>
      </c>
      <c r="AX174" s="30" t="s">
        <v>907</v>
      </c>
      <c r="AY174" s="24">
        <v>0.05</v>
      </c>
      <c r="AZ174" s="24">
        <v>0.05</v>
      </c>
      <c r="BA174" s="24">
        <v>0.05</v>
      </c>
      <c r="BB174" s="24">
        <v>0.05</v>
      </c>
      <c r="BC174" s="24">
        <v>0.05</v>
      </c>
      <c r="BD174" s="24">
        <v>0.05</v>
      </c>
      <c r="BE174" s="24">
        <v>7.0000000000000007E-2</v>
      </c>
      <c r="BF174" s="26"/>
      <c r="BG174" s="20">
        <f t="shared" ref="BG174:BH174" si="639">(AY174+BA174+BC174+BE174)</f>
        <v>0.22000000000000003</v>
      </c>
      <c r="BH174" s="20">
        <f t="shared" si="639"/>
        <v>0.15000000000000002</v>
      </c>
      <c r="BI174" s="20">
        <f t="shared" si="591"/>
        <v>0.68181818181818188</v>
      </c>
      <c r="BJ174" s="23" t="str">
        <f t="shared" si="592"/>
        <v>100%</v>
      </c>
      <c r="BK174" s="24">
        <f t="shared" si="410"/>
        <v>0.68181818181818188</v>
      </c>
      <c r="BL174" s="22" t="s">
        <v>92</v>
      </c>
      <c r="BM174" s="25" t="s">
        <v>907</v>
      </c>
      <c r="BN174" s="27">
        <v>33660000</v>
      </c>
      <c r="BO174" s="27">
        <v>0</v>
      </c>
      <c r="BP174" s="27">
        <v>0</v>
      </c>
      <c r="BQ174" s="27">
        <v>0</v>
      </c>
      <c r="BR174" s="27">
        <f t="shared" ref="BR174:BS174" si="640">+BN174+BP174</f>
        <v>33660000</v>
      </c>
      <c r="BS174" s="27">
        <f t="shared" si="640"/>
        <v>0</v>
      </c>
      <c r="BT174" s="20">
        <f t="shared" si="13"/>
        <v>0</v>
      </c>
      <c r="BU174" s="27">
        <v>33660000</v>
      </c>
      <c r="BV174" s="27"/>
      <c r="BW174" s="27"/>
      <c r="BX174" s="27"/>
      <c r="BY174" s="28" t="str">
        <f t="shared" si="149"/>
        <v/>
      </c>
      <c r="BZ174" s="27">
        <v>33000000</v>
      </c>
      <c r="CA174" s="20">
        <v>33660000</v>
      </c>
      <c r="CB174" s="29">
        <v>34333200</v>
      </c>
      <c r="CC174" s="29">
        <v>35363196</v>
      </c>
      <c r="CD174" s="29">
        <v>136356396</v>
      </c>
    </row>
    <row r="175" spans="1:82" ht="39" customHeight="1">
      <c r="A175" s="12" t="s">
        <v>851</v>
      </c>
      <c r="B175" s="13">
        <v>0.432</v>
      </c>
      <c r="C175" s="12"/>
      <c r="D175" s="14">
        <v>22</v>
      </c>
      <c r="E175" s="14">
        <v>2201</v>
      </c>
      <c r="F175" s="14">
        <v>23</v>
      </c>
      <c r="G175" s="14" t="s">
        <v>852</v>
      </c>
      <c r="H175" s="14"/>
      <c r="I175" s="14">
        <v>23.2</v>
      </c>
      <c r="J175" s="14" t="s">
        <v>893</v>
      </c>
      <c r="K175" s="14" t="s">
        <v>894</v>
      </c>
      <c r="L175" s="14" t="s">
        <v>895</v>
      </c>
      <c r="M175" s="14" t="s">
        <v>896</v>
      </c>
      <c r="N175" s="14" t="s">
        <v>897</v>
      </c>
      <c r="O175" s="16">
        <v>2201017</v>
      </c>
      <c r="P175" s="17">
        <v>2024257990024</v>
      </c>
      <c r="Q175" s="14" t="s">
        <v>898</v>
      </c>
      <c r="R175" s="18">
        <v>174</v>
      </c>
      <c r="S175" s="14" t="s">
        <v>908</v>
      </c>
      <c r="T175" s="14">
        <v>1</v>
      </c>
      <c r="U175" s="14" t="s">
        <v>88</v>
      </c>
      <c r="V175" s="14" t="s">
        <v>114</v>
      </c>
      <c r="W175" s="14" t="s">
        <v>909</v>
      </c>
      <c r="X175" s="14" t="s">
        <v>837</v>
      </c>
      <c r="Y175" s="22"/>
      <c r="Z175" s="24">
        <f t="shared" ref="Z175:Z176" si="641">SUM(AF175:AI175)/4</f>
        <v>1</v>
      </c>
      <c r="AA175" s="20">
        <f t="shared" si="1"/>
        <v>1</v>
      </c>
      <c r="AB175" s="20">
        <f t="shared" si="2"/>
        <v>1</v>
      </c>
      <c r="AC175" s="21"/>
      <c r="AD175" s="21"/>
      <c r="AE175" s="21">
        <f t="shared" si="3"/>
        <v>0.5</v>
      </c>
      <c r="AF175" s="24">
        <v>1</v>
      </c>
      <c r="AG175" s="24">
        <v>1</v>
      </c>
      <c r="AH175" s="24">
        <v>1</v>
      </c>
      <c r="AI175" s="24">
        <v>1</v>
      </c>
      <c r="AJ175" s="26"/>
      <c r="AK175" s="26"/>
      <c r="AL175" s="26"/>
      <c r="AM175" s="26"/>
      <c r="AN175" s="24">
        <v>1</v>
      </c>
      <c r="AO175" s="24">
        <v>1</v>
      </c>
      <c r="AP175" s="24">
        <v>1</v>
      </c>
      <c r="AQ175" s="24">
        <v>1</v>
      </c>
      <c r="AR175" s="24">
        <f t="shared" ref="AR175:AS175" si="642">(AJ175+AL175+AN175+AP175)/2</f>
        <v>1</v>
      </c>
      <c r="AS175" s="24">
        <f t="shared" si="642"/>
        <v>1</v>
      </c>
      <c r="AT175" s="24">
        <f t="shared" si="629"/>
        <v>1</v>
      </c>
      <c r="AU175" s="23" t="str">
        <f t="shared" si="630"/>
        <v>100%</v>
      </c>
      <c r="AV175" s="24">
        <f t="shared" si="7"/>
        <v>1</v>
      </c>
      <c r="AW175" s="14" t="s">
        <v>92</v>
      </c>
      <c r="AX175" s="30" t="s">
        <v>910</v>
      </c>
      <c r="AY175" s="24">
        <v>0</v>
      </c>
      <c r="AZ175" s="26">
        <v>0</v>
      </c>
      <c r="BA175" s="24">
        <v>1</v>
      </c>
      <c r="BB175" s="24">
        <v>1</v>
      </c>
      <c r="BC175" s="24">
        <v>0</v>
      </c>
      <c r="BD175" s="26">
        <v>0</v>
      </c>
      <c r="BE175" s="24">
        <v>0</v>
      </c>
      <c r="BF175" s="26"/>
      <c r="BG175" s="20">
        <f t="shared" ref="BG175:BH175" si="643">(AY175+BA175+BC175+BE175)</f>
        <v>1</v>
      </c>
      <c r="BH175" s="20">
        <f t="shared" si="643"/>
        <v>1</v>
      </c>
      <c r="BI175" s="20">
        <f t="shared" si="591"/>
        <v>1</v>
      </c>
      <c r="BJ175" s="23" t="str">
        <f t="shared" si="592"/>
        <v>100%</v>
      </c>
      <c r="BK175" s="24">
        <f t="shared" si="410"/>
        <v>1</v>
      </c>
      <c r="BL175" s="22" t="s">
        <v>92</v>
      </c>
      <c r="BM175" s="25" t="s">
        <v>910</v>
      </c>
      <c r="BN175" s="27">
        <v>318679422</v>
      </c>
      <c r="BO175" s="27">
        <v>0</v>
      </c>
      <c r="BP175" s="27">
        <v>318679422</v>
      </c>
      <c r="BQ175" s="27">
        <v>318679422</v>
      </c>
      <c r="BR175" s="27">
        <f t="shared" ref="BR175:BS175" si="644">+BN175+BP175</f>
        <v>637358844</v>
      </c>
      <c r="BS175" s="27">
        <f t="shared" si="644"/>
        <v>318679422</v>
      </c>
      <c r="BT175" s="20">
        <f t="shared" si="13"/>
        <v>0.5</v>
      </c>
      <c r="BU175" s="27">
        <v>318679422</v>
      </c>
      <c r="BV175" s="27">
        <v>497753511</v>
      </c>
      <c r="BW175" s="27">
        <v>497753511</v>
      </c>
      <c r="BX175" s="27">
        <v>497753511</v>
      </c>
      <c r="BY175" s="28">
        <f t="shared" si="149"/>
        <v>1</v>
      </c>
      <c r="BZ175" s="27">
        <v>218450675</v>
      </c>
      <c r="CA175" s="20">
        <v>227188702</v>
      </c>
      <c r="CB175" s="29">
        <v>236276250</v>
      </c>
      <c r="CC175" s="29">
        <v>245727300</v>
      </c>
      <c r="CD175" s="29">
        <v>927642927</v>
      </c>
    </row>
    <row r="176" spans="1:82" ht="69.75" customHeight="1">
      <c r="A176" s="12" t="s">
        <v>851</v>
      </c>
      <c r="B176" s="13">
        <v>0.432</v>
      </c>
      <c r="C176" s="12"/>
      <c r="D176" s="14">
        <v>22</v>
      </c>
      <c r="E176" s="14">
        <v>2201</v>
      </c>
      <c r="F176" s="14">
        <v>23</v>
      </c>
      <c r="G176" s="14" t="s">
        <v>852</v>
      </c>
      <c r="H176" s="14"/>
      <c r="I176" s="14">
        <v>23.2</v>
      </c>
      <c r="J176" s="14" t="s">
        <v>893</v>
      </c>
      <c r="K176" s="14" t="s">
        <v>894</v>
      </c>
      <c r="L176" s="14" t="s">
        <v>895</v>
      </c>
      <c r="M176" s="14" t="s">
        <v>896</v>
      </c>
      <c r="N176" s="14" t="s">
        <v>897</v>
      </c>
      <c r="O176" s="16">
        <v>2201049</v>
      </c>
      <c r="P176" s="17">
        <v>2024257990024</v>
      </c>
      <c r="Q176" s="14" t="s">
        <v>898</v>
      </c>
      <c r="R176" s="18">
        <v>175</v>
      </c>
      <c r="S176" s="14" t="s">
        <v>911</v>
      </c>
      <c r="T176" s="14">
        <v>0</v>
      </c>
      <c r="U176" s="14" t="s">
        <v>109</v>
      </c>
      <c r="V176" s="14" t="s">
        <v>89</v>
      </c>
      <c r="W176" s="14" t="s">
        <v>912</v>
      </c>
      <c r="X176" s="14" t="s">
        <v>837</v>
      </c>
      <c r="Y176" s="22"/>
      <c r="Z176" s="24">
        <f t="shared" si="641"/>
        <v>1</v>
      </c>
      <c r="AA176" s="20">
        <f t="shared" si="1"/>
        <v>0</v>
      </c>
      <c r="AB176" s="20">
        <f t="shared" si="2"/>
        <v>0.8</v>
      </c>
      <c r="AC176" s="21"/>
      <c r="AD176" s="21"/>
      <c r="AE176" s="21">
        <f t="shared" si="3"/>
        <v>0.27999999999999997</v>
      </c>
      <c r="AF176" s="24">
        <v>1</v>
      </c>
      <c r="AG176" s="24">
        <v>1</v>
      </c>
      <c r="AH176" s="24">
        <v>1</v>
      </c>
      <c r="AI176" s="24">
        <v>1</v>
      </c>
      <c r="AJ176" s="26"/>
      <c r="AK176" s="26"/>
      <c r="AL176" s="26"/>
      <c r="AM176" s="26"/>
      <c r="AN176" s="24">
        <v>0.2</v>
      </c>
      <c r="AO176" s="24">
        <v>0</v>
      </c>
      <c r="AP176" s="24">
        <v>0.8</v>
      </c>
      <c r="AQ176" s="24">
        <v>0</v>
      </c>
      <c r="AR176" s="24">
        <f t="shared" ref="AR176:AS176" si="645">(AJ176+AL176+AN176+AP176)</f>
        <v>1</v>
      </c>
      <c r="AS176" s="24">
        <f t="shared" si="645"/>
        <v>0</v>
      </c>
      <c r="AT176" s="22">
        <f t="shared" si="629"/>
        <v>0</v>
      </c>
      <c r="AU176" s="23" t="str">
        <f t="shared" si="630"/>
        <v>100%</v>
      </c>
      <c r="AV176" s="24">
        <f t="shared" si="7"/>
        <v>0</v>
      </c>
      <c r="AW176" s="14" t="s">
        <v>92</v>
      </c>
      <c r="AX176" s="30" t="s">
        <v>913</v>
      </c>
      <c r="AY176" s="24">
        <v>0.05</v>
      </c>
      <c r="AZ176" s="24">
        <v>0.05</v>
      </c>
      <c r="BA176" s="24">
        <v>0.3</v>
      </c>
      <c r="BB176" s="24">
        <v>0.3</v>
      </c>
      <c r="BC176" s="24">
        <v>0.45</v>
      </c>
      <c r="BD176" s="24">
        <v>0.45</v>
      </c>
      <c r="BE176" s="24">
        <v>0.2</v>
      </c>
      <c r="BF176" s="26"/>
      <c r="BG176" s="20">
        <f t="shared" ref="BG176:BH176" si="646">(AY176+BA176+BC176+BE176)</f>
        <v>1</v>
      </c>
      <c r="BH176" s="20">
        <f t="shared" si="646"/>
        <v>0.8</v>
      </c>
      <c r="BI176" s="20">
        <f t="shared" si="591"/>
        <v>0.8</v>
      </c>
      <c r="BJ176" s="23" t="str">
        <f t="shared" si="592"/>
        <v>100%</v>
      </c>
      <c r="BK176" s="24">
        <f t="shared" si="410"/>
        <v>0.8</v>
      </c>
      <c r="BL176" s="22" t="s">
        <v>92</v>
      </c>
      <c r="BM176" s="25" t="s">
        <v>913</v>
      </c>
      <c r="BN176" s="27">
        <v>20400000</v>
      </c>
      <c r="BO176" s="27">
        <v>0</v>
      </c>
      <c r="BP176" s="27">
        <v>0</v>
      </c>
      <c r="BQ176" s="27">
        <v>0</v>
      </c>
      <c r="BR176" s="27">
        <f t="shared" ref="BR176:BS176" si="647">+BN176+BP176</f>
        <v>20400000</v>
      </c>
      <c r="BS176" s="27">
        <f t="shared" si="647"/>
        <v>0</v>
      </c>
      <c r="BT176" s="20">
        <f t="shared" si="13"/>
        <v>0</v>
      </c>
      <c r="BU176" s="27">
        <v>20400000</v>
      </c>
      <c r="BV176" s="27">
        <v>20400000</v>
      </c>
      <c r="BW176" s="27">
        <v>20400000</v>
      </c>
      <c r="BX176" s="27">
        <v>20400000</v>
      </c>
      <c r="BY176" s="28">
        <f t="shared" si="149"/>
        <v>1</v>
      </c>
      <c r="BZ176" s="27">
        <v>20000000</v>
      </c>
      <c r="CA176" s="20">
        <v>20400000</v>
      </c>
      <c r="CB176" s="29">
        <v>20808000</v>
      </c>
      <c r="CC176" s="29">
        <v>21432240</v>
      </c>
      <c r="CD176" s="29">
        <v>82640240</v>
      </c>
    </row>
    <row r="177" spans="1:82" ht="60.75" customHeight="1">
      <c r="A177" s="12" t="s">
        <v>851</v>
      </c>
      <c r="B177" s="13">
        <v>0.432</v>
      </c>
      <c r="C177" s="12"/>
      <c r="D177" s="14">
        <v>22</v>
      </c>
      <c r="E177" s="14">
        <v>2201</v>
      </c>
      <c r="F177" s="14">
        <v>23</v>
      </c>
      <c r="G177" s="14" t="s">
        <v>852</v>
      </c>
      <c r="H177" s="14"/>
      <c r="I177" s="14">
        <v>23.2</v>
      </c>
      <c r="J177" s="14" t="s">
        <v>893</v>
      </c>
      <c r="K177" s="14" t="s">
        <v>894</v>
      </c>
      <c r="L177" s="14" t="s">
        <v>895</v>
      </c>
      <c r="M177" s="14" t="s">
        <v>896</v>
      </c>
      <c r="N177" s="14" t="s">
        <v>897</v>
      </c>
      <c r="O177" s="16">
        <v>2201049</v>
      </c>
      <c r="P177" s="17">
        <v>2024257990024</v>
      </c>
      <c r="Q177" s="14" t="s">
        <v>898</v>
      </c>
      <c r="R177" s="18">
        <v>176</v>
      </c>
      <c r="S177" s="14" t="s">
        <v>914</v>
      </c>
      <c r="T177" s="14">
        <v>4</v>
      </c>
      <c r="U177" s="14" t="s">
        <v>88</v>
      </c>
      <c r="V177" s="14" t="s">
        <v>114</v>
      </c>
      <c r="W177" s="14" t="s">
        <v>915</v>
      </c>
      <c r="X177" s="14" t="s">
        <v>837</v>
      </c>
      <c r="Y177" s="22"/>
      <c r="Z177" s="18">
        <f t="shared" ref="Z177:Z181" si="648">SUM(AF177:AI177)</f>
        <v>4</v>
      </c>
      <c r="AA177" s="20">
        <f t="shared" si="1"/>
        <v>0.25</v>
      </c>
      <c r="AB177" s="20">
        <f t="shared" si="2"/>
        <v>0.25</v>
      </c>
      <c r="AC177" s="21"/>
      <c r="AD177" s="21"/>
      <c r="AE177" s="21">
        <f t="shared" si="3"/>
        <v>0.125</v>
      </c>
      <c r="AF177" s="29">
        <v>1</v>
      </c>
      <c r="AG177" s="29">
        <v>1</v>
      </c>
      <c r="AH177" s="29">
        <v>1</v>
      </c>
      <c r="AI177" s="29">
        <v>1</v>
      </c>
      <c r="AJ177" s="26"/>
      <c r="AK177" s="26"/>
      <c r="AL177" s="26"/>
      <c r="AM177" s="26"/>
      <c r="AN177" s="26">
        <v>1</v>
      </c>
      <c r="AO177" s="26">
        <v>1</v>
      </c>
      <c r="AP177" s="26">
        <v>1</v>
      </c>
      <c r="AQ177" s="26">
        <v>1</v>
      </c>
      <c r="AR177" s="24">
        <f t="shared" ref="AR177:AS177" si="649">(AJ177+AL177+AN177+AP177)/2</f>
        <v>1</v>
      </c>
      <c r="AS177" s="24">
        <f t="shared" si="649"/>
        <v>1</v>
      </c>
      <c r="AT177" s="22">
        <f t="shared" si="629"/>
        <v>1</v>
      </c>
      <c r="AU177" s="23" t="str">
        <f t="shared" si="630"/>
        <v>100%</v>
      </c>
      <c r="AV177" s="24">
        <f t="shared" si="7"/>
        <v>1</v>
      </c>
      <c r="AW177" s="14" t="s">
        <v>92</v>
      </c>
      <c r="AX177" s="30" t="s">
        <v>916</v>
      </c>
      <c r="AY177" s="46">
        <v>0.05</v>
      </c>
      <c r="AZ177" s="46">
        <v>0.05</v>
      </c>
      <c r="BA177" s="46">
        <v>0.4</v>
      </c>
      <c r="BB177" s="46">
        <v>0.4</v>
      </c>
      <c r="BC177" s="46">
        <v>0.55000000000000004</v>
      </c>
      <c r="BD177" s="46">
        <v>0.55000000000000004</v>
      </c>
      <c r="BE177" s="46">
        <v>0</v>
      </c>
      <c r="BF177" s="26"/>
      <c r="BG177" s="22">
        <f t="shared" ref="BG177:BH177" si="650">(AY177+BA177+BC177+BE177)</f>
        <v>1</v>
      </c>
      <c r="BH177" s="22">
        <f t="shared" si="650"/>
        <v>1</v>
      </c>
      <c r="BI177" s="22">
        <f t="shared" si="591"/>
        <v>1</v>
      </c>
      <c r="BJ177" s="23" t="str">
        <f t="shared" si="592"/>
        <v>100%</v>
      </c>
      <c r="BK177" s="24">
        <f t="shared" si="410"/>
        <v>1</v>
      </c>
      <c r="BL177" s="22" t="s">
        <v>92</v>
      </c>
      <c r="BM177" s="25" t="s">
        <v>916</v>
      </c>
      <c r="BN177" s="27">
        <v>112200000</v>
      </c>
      <c r="BO177" s="27">
        <v>0</v>
      </c>
      <c r="BP177" s="27">
        <v>0</v>
      </c>
      <c r="BQ177" s="27">
        <v>0</v>
      </c>
      <c r="BR177" s="27">
        <f t="shared" ref="BR177:BS177" si="651">+BN177+BP177</f>
        <v>112200000</v>
      </c>
      <c r="BS177" s="27">
        <f t="shared" si="651"/>
        <v>0</v>
      </c>
      <c r="BT177" s="20">
        <f t="shared" si="13"/>
        <v>0</v>
      </c>
      <c r="BU177" s="27">
        <v>112200000</v>
      </c>
      <c r="BV177" s="27">
        <v>112200000</v>
      </c>
      <c r="BW177" s="27">
        <v>112200000</v>
      </c>
      <c r="BX177" s="27">
        <v>104070000</v>
      </c>
      <c r="BY177" s="28">
        <f t="shared" si="149"/>
        <v>1</v>
      </c>
      <c r="BZ177" s="27">
        <v>110000000</v>
      </c>
      <c r="CA177" s="20">
        <v>112200000</v>
      </c>
      <c r="CB177" s="29">
        <v>114444000</v>
      </c>
      <c r="CC177" s="29">
        <v>117877320</v>
      </c>
      <c r="CD177" s="29">
        <v>454521320</v>
      </c>
    </row>
    <row r="178" spans="1:82" ht="49.5" customHeight="1">
      <c r="A178" s="12" t="s">
        <v>851</v>
      </c>
      <c r="B178" s="13">
        <v>0.432</v>
      </c>
      <c r="C178" s="12"/>
      <c r="D178" s="14">
        <v>22</v>
      </c>
      <c r="E178" s="14">
        <v>2201</v>
      </c>
      <c r="F178" s="14">
        <v>23</v>
      </c>
      <c r="G178" s="14" t="s">
        <v>852</v>
      </c>
      <c r="H178" s="14"/>
      <c r="I178" s="14">
        <v>23.2</v>
      </c>
      <c r="J178" s="14" t="s">
        <v>893</v>
      </c>
      <c r="K178" s="14" t="s">
        <v>894</v>
      </c>
      <c r="L178" s="14" t="s">
        <v>895</v>
      </c>
      <c r="M178" s="14" t="s">
        <v>896</v>
      </c>
      <c r="N178" s="14" t="s">
        <v>897</v>
      </c>
      <c r="O178" s="16">
        <v>2201034</v>
      </c>
      <c r="P178" s="17">
        <v>2024257990024</v>
      </c>
      <c r="Q178" s="14" t="s">
        <v>898</v>
      </c>
      <c r="R178" s="18">
        <v>177</v>
      </c>
      <c r="S178" s="14" t="s">
        <v>917</v>
      </c>
      <c r="T178" s="14">
        <v>350</v>
      </c>
      <c r="U178" s="14" t="s">
        <v>88</v>
      </c>
      <c r="V178" s="14" t="s">
        <v>89</v>
      </c>
      <c r="W178" s="14" t="s">
        <v>918</v>
      </c>
      <c r="X178" s="14" t="s">
        <v>837</v>
      </c>
      <c r="Y178" s="22"/>
      <c r="Z178" s="18">
        <f t="shared" si="648"/>
        <v>500</v>
      </c>
      <c r="AA178" s="20">
        <f t="shared" si="1"/>
        <v>0.2</v>
      </c>
      <c r="AB178" s="20">
        <f t="shared" si="2"/>
        <v>2.3857142857142857E-3</v>
      </c>
      <c r="AC178" s="21"/>
      <c r="AD178" s="21"/>
      <c r="AE178" s="21">
        <f t="shared" si="3"/>
        <v>3.0834999999999998E-2</v>
      </c>
      <c r="AF178" s="29">
        <v>100</v>
      </c>
      <c r="AG178" s="29">
        <v>140</v>
      </c>
      <c r="AH178" s="29">
        <v>130</v>
      </c>
      <c r="AI178" s="29">
        <v>130</v>
      </c>
      <c r="AJ178" s="26"/>
      <c r="AK178" s="26"/>
      <c r="AL178" s="26"/>
      <c r="AM178" s="26"/>
      <c r="AN178" s="26">
        <v>100</v>
      </c>
      <c r="AO178" s="26">
        <v>100</v>
      </c>
      <c r="AP178" s="26">
        <v>100</v>
      </c>
      <c r="AQ178" s="26">
        <v>100</v>
      </c>
      <c r="AR178" s="29">
        <f t="shared" ref="AR178:AS178" si="652">(AJ178+AL178+AN178+AP178)/2</f>
        <v>100</v>
      </c>
      <c r="AS178" s="29">
        <f t="shared" si="652"/>
        <v>100</v>
      </c>
      <c r="AT178" s="29">
        <f t="shared" si="629"/>
        <v>1</v>
      </c>
      <c r="AU178" s="23" t="str">
        <f t="shared" si="630"/>
        <v>100%</v>
      </c>
      <c r="AV178" s="24">
        <f t="shared" si="7"/>
        <v>1</v>
      </c>
      <c r="AW178" s="14" t="s">
        <v>92</v>
      </c>
      <c r="AX178" s="30" t="s">
        <v>919</v>
      </c>
      <c r="AY178" s="26">
        <v>140</v>
      </c>
      <c r="AZ178" s="26">
        <v>160</v>
      </c>
      <c r="BA178" s="26">
        <v>140</v>
      </c>
      <c r="BB178" s="26">
        <v>160</v>
      </c>
      <c r="BC178" s="26">
        <v>140</v>
      </c>
      <c r="BD178" s="26">
        <v>181</v>
      </c>
      <c r="BE178" s="26">
        <v>0</v>
      </c>
      <c r="BF178" s="26">
        <v>0</v>
      </c>
      <c r="BG178" s="22">
        <f t="shared" ref="BG178:BH178" si="653">(AY178+BA178+BC178+BE178)/3</f>
        <v>140</v>
      </c>
      <c r="BH178" s="22">
        <f t="shared" si="653"/>
        <v>167</v>
      </c>
      <c r="BI178" s="22">
        <f t="shared" si="591"/>
        <v>1.1928571428571428</v>
      </c>
      <c r="BJ178" s="23" t="str">
        <f t="shared" si="592"/>
        <v>100%</v>
      </c>
      <c r="BK178" s="24">
        <f t="shared" si="410"/>
        <v>1.1928571428571428</v>
      </c>
      <c r="BL178" s="22" t="s">
        <v>92</v>
      </c>
      <c r="BM178" s="25" t="s">
        <v>919</v>
      </c>
      <c r="BN178" s="27">
        <v>112200000</v>
      </c>
      <c r="BO178" s="27">
        <v>112200000</v>
      </c>
      <c r="BP178" s="27">
        <v>110000000</v>
      </c>
      <c r="BQ178" s="27">
        <v>110000000</v>
      </c>
      <c r="BR178" s="27">
        <f t="shared" ref="BR178:BS178" si="654">+BN178+BP178</f>
        <v>222200000</v>
      </c>
      <c r="BS178" s="27">
        <f t="shared" si="654"/>
        <v>222200000</v>
      </c>
      <c r="BT178" s="20">
        <f t="shared" si="13"/>
        <v>1</v>
      </c>
      <c r="BU178" s="27">
        <v>112200000</v>
      </c>
      <c r="BV178" s="27">
        <v>162200000</v>
      </c>
      <c r="BW178" s="27">
        <v>161988750</v>
      </c>
      <c r="BX178" s="27">
        <v>161988750</v>
      </c>
      <c r="BY178" s="28">
        <f t="shared" si="149"/>
        <v>0.99869759556103577</v>
      </c>
      <c r="BZ178" s="27">
        <v>110000000</v>
      </c>
      <c r="CA178" s="20">
        <v>112200000</v>
      </c>
      <c r="CB178" s="29">
        <v>114444000</v>
      </c>
      <c r="CC178" s="29">
        <v>117877320</v>
      </c>
      <c r="CD178" s="29">
        <v>454521320</v>
      </c>
    </row>
    <row r="179" spans="1:82" ht="72.75" customHeight="1">
      <c r="A179" s="12" t="s">
        <v>851</v>
      </c>
      <c r="B179" s="13">
        <v>0.432</v>
      </c>
      <c r="C179" s="12"/>
      <c r="D179" s="14">
        <v>22</v>
      </c>
      <c r="E179" s="14">
        <v>2201</v>
      </c>
      <c r="F179" s="14">
        <v>23</v>
      </c>
      <c r="G179" s="14" t="s">
        <v>852</v>
      </c>
      <c r="H179" s="14"/>
      <c r="I179" s="14">
        <v>23.2</v>
      </c>
      <c r="J179" s="14" t="s">
        <v>893</v>
      </c>
      <c r="K179" s="14" t="s">
        <v>894</v>
      </c>
      <c r="L179" s="14" t="s">
        <v>895</v>
      </c>
      <c r="M179" s="14" t="s">
        <v>896</v>
      </c>
      <c r="N179" s="14" t="s">
        <v>897</v>
      </c>
      <c r="O179" s="16">
        <v>2201049</v>
      </c>
      <c r="P179" s="17">
        <v>2024257990024</v>
      </c>
      <c r="Q179" s="14" t="s">
        <v>898</v>
      </c>
      <c r="R179" s="18">
        <v>178</v>
      </c>
      <c r="S179" s="14" t="s">
        <v>920</v>
      </c>
      <c r="T179" s="14">
        <v>0</v>
      </c>
      <c r="U179" s="14" t="s">
        <v>88</v>
      </c>
      <c r="V179" s="14" t="s">
        <v>89</v>
      </c>
      <c r="W179" s="14" t="s">
        <v>921</v>
      </c>
      <c r="X179" s="14" t="s">
        <v>837</v>
      </c>
      <c r="Y179" s="22" t="s">
        <v>124</v>
      </c>
      <c r="Z179" s="18">
        <f t="shared" si="648"/>
        <v>4</v>
      </c>
      <c r="AA179" s="20">
        <f t="shared" si="1"/>
        <v>0.25</v>
      </c>
      <c r="AB179" s="20">
        <f t="shared" si="2"/>
        <v>0.17499999999999999</v>
      </c>
      <c r="AC179" s="21"/>
      <c r="AD179" s="21"/>
      <c r="AE179" s="21">
        <f t="shared" si="3"/>
        <v>9.8749999999999991E-2</v>
      </c>
      <c r="AF179" s="29">
        <v>1</v>
      </c>
      <c r="AG179" s="29">
        <v>1</v>
      </c>
      <c r="AH179" s="29">
        <v>1</v>
      </c>
      <c r="AI179" s="29">
        <v>1</v>
      </c>
      <c r="AJ179" s="26"/>
      <c r="AK179" s="26"/>
      <c r="AL179" s="26"/>
      <c r="AM179" s="26"/>
      <c r="AN179" s="26">
        <v>0.2</v>
      </c>
      <c r="AO179" s="26">
        <v>0.2</v>
      </c>
      <c r="AP179" s="26">
        <v>0.8</v>
      </c>
      <c r="AQ179" s="26">
        <v>0.8</v>
      </c>
      <c r="AR179" s="22">
        <f t="shared" ref="AR179:AS179" si="655">(AJ179+AL179+AN179+AP179)</f>
        <v>1</v>
      </c>
      <c r="AS179" s="22">
        <f t="shared" si="655"/>
        <v>1</v>
      </c>
      <c r="AT179" s="22">
        <f t="shared" si="629"/>
        <v>1</v>
      </c>
      <c r="AU179" s="23" t="str">
        <f t="shared" si="630"/>
        <v>100%</v>
      </c>
      <c r="AV179" s="24">
        <f t="shared" si="7"/>
        <v>1</v>
      </c>
      <c r="AW179" s="14" t="s">
        <v>92</v>
      </c>
      <c r="AX179" s="30" t="s">
        <v>922</v>
      </c>
      <c r="AY179" s="46">
        <v>0</v>
      </c>
      <c r="AZ179" s="46">
        <v>0</v>
      </c>
      <c r="BA179" s="46">
        <v>0</v>
      </c>
      <c r="BB179" s="46">
        <v>0</v>
      </c>
      <c r="BC179" s="46">
        <v>0.7</v>
      </c>
      <c r="BD179" s="46">
        <v>0.7</v>
      </c>
      <c r="BE179" s="46">
        <v>0.3</v>
      </c>
      <c r="BF179" s="26"/>
      <c r="BG179" s="22">
        <f t="shared" ref="BG179:BH179" si="656">(AY179+BA179+BC179+BE179)</f>
        <v>1</v>
      </c>
      <c r="BH179" s="22">
        <f t="shared" si="656"/>
        <v>0.7</v>
      </c>
      <c r="BI179" s="22">
        <f t="shared" si="591"/>
        <v>0.7</v>
      </c>
      <c r="BJ179" s="23" t="str">
        <f t="shared" si="592"/>
        <v>100%</v>
      </c>
      <c r="BK179" s="24">
        <f t="shared" si="410"/>
        <v>0.7</v>
      </c>
      <c r="BL179" s="22" t="s">
        <v>92</v>
      </c>
      <c r="BM179" s="25" t="s">
        <v>922</v>
      </c>
      <c r="BN179" s="27">
        <v>81600000</v>
      </c>
      <c r="BO179" s="27">
        <v>0</v>
      </c>
      <c r="BP179" s="27">
        <v>139281500</v>
      </c>
      <c r="BQ179" s="27">
        <v>139281500</v>
      </c>
      <c r="BR179" s="27">
        <f t="shared" ref="BR179:BS179" si="657">+BN179+BP179</f>
        <v>220881500</v>
      </c>
      <c r="BS179" s="27">
        <f t="shared" si="657"/>
        <v>139281500</v>
      </c>
      <c r="BT179" s="20">
        <f t="shared" si="13"/>
        <v>0.63057114335062014</v>
      </c>
      <c r="BU179" s="27">
        <v>81600000</v>
      </c>
      <c r="BV179" s="27">
        <v>81600000</v>
      </c>
      <c r="BW179" s="27">
        <v>81600000</v>
      </c>
      <c r="BX179" s="27">
        <v>0</v>
      </c>
      <c r="BY179" s="28">
        <f t="shared" si="149"/>
        <v>1</v>
      </c>
      <c r="BZ179" s="27">
        <v>80000000</v>
      </c>
      <c r="CA179" s="20">
        <v>81600000</v>
      </c>
      <c r="CB179" s="29">
        <v>83232000</v>
      </c>
      <c r="CC179" s="29">
        <v>85728960</v>
      </c>
      <c r="CD179" s="29">
        <v>330560960</v>
      </c>
    </row>
    <row r="180" spans="1:82" ht="75" customHeight="1">
      <c r="A180" s="12" t="s">
        <v>851</v>
      </c>
      <c r="B180" s="13">
        <v>0.432</v>
      </c>
      <c r="C180" s="12"/>
      <c r="D180" s="14">
        <v>22</v>
      </c>
      <c r="E180" s="14">
        <v>2201</v>
      </c>
      <c r="F180" s="14">
        <v>23</v>
      </c>
      <c r="G180" s="14" t="s">
        <v>852</v>
      </c>
      <c r="H180" s="14"/>
      <c r="I180" s="14">
        <v>23.2</v>
      </c>
      <c r="J180" s="14" t="s">
        <v>893</v>
      </c>
      <c r="K180" s="14" t="s">
        <v>894</v>
      </c>
      <c r="L180" s="14" t="s">
        <v>895</v>
      </c>
      <c r="M180" s="14" t="s">
        <v>896</v>
      </c>
      <c r="N180" s="14" t="s">
        <v>897</v>
      </c>
      <c r="O180" s="16">
        <v>2201049</v>
      </c>
      <c r="P180" s="17">
        <v>2024257990024</v>
      </c>
      <c r="Q180" s="14" t="s">
        <v>898</v>
      </c>
      <c r="R180" s="18">
        <v>179</v>
      </c>
      <c r="S180" s="14" t="s">
        <v>923</v>
      </c>
      <c r="T180" s="14">
        <v>3</v>
      </c>
      <c r="U180" s="14" t="s">
        <v>88</v>
      </c>
      <c r="V180" s="14" t="s">
        <v>89</v>
      </c>
      <c r="W180" s="14" t="s">
        <v>924</v>
      </c>
      <c r="X180" s="14" t="s">
        <v>837</v>
      </c>
      <c r="Y180" s="22" t="s">
        <v>124</v>
      </c>
      <c r="Z180" s="18">
        <f t="shared" si="648"/>
        <v>4</v>
      </c>
      <c r="AA180" s="20">
        <f t="shared" si="1"/>
        <v>0.25</v>
      </c>
      <c r="AB180" s="20">
        <f t="shared" si="2"/>
        <v>0.17499999999999999</v>
      </c>
      <c r="AC180" s="21"/>
      <c r="AD180" s="21"/>
      <c r="AE180" s="21">
        <f t="shared" si="3"/>
        <v>9.8749999999999991E-2</v>
      </c>
      <c r="AF180" s="29">
        <v>1</v>
      </c>
      <c r="AG180" s="29">
        <v>1</v>
      </c>
      <c r="AH180" s="29">
        <v>1</v>
      </c>
      <c r="AI180" s="29">
        <v>1</v>
      </c>
      <c r="AJ180" s="26"/>
      <c r="AK180" s="26"/>
      <c r="AL180" s="26"/>
      <c r="AM180" s="26"/>
      <c r="AN180" s="26">
        <v>0.8</v>
      </c>
      <c r="AO180" s="26">
        <v>0.8</v>
      </c>
      <c r="AP180" s="26">
        <v>0.2</v>
      </c>
      <c r="AQ180" s="26">
        <v>0.2</v>
      </c>
      <c r="AR180" s="22">
        <f t="shared" ref="AR180:AS180" si="658">(AJ180+AL180+AN180+AP180)</f>
        <v>1</v>
      </c>
      <c r="AS180" s="22">
        <f t="shared" si="658"/>
        <v>1</v>
      </c>
      <c r="AT180" s="22">
        <f t="shared" si="629"/>
        <v>1</v>
      </c>
      <c r="AU180" s="23" t="str">
        <f t="shared" si="630"/>
        <v>100%</v>
      </c>
      <c r="AV180" s="24">
        <f t="shared" si="7"/>
        <v>1</v>
      </c>
      <c r="AW180" s="14" t="s">
        <v>92</v>
      </c>
      <c r="AX180" s="30" t="s">
        <v>925</v>
      </c>
      <c r="AY180" s="46">
        <v>0.1</v>
      </c>
      <c r="AZ180" s="46">
        <v>0.1</v>
      </c>
      <c r="BA180" s="46">
        <v>0.3</v>
      </c>
      <c r="BB180" s="46">
        <v>0.3</v>
      </c>
      <c r="BC180" s="46">
        <v>0.3</v>
      </c>
      <c r="BD180" s="46">
        <v>0.3</v>
      </c>
      <c r="BE180" s="46">
        <v>0.3</v>
      </c>
      <c r="BF180" s="26"/>
      <c r="BG180" s="22">
        <f t="shared" ref="BG180:BH180" si="659">(AY180+BA180+BC180+BE180)</f>
        <v>1</v>
      </c>
      <c r="BH180" s="33">
        <f t="shared" si="659"/>
        <v>0.7</v>
      </c>
      <c r="BI180" s="22">
        <f t="shared" si="591"/>
        <v>0.7</v>
      </c>
      <c r="BJ180" s="23" t="str">
        <f t="shared" si="592"/>
        <v>100%</v>
      </c>
      <c r="BK180" s="24">
        <f t="shared" si="410"/>
        <v>0.7</v>
      </c>
      <c r="BL180" s="22" t="s">
        <v>92</v>
      </c>
      <c r="BM180" s="25" t="s">
        <v>925</v>
      </c>
      <c r="BN180" s="27">
        <v>444173000</v>
      </c>
      <c r="BO180" s="27">
        <v>242653038</v>
      </c>
      <c r="BP180" s="27">
        <v>123251923</v>
      </c>
      <c r="BQ180" s="27">
        <v>123251923</v>
      </c>
      <c r="BR180" s="27">
        <f t="shared" ref="BR180:BS180" si="660">+BN180+BP180</f>
        <v>567424923</v>
      </c>
      <c r="BS180" s="27">
        <f t="shared" si="660"/>
        <v>365904961</v>
      </c>
      <c r="BT180" s="20">
        <f t="shared" si="13"/>
        <v>0.64485176129635746</v>
      </c>
      <c r="BU180" s="27">
        <v>444173000</v>
      </c>
      <c r="BV180" s="27">
        <v>409173000</v>
      </c>
      <c r="BW180" s="27">
        <v>279401445</v>
      </c>
      <c r="BX180" s="27">
        <v>201585359</v>
      </c>
      <c r="BY180" s="28">
        <f t="shared" si="149"/>
        <v>0.68284428591329338</v>
      </c>
      <c r="BZ180" s="27">
        <v>280000000</v>
      </c>
      <c r="CA180" s="20">
        <v>285600000</v>
      </c>
      <c r="CB180" s="29">
        <v>291312000</v>
      </c>
      <c r="CC180" s="29">
        <v>300051360</v>
      </c>
      <c r="CD180" s="29">
        <v>1156963360</v>
      </c>
    </row>
    <row r="181" spans="1:82" ht="54" customHeight="1">
      <c r="A181" s="12" t="s">
        <v>851</v>
      </c>
      <c r="B181" s="13">
        <v>0.432</v>
      </c>
      <c r="C181" s="12"/>
      <c r="D181" s="14">
        <v>22</v>
      </c>
      <c r="E181" s="14">
        <v>2202</v>
      </c>
      <c r="F181" s="14">
        <v>23</v>
      </c>
      <c r="G181" s="14" t="s">
        <v>852</v>
      </c>
      <c r="H181" s="14"/>
      <c r="I181" s="14">
        <v>23.3</v>
      </c>
      <c r="J181" s="14" t="s">
        <v>926</v>
      </c>
      <c r="K181" s="14" t="s">
        <v>927</v>
      </c>
      <c r="L181" s="14" t="s">
        <v>928</v>
      </c>
      <c r="M181" s="14" t="s">
        <v>929</v>
      </c>
      <c r="N181" s="14" t="s">
        <v>930</v>
      </c>
      <c r="O181" s="16">
        <v>2202061</v>
      </c>
      <c r="P181" s="17">
        <v>2024257990025</v>
      </c>
      <c r="Q181" s="14" t="s">
        <v>931</v>
      </c>
      <c r="R181" s="18">
        <v>180</v>
      </c>
      <c r="S181" s="14" t="s">
        <v>932</v>
      </c>
      <c r="T181" s="14">
        <v>1842</v>
      </c>
      <c r="U181" s="14" t="s">
        <v>88</v>
      </c>
      <c r="V181" s="14" t="s">
        <v>89</v>
      </c>
      <c r="W181" s="14" t="s">
        <v>933</v>
      </c>
      <c r="X181" s="14" t="s">
        <v>837</v>
      </c>
      <c r="Y181" s="22" t="s">
        <v>124</v>
      </c>
      <c r="Z181" s="18">
        <f t="shared" si="648"/>
        <v>4000</v>
      </c>
      <c r="AA181" s="20">
        <f t="shared" si="1"/>
        <v>0.29599999999999999</v>
      </c>
      <c r="AB181" s="20">
        <f t="shared" si="2"/>
        <v>2.5450000000000001E-4</v>
      </c>
      <c r="AC181" s="21"/>
      <c r="AD181" s="21"/>
      <c r="AE181" s="21">
        <f t="shared" si="3"/>
        <v>4.4489074999999996E-2</v>
      </c>
      <c r="AF181" s="29">
        <v>1000</v>
      </c>
      <c r="AG181" s="29">
        <v>1000</v>
      </c>
      <c r="AH181" s="29">
        <v>1000</v>
      </c>
      <c r="AI181" s="29">
        <v>1000</v>
      </c>
      <c r="AJ181" s="26"/>
      <c r="AK181" s="26"/>
      <c r="AL181" s="26"/>
      <c r="AM181" s="26"/>
      <c r="AN181" s="26">
        <v>500</v>
      </c>
      <c r="AO181" s="26">
        <v>500</v>
      </c>
      <c r="AP181" s="26">
        <v>684</v>
      </c>
      <c r="AQ181" s="26">
        <v>684</v>
      </c>
      <c r="AR181" s="29">
        <f t="shared" ref="AR181:AS181" si="661">(AJ181+AL181+AN181+AP181)</f>
        <v>1184</v>
      </c>
      <c r="AS181" s="22">
        <f t="shared" si="661"/>
        <v>1184</v>
      </c>
      <c r="AT181" s="22">
        <f t="shared" si="629"/>
        <v>1</v>
      </c>
      <c r="AU181" s="23" t="str">
        <f t="shared" si="630"/>
        <v>100%</v>
      </c>
      <c r="AV181" s="24">
        <f t="shared" si="7"/>
        <v>1</v>
      </c>
      <c r="AW181" s="14" t="s">
        <v>92</v>
      </c>
      <c r="AX181" s="30" t="s">
        <v>934</v>
      </c>
      <c r="AY181" s="26">
        <v>0</v>
      </c>
      <c r="AZ181" s="26">
        <v>0</v>
      </c>
      <c r="BA181" s="26">
        <v>500</v>
      </c>
      <c r="BB181" s="26">
        <v>500</v>
      </c>
      <c r="BC181" s="26">
        <v>0</v>
      </c>
      <c r="BD181" s="26">
        <v>518</v>
      </c>
      <c r="BE181" s="26">
        <v>500</v>
      </c>
      <c r="BF181" s="26"/>
      <c r="BG181" s="22">
        <f t="shared" ref="BG181:BH181" si="662">(AY181+BA181+BC181+BE181)</f>
        <v>1000</v>
      </c>
      <c r="BH181" s="22">
        <f t="shared" si="662"/>
        <v>1018</v>
      </c>
      <c r="BI181" s="22">
        <f t="shared" si="591"/>
        <v>1.018</v>
      </c>
      <c r="BJ181" s="23" t="str">
        <f t="shared" si="592"/>
        <v>100%</v>
      </c>
      <c r="BK181" s="24">
        <f t="shared" si="410"/>
        <v>1.018</v>
      </c>
      <c r="BL181" s="22" t="s">
        <v>92</v>
      </c>
      <c r="BM181" s="25" t="s">
        <v>934</v>
      </c>
      <c r="BN181" s="27">
        <v>732557000</v>
      </c>
      <c r="BO181" s="27">
        <v>711750000</v>
      </c>
      <c r="BP181" s="27">
        <v>9195275</v>
      </c>
      <c r="BQ181" s="27">
        <v>9195275</v>
      </c>
      <c r="BR181" s="27">
        <f t="shared" ref="BR181:BS181" si="663">+BN181+BP181</f>
        <v>741752275</v>
      </c>
      <c r="BS181" s="27">
        <f t="shared" si="663"/>
        <v>720945275</v>
      </c>
      <c r="BT181" s="20">
        <f t="shared" si="13"/>
        <v>0.97194885583599999</v>
      </c>
      <c r="BU181" s="27">
        <v>732557000</v>
      </c>
      <c r="BV181" s="27">
        <v>882557000</v>
      </c>
      <c r="BW181" s="27">
        <v>711750000</v>
      </c>
      <c r="BX181" s="27">
        <v>347203456</v>
      </c>
      <c r="BY181" s="28">
        <f t="shared" si="149"/>
        <v>0.80646349187644539</v>
      </c>
      <c r="BZ181" s="27">
        <v>600000000</v>
      </c>
      <c r="CA181" s="20">
        <v>612000000</v>
      </c>
      <c r="CB181" s="29">
        <v>624240000</v>
      </c>
      <c r="CC181" s="29">
        <v>642967200</v>
      </c>
      <c r="CD181" s="29">
        <v>2479207200</v>
      </c>
    </row>
    <row r="182" spans="1:82" ht="55.5" customHeight="1">
      <c r="A182" s="12" t="s">
        <v>851</v>
      </c>
      <c r="B182" s="13">
        <v>0.432</v>
      </c>
      <c r="C182" s="12"/>
      <c r="D182" s="14">
        <v>22</v>
      </c>
      <c r="E182" s="14">
        <v>2202</v>
      </c>
      <c r="F182" s="14">
        <v>23</v>
      </c>
      <c r="G182" s="14" t="s">
        <v>852</v>
      </c>
      <c r="H182" s="14"/>
      <c r="I182" s="14">
        <v>23.3</v>
      </c>
      <c r="J182" s="14" t="s">
        <v>926</v>
      </c>
      <c r="K182" s="14" t="s">
        <v>927</v>
      </c>
      <c r="L182" s="14" t="s">
        <v>928</v>
      </c>
      <c r="M182" s="14" t="s">
        <v>929</v>
      </c>
      <c r="N182" s="14" t="s">
        <v>930</v>
      </c>
      <c r="O182" s="16">
        <v>2202061</v>
      </c>
      <c r="P182" s="17">
        <v>2024257990025</v>
      </c>
      <c r="Q182" s="14" t="s">
        <v>931</v>
      </c>
      <c r="R182" s="18">
        <v>181</v>
      </c>
      <c r="S182" s="14" t="s">
        <v>935</v>
      </c>
      <c r="T182" s="14">
        <v>1755</v>
      </c>
      <c r="U182" s="14" t="s">
        <v>88</v>
      </c>
      <c r="V182" s="14" t="s">
        <v>89</v>
      </c>
      <c r="W182" s="14" t="s">
        <v>936</v>
      </c>
      <c r="X182" s="14" t="s">
        <v>837</v>
      </c>
      <c r="Y182" s="22" t="s">
        <v>124</v>
      </c>
      <c r="Z182" s="14">
        <f>SUM(AF182:AI182)/4</f>
        <v>750</v>
      </c>
      <c r="AA182" s="20">
        <f t="shared" si="1"/>
        <v>1.3146666666666667</v>
      </c>
      <c r="AB182" s="20">
        <f t="shared" si="2"/>
        <v>1.1146666666666666E-3</v>
      </c>
      <c r="AC182" s="21"/>
      <c r="AD182" s="21"/>
      <c r="AE182" s="21">
        <f t="shared" si="3"/>
        <v>0.19759013333333331</v>
      </c>
      <c r="AF182" s="29">
        <v>750</v>
      </c>
      <c r="AG182" s="29">
        <v>750</v>
      </c>
      <c r="AH182" s="29">
        <v>750</v>
      </c>
      <c r="AI182" s="29">
        <v>750</v>
      </c>
      <c r="AJ182" s="26"/>
      <c r="AK182" s="26"/>
      <c r="AL182" s="26"/>
      <c r="AM182" s="26"/>
      <c r="AN182" s="26">
        <v>750</v>
      </c>
      <c r="AO182" s="26">
        <v>750</v>
      </c>
      <c r="AP182" s="26">
        <v>20</v>
      </c>
      <c r="AQ182" s="26">
        <v>236</v>
      </c>
      <c r="AR182" s="29">
        <f t="shared" ref="AR182:AS182" si="664">(AJ182+AL182+AN182+AP182)</f>
        <v>770</v>
      </c>
      <c r="AS182" s="29">
        <f t="shared" si="664"/>
        <v>986</v>
      </c>
      <c r="AT182" s="22">
        <f t="shared" si="629"/>
        <v>1.2805194805194806</v>
      </c>
      <c r="AU182" s="23" t="str">
        <f t="shared" si="630"/>
        <v>100%</v>
      </c>
      <c r="AV182" s="24">
        <f t="shared" si="7"/>
        <v>1.2805194805194806</v>
      </c>
      <c r="AW182" s="14" t="s">
        <v>92</v>
      </c>
      <c r="AX182" s="30" t="s">
        <v>937</v>
      </c>
      <c r="AY182" s="26">
        <v>500</v>
      </c>
      <c r="AZ182" s="26">
        <v>530</v>
      </c>
      <c r="BA182" s="26">
        <v>12</v>
      </c>
      <c r="BB182" s="26">
        <v>97</v>
      </c>
      <c r="BC182" s="26">
        <v>238</v>
      </c>
      <c r="BD182" s="26"/>
      <c r="BE182" s="26">
        <v>0</v>
      </c>
      <c r="BF182" s="26"/>
      <c r="BG182" s="22">
        <f t="shared" ref="BG182:BH182" si="665">(AY182+BA182+BC182+BE182)</f>
        <v>750</v>
      </c>
      <c r="BH182" s="22">
        <f t="shared" si="665"/>
        <v>627</v>
      </c>
      <c r="BI182" s="22">
        <f t="shared" si="591"/>
        <v>0.83599999999999997</v>
      </c>
      <c r="BJ182" s="23" t="str">
        <f t="shared" si="592"/>
        <v>100%</v>
      </c>
      <c r="BK182" s="24">
        <f t="shared" si="410"/>
        <v>0.83599999999999997</v>
      </c>
      <c r="BL182" s="22" t="s">
        <v>92</v>
      </c>
      <c r="BM182" s="25" t="s">
        <v>937</v>
      </c>
      <c r="BN182" s="27">
        <v>1872966973</v>
      </c>
      <c r="BO182" s="27">
        <v>688968526</v>
      </c>
      <c r="BP182" s="27">
        <v>570429482</v>
      </c>
      <c r="BQ182" s="27">
        <v>570429482</v>
      </c>
      <c r="BR182" s="27">
        <f t="shared" ref="BR182:BS182" si="666">+BN182+BP182</f>
        <v>2443396455</v>
      </c>
      <c r="BS182" s="27">
        <f t="shared" si="666"/>
        <v>1259398008</v>
      </c>
      <c r="BT182" s="20">
        <f t="shared" si="13"/>
        <v>0.51542925235192749</v>
      </c>
      <c r="BU182" s="27">
        <v>1431517254</v>
      </c>
      <c r="BV182" s="27">
        <v>1722966973</v>
      </c>
      <c r="BW182" s="27">
        <v>1404144667</v>
      </c>
      <c r="BX182" s="27">
        <v>1404144667</v>
      </c>
      <c r="BY182" s="28">
        <f t="shared" si="149"/>
        <v>0.81495738978393062</v>
      </c>
      <c r="BZ182" s="27">
        <v>1600000000</v>
      </c>
      <c r="CA182" s="20">
        <v>1608916229</v>
      </c>
      <c r="CB182" s="29">
        <v>1669432645</v>
      </c>
      <c r="CC182" s="29">
        <v>1729433956</v>
      </c>
      <c r="CD182" s="29">
        <v>6607782830</v>
      </c>
    </row>
    <row r="183" spans="1:82" ht="63" customHeight="1">
      <c r="A183" s="12" t="s">
        <v>851</v>
      </c>
      <c r="B183" s="13">
        <v>0.432</v>
      </c>
      <c r="C183" s="12"/>
      <c r="D183" s="14">
        <v>22</v>
      </c>
      <c r="E183" s="14">
        <v>2202</v>
      </c>
      <c r="F183" s="14">
        <v>23</v>
      </c>
      <c r="G183" s="14" t="s">
        <v>852</v>
      </c>
      <c r="H183" s="14"/>
      <c r="I183" s="14">
        <v>23.3</v>
      </c>
      <c r="J183" s="14" t="s">
        <v>926</v>
      </c>
      <c r="K183" s="14" t="s">
        <v>927</v>
      </c>
      <c r="L183" s="14" t="s">
        <v>928</v>
      </c>
      <c r="M183" s="14" t="s">
        <v>929</v>
      </c>
      <c r="N183" s="14" t="s">
        <v>930</v>
      </c>
      <c r="O183" s="16">
        <v>2202062</v>
      </c>
      <c r="P183" s="17">
        <v>2024257990025</v>
      </c>
      <c r="Q183" s="14" t="s">
        <v>931</v>
      </c>
      <c r="R183" s="18">
        <v>182</v>
      </c>
      <c r="S183" s="14" t="s">
        <v>938</v>
      </c>
      <c r="T183" s="14">
        <v>300</v>
      </c>
      <c r="U183" s="14" t="s">
        <v>88</v>
      </c>
      <c r="V183" s="14" t="s">
        <v>89</v>
      </c>
      <c r="W183" s="14" t="s">
        <v>939</v>
      </c>
      <c r="X183" s="14" t="s">
        <v>837</v>
      </c>
      <c r="Y183" s="22" t="s">
        <v>124</v>
      </c>
      <c r="Z183" s="18">
        <f t="shared" ref="Z183:Z184" si="667">SUM(AF183:AI183)</f>
        <v>500</v>
      </c>
      <c r="AA183" s="20">
        <f t="shared" si="1"/>
        <v>0.2</v>
      </c>
      <c r="AB183" s="20">
        <f t="shared" si="2"/>
        <v>3.7200000000000002E-3</v>
      </c>
      <c r="AC183" s="21"/>
      <c r="AD183" s="21"/>
      <c r="AE183" s="21">
        <f t="shared" si="3"/>
        <v>3.1301999999999996E-2</v>
      </c>
      <c r="AF183" s="29">
        <v>100</v>
      </c>
      <c r="AG183" s="29">
        <v>150</v>
      </c>
      <c r="AH183" s="29">
        <v>150</v>
      </c>
      <c r="AI183" s="29">
        <v>100</v>
      </c>
      <c r="AJ183" s="26"/>
      <c r="AK183" s="26"/>
      <c r="AL183" s="26"/>
      <c r="AM183" s="26"/>
      <c r="AN183" s="26">
        <v>100</v>
      </c>
      <c r="AO183" s="26">
        <v>100</v>
      </c>
      <c r="AP183" s="26">
        <v>100</v>
      </c>
      <c r="AQ183" s="26">
        <v>100</v>
      </c>
      <c r="AR183" s="29">
        <f t="shared" ref="AR183:AS183" si="668">(AJ183+AL183+AN183+AP183)/2</f>
        <v>100</v>
      </c>
      <c r="AS183" s="29">
        <f t="shared" si="668"/>
        <v>100</v>
      </c>
      <c r="AT183" s="24">
        <f t="shared" si="629"/>
        <v>1</v>
      </c>
      <c r="AU183" s="23" t="str">
        <f t="shared" si="630"/>
        <v>100%</v>
      </c>
      <c r="AV183" s="24">
        <f t="shared" si="7"/>
        <v>1</v>
      </c>
      <c r="AW183" s="14" t="s">
        <v>92</v>
      </c>
      <c r="AX183" s="30" t="s">
        <v>940</v>
      </c>
      <c r="AY183" s="26">
        <v>250</v>
      </c>
      <c r="AZ183" s="26">
        <v>265</v>
      </c>
      <c r="BA183" s="26">
        <v>0</v>
      </c>
      <c r="BB183" s="26">
        <v>200</v>
      </c>
      <c r="BC183" s="26">
        <v>0</v>
      </c>
      <c r="BD183" s="26"/>
      <c r="BE183" s="26">
        <v>0</v>
      </c>
      <c r="BF183" s="26"/>
      <c r="BG183" s="22">
        <f t="shared" ref="BG183:BH183" si="669">(AY183+BA183+BC183+BE183)</f>
        <v>250</v>
      </c>
      <c r="BH183" s="22">
        <f t="shared" si="669"/>
        <v>465</v>
      </c>
      <c r="BI183" s="22">
        <f t="shared" si="591"/>
        <v>1.86</v>
      </c>
      <c r="BJ183" s="23" t="str">
        <f t="shared" si="592"/>
        <v>100%</v>
      </c>
      <c r="BK183" s="24">
        <f t="shared" si="410"/>
        <v>1.86</v>
      </c>
      <c r="BL183" s="22" t="s">
        <v>92</v>
      </c>
      <c r="BM183" s="25" t="s">
        <v>940</v>
      </c>
      <c r="BN183" s="27">
        <v>10200000</v>
      </c>
      <c r="BO183" s="27">
        <v>0</v>
      </c>
      <c r="BP183" s="27">
        <v>0</v>
      </c>
      <c r="BQ183" s="27">
        <v>0</v>
      </c>
      <c r="BR183" s="27">
        <f t="shared" ref="BR183:BS183" si="670">+BN183+BP183</f>
        <v>10200000</v>
      </c>
      <c r="BS183" s="27">
        <f t="shared" si="670"/>
        <v>0</v>
      </c>
      <c r="BT183" s="20">
        <f t="shared" si="13"/>
        <v>0</v>
      </c>
      <c r="BU183" s="27">
        <v>10200000</v>
      </c>
      <c r="BV183" s="27">
        <v>15874667</v>
      </c>
      <c r="BW183" s="27">
        <v>0</v>
      </c>
      <c r="BX183" s="27">
        <v>0</v>
      </c>
      <c r="BY183" s="28">
        <f t="shared" si="149"/>
        <v>0</v>
      </c>
      <c r="BZ183" s="27">
        <v>10000000</v>
      </c>
      <c r="CA183" s="20">
        <v>10200000</v>
      </c>
      <c r="CB183" s="29">
        <v>10404000</v>
      </c>
      <c r="CC183" s="29">
        <v>10716120</v>
      </c>
      <c r="CD183" s="29">
        <v>41320120</v>
      </c>
    </row>
    <row r="184" spans="1:82" ht="69" customHeight="1">
      <c r="A184" s="12" t="s">
        <v>851</v>
      </c>
      <c r="B184" s="13">
        <v>0.432</v>
      </c>
      <c r="C184" s="12"/>
      <c r="D184" s="14">
        <v>22</v>
      </c>
      <c r="E184" s="14">
        <v>2202</v>
      </c>
      <c r="F184" s="14">
        <v>23</v>
      </c>
      <c r="G184" s="14" t="s">
        <v>852</v>
      </c>
      <c r="H184" s="14"/>
      <c r="I184" s="14">
        <v>23.3</v>
      </c>
      <c r="J184" s="14" t="s">
        <v>926</v>
      </c>
      <c r="K184" s="14" t="s">
        <v>927</v>
      </c>
      <c r="L184" s="14" t="s">
        <v>928</v>
      </c>
      <c r="M184" s="14" t="s">
        <v>929</v>
      </c>
      <c r="N184" s="14" t="s">
        <v>930</v>
      </c>
      <c r="O184" s="16">
        <v>2202063</v>
      </c>
      <c r="P184" s="17">
        <v>2024257990025</v>
      </c>
      <c r="Q184" s="14" t="s">
        <v>931</v>
      </c>
      <c r="R184" s="18">
        <v>183</v>
      </c>
      <c r="S184" s="14" t="s">
        <v>941</v>
      </c>
      <c r="T184" s="14">
        <v>44</v>
      </c>
      <c r="U184" s="14" t="s">
        <v>88</v>
      </c>
      <c r="V184" s="14" t="s">
        <v>89</v>
      </c>
      <c r="W184" s="14" t="s">
        <v>942</v>
      </c>
      <c r="X184" s="14" t="s">
        <v>837</v>
      </c>
      <c r="Y184" s="22"/>
      <c r="Z184" s="18">
        <f t="shared" si="667"/>
        <v>60</v>
      </c>
      <c r="AA184" s="20">
        <f t="shared" si="1"/>
        <v>0.2</v>
      </c>
      <c r="AB184" s="20">
        <f t="shared" si="2"/>
        <v>1.3333333333333334E-2</v>
      </c>
      <c r="AC184" s="21"/>
      <c r="AD184" s="21"/>
      <c r="AE184" s="21">
        <f t="shared" si="3"/>
        <v>3.4666666666666665E-2</v>
      </c>
      <c r="AF184" s="29">
        <v>15</v>
      </c>
      <c r="AG184" s="29">
        <v>15</v>
      </c>
      <c r="AH184" s="29">
        <v>15</v>
      </c>
      <c r="AI184" s="29">
        <v>15</v>
      </c>
      <c r="AJ184" s="26"/>
      <c r="AK184" s="26"/>
      <c r="AL184" s="26"/>
      <c r="AM184" s="26"/>
      <c r="AN184" s="44">
        <v>1E-3</v>
      </c>
      <c r="AO184" s="26">
        <v>0</v>
      </c>
      <c r="AP184" s="26">
        <v>15</v>
      </c>
      <c r="AQ184" s="26">
        <v>12</v>
      </c>
      <c r="AR184" s="29">
        <f t="shared" ref="AR184:AS184" si="671">(AJ184+AL184+AN184+AP184)</f>
        <v>15.000999999999999</v>
      </c>
      <c r="AS184" s="29">
        <f t="shared" si="671"/>
        <v>12</v>
      </c>
      <c r="AT184" s="24">
        <f>IF(AQ184=0, 0, AR184/AQ184)</f>
        <v>1.2500833333333332</v>
      </c>
      <c r="AU184" s="23" t="str">
        <f t="shared" si="630"/>
        <v>100%</v>
      </c>
      <c r="AV184" s="24">
        <f t="shared" si="7"/>
        <v>0.79994667022198518</v>
      </c>
      <c r="AW184" s="14" t="s">
        <v>92</v>
      </c>
      <c r="AX184" s="30" t="s">
        <v>943</v>
      </c>
      <c r="AY184" s="26">
        <v>0</v>
      </c>
      <c r="AZ184" s="26">
        <v>0</v>
      </c>
      <c r="BA184" s="26">
        <v>5</v>
      </c>
      <c r="BB184" s="26">
        <v>12</v>
      </c>
      <c r="BC184" s="26">
        <v>0</v>
      </c>
      <c r="BD184" s="26">
        <v>0</v>
      </c>
      <c r="BE184" s="26">
        <v>10</v>
      </c>
      <c r="BF184" s="26"/>
      <c r="BG184" s="22">
        <f t="shared" ref="BG184:BH184" si="672">(AY184+BA184+BC184+BE184)</f>
        <v>15</v>
      </c>
      <c r="BH184" s="22">
        <f t="shared" si="672"/>
        <v>12</v>
      </c>
      <c r="BI184" s="22">
        <f t="shared" si="591"/>
        <v>0.8</v>
      </c>
      <c r="BJ184" s="23" t="str">
        <f t="shared" si="592"/>
        <v>100%</v>
      </c>
      <c r="BK184" s="24">
        <f t="shared" si="410"/>
        <v>0.8</v>
      </c>
      <c r="BL184" s="22" t="s">
        <v>92</v>
      </c>
      <c r="BM184" s="25" t="s">
        <v>943</v>
      </c>
      <c r="BN184" s="27">
        <v>130000000</v>
      </c>
      <c r="BO184" s="27">
        <v>24141000</v>
      </c>
      <c r="BP184" s="27">
        <v>26040000</v>
      </c>
      <c r="BQ184" s="27">
        <v>26040000</v>
      </c>
      <c r="BR184" s="27">
        <f t="shared" ref="BR184:BS184" si="673">+BN184+BP184</f>
        <v>156040000</v>
      </c>
      <c r="BS184" s="27">
        <f t="shared" si="673"/>
        <v>50181000</v>
      </c>
      <c r="BT184" s="20">
        <f t="shared" si="13"/>
        <v>0.32159061779031017</v>
      </c>
      <c r="BU184" s="27">
        <v>130000000</v>
      </c>
      <c r="BV184" s="27">
        <v>130000000</v>
      </c>
      <c r="BW184" s="27">
        <v>49023000</v>
      </c>
      <c r="BX184" s="27">
        <v>44752500</v>
      </c>
      <c r="BY184" s="28">
        <f t="shared" si="149"/>
        <v>0.37709999999999999</v>
      </c>
      <c r="BZ184" s="27">
        <v>175000000</v>
      </c>
      <c r="CA184" s="20">
        <v>178500000</v>
      </c>
      <c r="CB184" s="29">
        <v>182070000</v>
      </c>
      <c r="CC184" s="29">
        <v>187532100</v>
      </c>
      <c r="CD184" s="29">
        <v>723102100</v>
      </c>
    </row>
    <row r="185" spans="1:82" ht="45" customHeight="1">
      <c r="A185" s="12" t="s">
        <v>851</v>
      </c>
      <c r="B185" s="13">
        <v>0.432</v>
      </c>
      <c r="C185" s="12"/>
      <c r="D185" s="14">
        <v>22</v>
      </c>
      <c r="E185" s="14">
        <v>2201</v>
      </c>
      <c r="F185" s="14">
        <v>23</v>
      </c>
      <c r="G185" s="14" t="s">
        <v>852</v>
      </c>
      <c r="H185" s="14"/>
      <c r="I185" s="14">
        <v>23.4</v>
      </c>
      <c r="J185" s="14" t="s">
        <v>944</v>
      </c>
      <c r="K185" s="14" t="s">
        <v>945</v>
      </c>
      <c r="L185" s="14" t="s">
        <v>946</v>
      </c>
      <c r="M185" s="14" t="s">
        <v>533</v>
      </c>
      <c r="N185" s="20">
        <v>1</v>
      </c>
      <c r="O185" s="16">
        <v>2201074</v>
      </c>
      <c r="P185" s="17">
        <v>2024257990026</v>
      </c>
      <c r="Q185" s="14" t="s">
        <v>947</v>
      </c>
      <c r="R185" s="18">
        <v>184</v>
      </c>
      <c r="S185" s="14" t="s">
        <v>948</v>
      </c>
      <c r="T185" s="14">
        <v>260</v>
      </c>
      <c r="U185" s="14" t="s">
        <v>88</v>
      </c>
      <c r="V185" s="14" t="s">
        <v>114</v>
      </c>
      <c r="W185" s="14" t="s">
        <v>949</v>
      </c>
      <c r="X185" s="14" t="s">
        <v>837</v>
      </c>
      <c r="Y185" s="22"/>
      <c r="Z185" s="14">
        <f>SUM(AF185:AI185)/4</f>
        <v>260</v>
      </c>
      <c r="AA185" s="20">
        <f t="shared" si="1"/>
        <v>3.8461538461538464E-3</v>
      </c>
      <c r="AB185" s="20">
        <f t="shared" si="2"/>
        <v>3.8461538461538464E-3</v>
      </c>
      <c r="AC185" s="21"/>
      <c r="AD185" s="21"/>
      <c r="AE185" s="21">
        <f t="shared" si="3"/>
        <v>1.9230769230769232E-3</v>
      </c>
      <c r="AF185" s="14">
        <v>260</v>
      </c>
      <c r="AG185" s="14">
        <v>260</v>
      </c>
      <c r="AH185" s="14">
        <v>260</v>
      </c>
      <c r="AI185" s="14">
        <v>260</v>
      </c>
      <c r="AJ185" s="26"/>
      <c r="AK185" s="26"/>
      <c r="AL185" s="26"/>
      <c r="AM185" s="26"/>
      <c r="AN185" s="26">
        <v>1</v>
      </c>
      <c r="AO185" s="26">
        <v>1</v>
      </c>
      <c r="AP185" s="26">
        <v>0</v>
      </c>
      <c r="AQ185" s="26">
        <v>0</v>
      </c>
      <c r="AR185" s="29">
        <f t="shared" ref="AR185:AS185" si="674">(AJ185+AL185+AN185+AP185)</f>
        <v>1</v>
      </c>
      <c r="AS185" s="29">
        <f t="shared" si="674"/>
        <v>1</v>
      </c>
      <c r="AT185" s="22">
        <f>AS185/AR185</f>
        <v>1</v>
      </c>
      <c r="AU185" s="23" t="str">
        <f t="shared" si="630"/>
        <v>100%</v>
      </c>
      <c r="AV185" s="24">
        <f t="shared" si="7"/>
        <v>1</v>
      </c>
      <c r="AW185" s="14" t="s">
        <v>92</v>
      </c>
      <c r="AX185" s="30" t="s">
        <v>950</v>
      </c>
      <c r="AY185" s="26">
        <v>0</v>
      </c>
      <c r="AZ185" s="26">
        <v>0</v>
      </c>
      <c r="BA185" s="26">
        <v>1</v>
      </c>
      <c r="BB185" s="26">
        <v>1</v>
      </c>
      <c r="BC185" s="26">
        <v>0</v>
      </c>
      <c r="BD185" s="26">
        <v>0</v>
      </c>
      <c r="BE185" s="26">
        <v>0</v>
      </c>
      <c r="BF185" s="26"/>
      <c r="BG185" s="22">
        <f t="shared" ref="BG185:BH185" si="675">(AY185+BA185+BC185+BE185)</f>
        <v>1</v>
      </c>
      <c r="BH185" s="22">
        <f t="shared" si="675"/>
        <v>1</v>
      </c>
      <c r="BI185" s="22">
        <f t="shared" si="591"/>
        <v>1</v>
      </c>
      <c r="BJ185" s="23" t="str">
        <f t="shared" si="592"/>
        <v>100%</v>
      </c>
      <c r="BK185" s="24">
        <f t="shared" si="410"/>
        <v>1</v>
      </c>
      <c r="BL185" s="22" t="s">
        <v>92</v>
      </c>
      <c r="BM185" s="25" t="s">
        <v>950</v>
      </c>
      <c r="BN185" s="27">
        <v>100000000</v>
      </c>
      <c r="BO185" s="27">
        <v>0</v>
      </c>
      <c r="BP185" s="27">
        <v>0</v>
      </c>
      <c r="BQ185" s="27">
        <v>0</v>
      </c>
      <c r="BR185" s="27">
        <f t="shared" ref="BR185:BS185" si="676">+BN185+BP185</f>
        <v>100000000</v>
      </c>
      <c r="BS185" s="27">
        <f t="shared" si="676"/>
        <v>0</v>
      </c>
      <c r="BT185" s="20">
        <f t="shared" si="13"/>
        <v>0</v>
      </c>
      <c r="BU185" s="27">
        <v>100000000</v>
      </c>
      <c r="BV185" s="27">
        <v>100000000</v>
      </c>
      <c r="BW185" s="27">
        <v>99688349</v>
      </c>
      <c r="BX185" s="27">
        <v>99688349</v>
      </c>
      <c r="BY185" s="28">
        <f t="shared" si="149"/>
        <v>0.99688348999999998</v>
      </c>
      <c r="BZ185" s="27">
        <v>100000000</v>
      </c>
      <c r="CA185" s="20">
        <v>102000000</v>
      </c>
      <c r="CB185" s="29">
        <v>104040000</v>
      </c>
      <c r="CC185" s="29">
        <v>107161200</v>
      </c>
      <c r="CD185" s="29">
        <v>413201200</v>
      </c>
    </row>
    <row r="186" spans="1:82" ht="62.25" customHeight="1">
      <c r="A186" s="12" t="s">
        <v>851</v>
      </c>
      <c r="B186" s="13">
        <v>0.432</v>
      </c>
      <c r="C186" s="12"/>
      <c r="D186" s="14">
        <v>22</v>
      </c>
      <c r="E186" s="14">
        <v>2201</v>
      </c>
      <c r="F186" s="14">
        <v>23</v>
      </c>
      <c r="G186" s="14" t="s">
        <v>852</v>
      </c>
      <c r="H186" s="14"/>
      <c r="I186" s="14">
        <v>23.4</v>
      </c>
      <c r="J186" s="14" t="s">
        <v>944</v>
      </c>
      <c r="K186" s="14" t="s">
        <v>945</v>
      </c>
      <c r="L186" s="14" t="s">
        <v>946</v>
      </c>
      <c r="M186" s="14" t="s">
        <v>533</v>
      </c>
      <c r="N186" s="20">
        <v>1</v>
      </c>
      <c r="O186" s="16">
        <v>2201074</v>
      </c>
      <c r="P186" s="17">
        <v>2024257990026</v>
      </c>
      <c r="Q186" s="14" t="s">
        <v>947</v>
      </c>
      <c r="R186" s="18">
        <v>185</v>
      </c>
      <c r="S186" s="14" t="s">
        <v>951</v>
      </c>
      <c r="T186" s="14">
        <v>13</v>
      </c>
      <c r="U186" s="14" t="s">
        <v>88</v>
      </c>
      <c r="V186" s="14" t="s">
        <v>89</v>
      </c>
      <c r="W186" s="14" t="s">
        <v>952</v>
      </c>
      <c r="X186" s="14" t="s">
        <v>837</v>
      </c>
      <c r="Y186" s="22" t="s">
        <v>124</v>
      </c>
      <c r="Z186" s="14">
        <v>24</v>
      </c>
      <c r="AA186" s="20">
        <f t="shared" si="1"/>
        <v>0.45833333333333331</v>
      </c>
      <c r="AB186" s="20">
        <f t="shared" si="2"/>
        <v>0</v>
      </c>
      <c r="AC186" s="21"/>
      <c r="AD186" s="21"/>
      <c r="AE186" s="21">
        <f t="shared" si="3"/>
        <v>6.8749999999999992E-2</v>
      </c>
      <c r="AF186" s="29">
        <v>3</v>
      </c>
      <c r="AG186" s="29">
        <v>7</v>
      </c>
      <c r="AH186" s="29">
        <v>7</v>
      </c>
      <c r="AI186" s="29">
        <v>7</v>
      </c>
      <c r="AJ186" s="26"/>
      <c r="AK186" s="26"/>
      <c r="AL186" s="26"/>
      <c r="AM186" s="26"/>
      <c r="AN186" s="44">
        <v>1E-3</v>
      </c>
      <c r="AO186" s="26">
        <v>0</v>
      </c>
      <c r="AP186" s="26">
        <v>3</v>
      </c>
      <c r="AQ186" s="26">
        <v>11</v>
      </c>
      <c r="AR186" s="29">
        <f t="shared" ref="AR186:AS186" si="677">(AJ186+AL186+AN186+AP186)</f>
        <v>3.0009999999999999</v>
      </c>
      <c r="AS186" s="29">
        <f t="shared" si="677"/>
        <v>11</v>
      </c>
      <c r="AT186" s="24">
        <f>IF(AQ186=0, 0, AR186/AQ186)</f>
        <v>0.27281818181818179</v>
      </c>
      <c r="AU186" s="23" t="str">
        <f t="shared" si="630"/>
        <v>100%</v>
      </c>
      <c r="AV186" s="24">
        <f t="shared" si="7"/>
        <v>3.6654448517160949</v>
      </c>
      <c r="AW186" s="14" t="s">
        <v>92</v>
      </c>
      <c r="AX186" s="30" t="s">
        <v>953</v>
      </c>
      <c r="AY186" s="26">
        <v>0</v>
      </c>
      <c r="AZ186" s="26">
        <v>0</v>
      </c>
      <c r="BA186" s="26">
        <v>0</v>
      </c>
      <c r="BB186" s="26">
        <v>0</v>
      </c>
      <c r="BC186" s="26">
        <v>0</v>
      </c>
      <c r="BD186" s="26">
        <v>0</v>
      </c>
      <c r="BE186" s="26">
        <v>7</v>
      </c>
      <c r="BF186" s="26"/>
      <c r="BG186" s="22">
        <f t="shared" ref="BG186:BH186" si="678">(AY186+BA186+BC186+BE186)</f>
        <v>7</v>
      </c>
      <c r="BH186" s="22">
        <f t="shared" si="678"/>
        <v>0</v>
      </c>
      <c r="BI186" s="22">
        <f t="shared" si="591"/>
        <v>0</v>
      </c>
      <c r="BJ186" s="23" t="str">
        <f t="shared" si="592"/>
        <v>100%</v>
      </c>
      <c r="BK186" s="24">
        <f t="shared" si="410"/>
        <v>0</v>
      </c>
      <c r="BL186" s="22" t="s">
        <v>92</v>
      </c>
      <c r="BM186" s="25" t="s">
        <v>953</v>
      </c>
      <c r="BN186" s="27">
        <v>40000000</v>
      </c>
      <c r="BO186" s="27">
        <v>0</v>
      </c>
      <c r="BP186" s="27">
        <v>15899920</v>
      </c>
      <c r="BQ186" s="27">
        <v>15899920</v>
      </c>
      <c r="BR186" s="27">
        <f t="shared" ref="BR186:BS186" si="679">+BN186+BP186</f>
        <v>55899920</v>
      </c>
      <c r="BS186" s="27">
        <f t="shared" si="679"/>
        <v>15899920</v>
      </c>
      <c r="BT186" s="20">
        <f t="shared" si="13"/>
        <v>0.28443546967509076</v>
      </c>
      <c r="BU186" s="27">
        <v>40000000</v>
      </c>
      <c r="BV186" s="27">
        <v>40000000</v>
      </c>
      <c r="BW186" s="27">
        <v>35200000</v>
      </c>
      <c r="BX186" s="27">
        <v>15600000</v>
      </c>
      <c r="BY186" s="28">
        <f t="shared" si="149"/>
        <v>0.88</v>
      </c>
      <c r="BZ186" s="27">
        <v>40000000</v>
      </c>
      <c r="CA186" s="20">
        <v>40800000</v>
      </c>
      <c r="CB186" s="29">
        <v>41616000</v>
      </c>
      <c r="CC186" s="29">
        <v>42864480</v>
      </c>
      <c r="CD186" s="29">
        <v>165280480</v>
      </c>
    </row>
    <row r="187" spans="1:82" ht="45" customHeight="1">
      <c r="A187" s="12" t="s">
        <v>851</v>
      </c>
      <c r="B187" s="13">
        <v>0.432</v>
      </c>
      <c r="C187" s="12"/>
      <c r="D187" s="14">
        <v>22</v>
      </c>
      <c r="E187" s="14">
        <v>2201</v>
      </c>
      <c r="F187" s="14">
        <v>23</v>
      </c>
      <c r="G187" s="14" t="s">
        <v>852</v>
      </c>
      <c r="H187" s="14"/>
      <c r="I187" s="14">
        <v>23.4</v>
      </c>
      <c r="J187" s="14" t="s">
        <v>944</v>
      </c>
      <c r="K187" s="14" t="s">
        <v>945</v>
      </c>
      <c r="L187" s="14" t="s">
        <v>946</v>
      </c>
      <c r="M187" s="14" t="s">
        <v>533</v>
      </c>
      <c r="N187" s="20">
        <v>1</v>
      </c>
      <c r="O187" s="16">
        <v>2201049</v>
      </c>
      <c r="P187" s="17">
        <v>2024257990026</v>
      </c>
      <c r="Q187" s="14" t="s">
        <v>947</v>
      </c>
      <c r="R187" s="18">
        <v>186</v>
      </c>
      <c r="S187" s="14" t="s">
        <v>954</v>
      </c>
      <c r="T187" s="14">
        <v>1</v>
      </c>
      <c r="U187" s="14" t="s">
        <v>88</v>
      </c>
      <c r="V187" s="14" t="s">
        <v>114</v>
      </c>
      <c r="W187" s="14" t="s">
        <v>955</v>
      </c>
      <c r="X187" s="14" t="s">
        <v>837</v>
      </c>
      <c r="Y187" s="22" t="s">
        <v>124</v>
      </c>
      <c r="Z187" s="14">
        <f t="shared" ref="Z187:Z195" si="680">SUM(AF187:AI187)/4</f>
        <v>1</v>
      </c>
      <c r="AA187" s="20">
        <f t="shared" si="1"/>
        <v>1</v>
      </c>
      <c r="AB187" s="20">
        <f t="shared" si="2"/>
        <v>1</v>
      </c>
      <c r="AC187" s="21"/>
      <c r="AD187" s="21"/>
      <c r="AE187" s="21">
        <f t="shared" si="3"/>
        <v>0.5</v>
      </c>
      <c r="AF187" s="14">
        <v>1</v>
      </c>
      <c r="AG187" s="14">
        <v>1</v>
      </c>
      <c r="AH187" s="14">
        <v>1</v>
      </c>
      <c r="AI187" s="14">
        <v>1</v>
      </c>
      <c r="AJ187" s="26"/>
      <c r="AK187" s="26"/>
      <c r="AL187" s="26"/>
      <c r="AM187" s="26"/>
      <c r="AN187" s="26">
        <v>1</v>
      </c>
      <c r="AO187" s="26">
        <v>1</v>
      </c>
      <c r="AP187" s="26">
        <v>0</v>
      </c>
      <c r="AQ187" s="26">
        <v>0</v>
      </c>
      <c r="AR187" s="29">
        <f t="shared" ref="AR187:AS187" si="681">(AJ187+AL187+AN187+AP187)</f>
        <v>1</v>
      </c>
      <c r="AS187" s="29">
        <f t="shared" si="681"/>
        <v>1</v>
      </c>
      <c r="AT187" s="22">
        <f t="shared" ref="AT187:AT195" si="682">AS187/AR187</f>
        <v>1</v>
      </c>
      <c r="AU187" s="23" t="str">
        <f t="shared" si="630"/>
        <v>100%</v>
      </c>
      <c r="AV187" s="24">
        <f t="shared" si="7"/>
        <v>1</v>
      </c>
      <c r="AW187" s="14" t="s">
        <v>92</v>
      </c>
      <c r="AX187" s="30" t="s">
        <v>956</v>
      </c>
      <c r="AY187" s="46">
        <v>0</v>
      </c>
      <c r="AZ187" s="26">
        <v>0</v>
      </c>
      <c r="BA187" s="46">
        <v>0</v>
      </c>
      <c r="BB187" s="46">
        <v>0</v>
      </c>
      <c r="BC187" s="46">
        <v>1</v>
      </c>
      <c r="BD187" s="46">
        <v>1</v>
      </c>
      <c r="BE187" s="46">
        <v>0</v>
      </c>
      <c r="BF187" s="26"/>
      <c r="BG187" s="22">
        <f t="shared" ref="BG187:BH187" si="683">(AY187+BA187+BC187+BE187)</f>
        <v>1</v>
      </c>
      <c r="BH187" s="22">
        <f t="shared" si="683"/>
        <v>1</v>
      </c>
      <c r="BI187" s="22">
        <f t="shared" si="591"/>
        <v>1</v>
      </c>
      <c r="BJ187" s="23" t="str">
        <f t="shared" si="592"/>
        <v>100%</v>
      </c>
      <c r="BK187" s="24">
        <f t="shared" si="410"/>
        <v>1</v>
      </c>
      <c r="BL187" s="22" t="s">
        <v>92</v>
      </c>
      <c r="BM187" s="25" t="s">
        <v>956</v>
      </c>
      <c r="BN187" s="27">
        <v>20400000</v>
      </c>
      <c r="BO187" s="27">
        <v>0</v>
      </c>
      <c r="BP187" s="27">
        <v>20000000</v>
      </c>
      <c r="BQ187" s="27">
        <v>20000000</v>
      </c>
      <c r="BR187" s="27">
        <f t="shared" ref="BR187:BS187" si="684">+BN187+BP187</f>
        <v>40400000</v>
      </c>
      <c r="BS187" s="27">
        <f t="shared" si="684"/>
        <v>20000000</v>
      </c>
      <c r="BT187" s="20">
        <f t="shared" si="13"/>
        <v>0.49504950495049505</v>
      </c>
      <c r="BU187" s="27">
        <v>20400000</v>
      </c>
      <c r="BV187" s="27">
        <v>20400000</v>
      </c>
      <c r="BW187" s="27">
        <v>19968741</v>
      </c>
      <c r="BX187" s="27">
        <v>0</v>
      </c>
      <c r="BY187" s="28">
        <f t="shared" si="149"/>
        <v>0.9788598529411765</v>
      </c>
      <c r="BZ187" s="27">
        <v>20000000</v>
      </c>
      <c r="CA187" s="20">
        <v>20400000</v>
      </c>
      <c r="CB187" s="29">
        <v>20808000</v>
      </c>
      <c r="CC187" s="29">
        <v>21432240</v>
      </c>
      <c r="CD187" s="29">
        <v>82640240</v>
      </c>
    </row>
    <row r="188" spans="1:82" ht="52.5" customHeight="1">
      <c r="A188" s="12" t="s">
        <v>851</v>
      </c>
      <c r="B188" s="13">
        <v>0.432</v>
      </c>
      <c r="C188" s="12"/>
      <c r="D188" s="14">
        <v>19</v>
      </c>
      <c r="E188" s="14">
        <v>1906</v>
      </c>
      <c r="F188" s="14">
        <v>24</v>
      </c>
      <c r="G188" s="14" t="s">
        <v>957</v>
      </c>
      <c r="H188" s="14"/>
      <c r="I188" s="14">
        <v>24.1</v>
      </c>
      <c r="J188" s="14" t="s">
        <v>958</v>
      </c>
      <c r="K188" s="14" t="s">
        <v>959</v>
      </c>
      <c r="L188" s="14" t="s">
        <v>960</v>
      </c>
      <c r="M188" s="14" t="s">
        <v>961</v>
      </c>
      <c r="N188" s="14">
        <v>0.68</v>
      </c>
      <c r="O188" s="14">
        <v>1906044</v>
      </c>
      <c r="P188" s="17">
        <v>2024257990027</v>
      </c>
      <c r="Q188" s="14" t="s">
        <v>962</v>
      </c>
      <c r="R188" s="18">
        <v>187</v>
      </c>
      <c r="S188" s="14" t="s">
        <v>963</v>
      </c>
      <c r="T188" s="14">
        <v>4752</v>
      </c>
      <c r="U188" s="14" t="s">
        <v>88</v>
      </c>
      <c r="V188" s="14" t="s">
        <v>114</v>
      </c>
      <c r="W188" s="14" t="s">
        <v>964</v>
      </c>
      <c r="X188" s="14" t="s">
        <v>584</v>
      </c>
      <c r="Y188" s="22"/>
      <c r="Z188" s="14">
        <f t="shared" si="680"/>
        <v>4500</v>
      </c>
      <c r="AA188" s="20">
        <f t="shared" si="1"/>
        <v>1.084111111111111</v>
      </c>
      <c r="AB188" s="20">
        <f t="shared" si="2"/>
        <v>0</v>
      </c>
      <c r="AC188" s="21"/>
      <c r="AD188" s="21"/>
      <c r="AE188" s="21">
        <f t="shared" si="3"/>
        <v>0.16261666666666666</v>
      </c>
      <c r="AF188" s="14">
        <v>4500</v>
      </c>
      <c r="AG188" s="14">
        <v>4500</v>
      </c>
      <c r="AH188" s="14">
        <v>4500</v>
      </c>
      <c r="AI188" s="14">
        <v>4500</v>
      </c>
      <c r="AJ188" s="26"/>
      <c r="AK188" s="26"/>
      <c r="AL188" s="26"/>
      <c r="AM188" s="26"/>
      <c r="AN188" s="26">
        <v>4500</v>
      </c>
      <c r="AO188" s="26">
        <v>5257</v>
      </c>
      <c r="AP188" s="26">
        <v>4500</v>
      </c>
      <c r="AQ188" s="26">
        <v>4500</v>
      </c>
      <c r="AR188" s="29">
        <f t="shared" ref="AR188:AS188" si="685">(AJ188+AL188+AN188+AP188)/2</f>
        <v>4500</v>
      </c>
      <c r="AS188" s="29">
        <f t="shared" si="685"/>
        <v>4878.5</v>
      </c>
      <c r="AT188" s="22">
        <f t="shared" si="682"/>
        <v>1.084111111111111</v>
      </c>
      <c r="AU188" s="23" t="str">
        <f t="shared" si="630"/>
        <v>100%</v>
      </c>
      <c r="AV188" s="24">
        <f t="shared" si="7"/>
        <v>1.084111111111111</v>
      </c>
      <c r="AW188" s="14" t="s">
        <v>92</v>
      </c>
      <c r="AX188" s="30" t="s">
        <v>965</v>
      </c>
      <c r="AY188" s="46">
        <v>4500</v>
      </c>
      <c r="AZ188" s="26"/>
      <c r="BA188" s="46">
        <v>4500</v>
      </c>
      <c r="BB188" s="26">
        <v>5313</v>
      </c>
      <c r="BC188" s="46">
        <v>4500</v>
      </c>
      <c r="BD188" s="26">
        <v>5465</v>
      </c>
      <c r="BE188" s="46">
        <v>4500</v>
      </c>
      <c r="BF188" s="26"/>
      <c r="BG188" s="22">
        <f>(AY188+BA188+BC188+BE188)/4</f>
        <v>4500</v>
      </c>
      <c r="BH188" s="22">
        <f>(AZ188+BB188+BD188+BF188)/2</f>
        <v>5389</v>
      </c>
      <c r="BI188" s="23" t="str">
        <f>IF(BF188&gt; 1, IF(BF188 = BG188, "100%", BF188 &amp; "%"), IF(BF188 &lt;= 0.01, "0%", BF188 * 100 &amp; "%"))</f>
        <v>0%</v>
      </c>
      <c r="BJ188" s="24">
        <f t="shared" ref="BJ188:BK188" si="686">IF(BF188=0, 0, BG188/BF188)</f>
        <v>0</v>
      </c>
      <c r="BK188" s="24">
        <f t="shared" si="686"/>
        <v>1.1975555555555555</v>
      </c>
      <c r="BL188" s="26" t="s">
        <v>92</v>
      </c>
      <c r="BM188" s="25" t="s">
        <v>965</v>
      </c>
      <c r="BN188" s="27">
        <v>7602562301</v>
      </c>
      <c r="BO188" s="27">
        <v>1939132794</v>
      </c>
      <c r="BP188" s="27">
        <v>3548477448</v>
      </c>
      <c r="BQ188" s="27">
        <v>3548477448</v>
      </c>
      <c r="BR188" s="27">
        <f t="shared" ref="BR188:BS188" si="687">+BN188+BP188</f>
        <v>11151039749</v>
      </c>
      <c r="BS188" s="27">
        <f t="shared" si="687"/>
        <v>5487610242</v>
      </c>
      <c r="BT188" s="20">
        <f t="shared" si="13"/>
        <v>0.49211646317484575</v>
      </c>
      <c r="BU188" s="27">
        <v>7100374631</v>
      </c>
      <c r="BV188" s="27">
        <v>7642001149</v>
      </c>
      <c r="BW188" s="27">
        <v>6303350865</v>
      </c>
      <c r="BX188" s="27">
        <v>6303350864.6199999</v>
      </c>
      <c r="BY188" s="28">
        <f t="shared" si="149"/>
        <v>0.82482987663837626</v>
      </c>
      <c r="BZ188" s="27">
        <v>7213652828</v>
      </c>
      <c r="CA188" s="20">
        <v>7503659800</v>
      </c>
      <c r="CB188" s="29">
        <v>7805340095</v>
      </c>
      <c r="CC188" s="29">
        <v>8119164296</v>
      </c>
      <c r="CD188" s="29">
        <v>30641817018</v>
      </c>
    </row>
    <row r="189" spans="1:82" ht="71.25" customHeight="1">
      <c r="A189" s="12" t="s">
        <v>851</v>
      </c>
      <c r="B189" s="13">
        <v>0.432</v>
      </c>
      <c r="C189" s="12"/>
      <c r="D189" s="14">
        <v>19</v>
      </c>
      <c r="E189" s="14">
        <v>1906</v>
      </c>
      <c r="F189" s="14">
        <v>24</v>
      </c>
      <c r="G189" s="14" t="s">
        <v>957</v>
      </c>
      <c r="H189" s="14"/>
      <c r="I189" s="14">
        <v>24.1</v>
      </c>
      <c r="J189" s="14" t="s">
        <v>958</v>
      </c>
      <c r="K189" s="14" t="s">
        <v>966</v>
      </c>
      <c r="L189" s="14" t="s">
        <v>967</v>
      </c>
      <c r="M189" s="14" t="s">
        <v>968</v>
      </c>
      <c r="N189" s="14">
        <v>1</v>
      </c>
      <c r="O189" s="14">
        <v>1906038</v>
      </c>
      <c r="P189" s="17">
        <v>2024257990027</v>
      </c>
      <c r="Q189" s="14" t="s">
        <v>962</v>
      </c>
      <c r="R189" s="18">
        <v>188</v>
      </c>
      <c r="S189" s="14" t="s">
        <v>969</v>
      </c>
      <c r="T189" s="14">
        <v>0</v>
      </c>
      <c r="U189" s="14" t="s">
        <v>88</v>
      </c>
      <c r="V189" s="14" t="s">
        <v>89</v>
      </c>
      <c r="W189" s="14" t="s">
        <v>970</v>
      </c>
      <c r="X189" s="14" t="s">
        <v>584</v>
      </c>
      <c r="Y189" s="22"/>
      <c r="Z189" s="14">
        <f t="shared" si="680"/>
        <v>1</v>
      </c>
      <c r="AA189" s="20">
        <f t="shared" si="1"/>
        <v>0.95</v>
      </c>
      <c r="AB189" s="20">
        <f t="shared" si="2"/>
        <v>0.8</v>
      </c>
      <c r="AC189" s="21"/>
      <c r="AD189" s="21"/>
      <c r="AE189" s="21">
        <f t="shared" si="3"/>
        <v>0.42249999999999999</v>
      </c>
      <c r="AF189" s="14">
        <v>1</v>
      </c>
      <c r="AG189" s="14">
        <v>1</v>
      </c>
      <c r="AH189" s="14">
        <v>1</v>
      </c>
      <c r="AI189" s="14">
        <v>1</v>
      </c>
      <c r="AJ189" s="26"/>
      <c r="AK189" s="26"/>
      <c r="AL189" s="26"/>
      <c r="AM189" s="26"/>
      <c r="AN189" s="26">
        <v>0.7</v>
      </c>
      <c r="AO189" s="26">
        <v>0.7</v>
      </c>
      <c r="AP189" s="26">
        <v>0.3</v>
      </c>
      <c r="AQ189" s="26">
        <v>0.25</v>
      </c>
      <c r="AR189" s="22">
        <f t="shared" ref="AR189:AS189" si="688">(AJ189+AL189+AN189+AP189)</f>
        <v>1</v>
      </c>
      <c r="AS189" s="22">
        <f t="shared" si="688"/>
        <v>0.95</v>
      </c>
      <c r="AT189" s="22">
        <f t="shared" si="682"/>
        <v>0.95</v>
      </c>
      <c r="AU189" s="23" t="str">
        <f t="shared" si="630"/>
        <v>100%</v>
      </c>
      <c r="AV189" s="24">
        <f t="shared" si="7"/>
        <v>0.95</v>
      </c>
      <c r="AW189" s="26" t="s">
        <v>92</v>
      </c>
      <c r="AX189" s="47" t="s">
        <v>971</v>
      </c>
      <c r="AY189" s="46">
        <v>0.1</v>
      </c>
      <c r="AZ189" s="46">
        <v>0.1</v>
      </c>
      <c r="BA189" s="46">
        <v>0.3</v>
      </c>
      <c r="BB189" s="46">
        <v>0.3</v>
      </c>
      <c r="BC189" s="46">
        <v>0.4</v>
      </c>
      <c r="BD189" s="46">
        <v>0.4</v>
      </c>
      <c r="BE189" s="46">
        <v>0.2</v>
      </c>
      <c r="BF189" s="26"/>
      <c r="BG189" s="22">
        <f t="shared" ref="BG189:BH189" si="689">(AY189+BA189+BC189+BE189)</f>
        <v>1</v>
      </c>
      <c r="BH189" s="22">
        <f t="shared" si="689"/>
        <v>0.8</v>
      </c>
      <c r="BI189" s="22">
        <f t="shared" ref="BI189:BI232" si="690">BH189/BG189</f>
        <v>0.8</v>
      </c>
      <c r="BJ189" s="23" t="str">
        <f t="shared" ref="BJ189:BJ232" si="691">MIN((BG189 /BG189) * 100, 100) &amp; "%"</f>
        <v>100%</v>
      </c>
      <c r="BK189" s="24">
        <f t="shared" ref="BK189:BK232" si="692">IF(BG189=0, 0, BH189/BG189)</f>
        <v>0.8</v>
      </c>
      <c r="BL189" s="22" t="s">
        <v>92</v>
      </c>
      <c r="BM189" s="25" t="s">
        <v>971</v>
      </c>
      <c r="BN189" s="27">
        <v>20000000</v>
      </c>
      <c r="BO189" s="27">
        <v>20000000</v>
      </c>
      <c r="BP189" s="27">
        <v>0</v>
      </c>
      <c r="BQ189" s="27">
        <v>0</v>
      </c>
      <c r="BR189" s="27">
        <f t="shared" ref="BR189:BS189" si="693">+BN189+BP189</f>
        <v>20000000</v>
      </c>
      <c r="BS189" s="27">
        <f t="shared" si="693"/>
        <v>20000000</v>
      </c>
      <c r="BT189" s="20">
        <f t="shared" si="13"/>
        <v>1</v>
      </c>
      <c r="BU189" s="27">
        <v>20000000</v>
      </c>
      <c r="BV189" s="27">
        <v>20000000</v>
      </c>
      <c r="BW189" s="27">
        <v>20000000</v>
      </c>
      <c r="BX189" s="27">
        <v>0</v>
      </c>
      <c r="BY189" s="28">
        <f t="shared" si="149"/>
        <v>1</v>
      </c>
      <c r="BZ189" s="27">
        <v>125000000</v>
      </c>
      <c r="CA189" s="20">
        <v>127500000</v>
      </c>
      <c r="CB189" s="29">
        <v>130050000</v>
      </c>
      <c r="CC189" s="29">
        <v>133951500</v>
      </c>
      <c r="CD189" s="29">
        <v>516501500</v>
      </c>
    </row>
    <row r="190" spans="1:82" ht="52.5" customHeight="1">
      <c r="A190" s="12" t="s">
        <v>851</v>
      </c>
      <c r="B190" s="13">
        <v>0.432</v>
      </c>
      <c r="C190" s="12"/>
      <c r="D190" s="14">
        <v>19</v>
      </c>
      <c r="E190" s="14">
        <v>1905</v>
      </c>
      <c r="F190" s="14">
        <v>24</v>
      </c>
      <c r="G190" s="14" t="s">
        <v>957</v>
      </c>
      <c r="H190" s="14"/>
      <c r="I190" s="14">
        <v>24.2</v>
      </c>
      <c r="J190" s="14" t="s">
        <v>972</v>
      </c>
      <c r="K190" s="14" t="s">
        <v>973</v>
      </c>
      <c r="L190" s="14" t="s">
        <v>974</v>
      </c>
      <c r="M190" s="14" t="s">
        <v>975</v>
      </c>
      <c r="N190" s="14">
        <v>5.2999999999999999E-2</v>
      </c>
      <c r="O190" s="14">
        <v>1905028</v>
      </c>
      <c r="P190" s="17">
        <v>2024257990028</v>
      </c>
      <c r="Q190" s="14" t="s">
        <v>976</v>
      </c>
      <c r="R190" s="18">
        <v>189</v>
      </c>
      <c r="S190" s="14" t="s">
        <v>977</v>
      </c>
      <c r="T190" s="14">
        <v>1</v>
      </c>
      <c r="U190" s="14" t="s">
        <v>88</v>
      </c>
      <c r="V190" s="14" t="s">
        <v>114</v>
      </c>
      <c r="W190" s="14" t="s">
        <v>978</v>
      </c>
      <c r="X190" s="14" t="s">
        <v>584</v>
      </c>
      <c r="Y190" s="22"/>
      <c r="Z190" s="14">
        <f t="shared" si="680"/>
        <v>1</v>
      </c>
      <c r="AA190" s="20">
        <f t="shared" si="1"/>
        <v>1</v>
      </c>
      <c r="AB190" s="20">
        <f t="shared" si="2"/>
        <v>0.7</v>
      </c>
      <c r="AC190" s="21"/>
      <c r="AD190" s="21"/>
      <c r="AE190" s="21">
        <f t="shared" si="3"/>
        <v>0.39499999999999996</v>
      </c>
      <c r="AF190" s="14">
        <v>1</v>
      </c>
      <c r="AG190" s="14">
        <v>1</v>
      </c>
      <c r="AH190" s="14">
        <v>1</v>
      </c>
      <c r="AI190" s="14">
        <v>1</v>
      </c>
      <c r="AJ190" s="26"/>
      <c r="AK190" s="26"/>
      <c r="AL190" s="26"/>
      <c r="AM190" s="26"/>
      <c r="AN190" s="26">
        <v>0.7</v>
      </c>
      <c r="AO190" s="26">
        <v>0.7</v>
      </c>
      <c r="AP190" s="26">
        <v>0.3</v>
      </c>
      <c r="AQ190" s="26">
        <v>0.3</v>
      </c>
      <c r="AR190" s="22">
        <f t="shared" ref="AR190:AS190" si="694">(AJ190+AL190+AN190+AP190)</f>
        <v>1</v>
      </c>
      <c r="AS190" s="22">
        <f t="shared" si="694"/>
        <v>1</v>
      </c>
      <c r="AT190" s="22">
        <f t="shared" si="682"/>
        <v>1</v>
      </c>
      <c r="AU190" s="23" t="str">
        <f t="shared" si="630"/>
        <v>100%</v>
      </c>
      <c r="AV190" s="24">
        <f t="shared" si="7"/>
        <v>1</v>
      </c>
      <c r="AW190" s="14" t="s">
        <v>92</v>
      </c>
      <c r="AX190" s="30" t="s">
        <v>979</v>
      </c>
      <c r="AY190" s="46">
        <v>0.1</v>
      </c>
      <c r="AZ190" s="46">
        <v>0.1</v>
      </c>
      <c r="BA190" s="46">
        <v>0.3</v>
      </c>
      <c r="BB190" s="46">
        <v>0.3</v>
      </c>
      <c r="BC190" s="46">
        <v>0.3</v>
      </c>
      <c r="BD190" s="46">
        <v>0.3</v>
      </c>
      <c r="BE190" s="46">
        <v>0.3</v>
      </c>
      <c r="BF190" s="26"/>
      <c r="BG190" s="22">
        <f t="shared" ref="BG190:BH190" si="695">(AY190+BA190+BC190+BE190)</f>
        <v>1</v>
      </c>
      <c r="BH190" s="22">
        <f t="shared" si="695"/>
        <v>0.7</v>
      </c>
      <c r="BI190" s="22">
        <f t="shared" si="690"/>
        <v>0.7</v>
      </c>
      <c r="BJ190" s="23" t="str">
        <f t="shared" si="691"/>
        <v>100%</v>
      </c>
      <c r="BK190" s="24">
        <f t="shared" si="692"/>
        <v>0.7</v>
      </c>
      <c r="BL190" s="22" t="s">
        <v>92</v>
      </c>
      <c r="BM190" s="25" t="s">
        <v>979</v>
      </c>
      <c r="BN190" s="27">
        <v>125816620</v>
      </c>
      <c r="BO190" s="27">
        <v>36960000</v>
      </c>
      <c r="BP190" s="27">
        <v>31913767</v>
      </c>
      <c r="BQ190" s="27">
        <v>31913767</v>
      </c>
      <c r="BR190" s="27">
        <f t="shared" ref="BR190:BS190" si="696">+BN190+BP190</f>
        <v>157730387</v>
      </c>
      <c r="BS190" s="27">
        <f t="shared" si="696"/>
        <v>68873767</v>
      </c>
      <c r="BT190" s="20">
        <f t="shared" si="13"/>
        <v>0.43665503084069651</v>
      </c>
      <c r="BU190" s="27">
        <v>44000000</v>
      </c>
      <c r="BV190" s="27">
        <v>125816620</v>
      </c>
      <c r="BW190" s="27">
        <v>41816620</v>
      </c>
      <c r="BX190" s="27">
        <v>25200000</v>
      </c>
      <c r="BY190" s="28">
        <f t="shared" si="149"/>
        <v>0.33236165460493217</v>
      </c>
      <c r="BZ190" s="27">
        <v>48000000</v>
      </c>
      <c r="CA190" s="20">
        <v>49480000</v>
      </c>
      <c r="CB190" s="29">
        <v>50969600</v>
      </c>
      <c r="CC190" s="29">
        <v>52718688</v>
      </c>
      <c r="CD190" s="29">
        <v>201168288</v>
      </c>
    </row>
    <row r="191" spans="1:82" ht="52.5" customHeight="1">
      <c r="A191" s="12" t="s">
        <v>851</v>
      </c>
      <c r="B191" s="13">
        <v>0.432</v>
      </c>
      <c r="C191" s="12"/>
      <c r="D191" s="14">
        <v>19</v>
      </c>
      <c r="E191" s="14">
        <v>1905</v>
      </c>
      <c r="F191" s="14">
        <v>24</v>
      </c>
      <c r="G191" s="14" t="s">
        <v>957</v>
      </c>
      <c r="H191" s="14"/>
      <c r="I191" s="14">
        <v>24.2</v>
      </c>
      <c r="J191" s="14" t="s">
        <v>972</v>
      </c>
      <c r="K191" s="14" t="s">
        <v>980</v>
      </c>
      <c r="L191" s="14" t="s">
        <v>981</v>
      </c>
      <c r="M191" s="14" t="s">
        <v>982</v>
      </c>
      <c r="N191" s="14">
        <v>0.25</v>
      </c>
      <c r="O191" s="14">
        <v>1905028</v>
      </c>
      <c r="P191" s="17">
        <v>2024257990028</v>
      </c>
      <c r="Q191" s="14" t="s">
        <v>976</v>
      </c>
      <c r="R191" s="18">
        <v>190</v>
      </c>
      <c r="S191" s="14" t="s">
        <v>983</v>
      </c>
      <c r="T191" s="14">
        <v>0</v>
      </c>
      <c r="U191" s="14" t="s">
        <v>88</v>
      </c>
      <c r="V191" s="14" t="s">
        <v>89</v>
      </c>
      <c r="W191" s="14" t="s">
        <v>984</v>
      </c>
      <c r="X191" s="14" t="s">
        <v>584</v>
      </c>
      <c r="Y191" s="22"/>
      <c r="Z191" s="14">
        <f t="shared" si="680"/>
        <v>2</v>
      </c>
      <c r="AA191" s="20">
        <f t="shared" si="1"/>
        <v>1</v>
      </c>
      <c r="AB191" s="20">
        <f t="shared" si="2"/>
        <v>0.47499999999999998</v>
      </c>
      <c r="AC191" s="21"/>
      <c r="AD191" s="21"/>
      <c r="AE191" s="21">
        <f t="shared" si="3"/>
        <v>0.31624999999999998</v>
      </c>
      <c r="AF191" s="14">
        <v>2</v>
      </c>
      <c r="AG191" s="14">
        <v>2</v>
      </c>
      <c r="AH191" s="14">
        <v>2</v>
      </c>
      <c r="AI191" s="14">
        <v>2</v>
      </c>
      <c r="AJ191" s="26"/>
      <c r="AK191" s="26"/>
      <c r="AL191" s="26"/>
      <c r="AM191" s="26"/>
      <c r="AN191" s="26">
        <v>1</v>
      </c>
      <c r="AO191" s="26">
        <v>1</v>
      </c>
      <c r="AP191" s="26">
        <v>1</v>
      </c>
      <c r="AQ191" s="26">
        <v>1</v>
      </c>
      <c r="AR191" s="22">
        <f t="shared" ref="AR191:AS191" si="697">(AJ191+AL191+AN191+AP191)</f>
        <v>2</v>
      </c>
      <c r="AS191" s="22">
        <f t="shared" si="697"/>
        <v>2</v>
      </c>
      <c r="AT191" s="22">
        <f t="shared" si="682"/>
        <v>1</v>
      </c>
      <c r="AU191" s="23" t="str">
        <f t="shared" si="630"/>
        <v>100%</v>
      </c>
      <c r="AV191" s="24">
        <f t="shared" si="7"/>
        <v>1</v>
      </c>
      <c r="AW191" s="14" t="s">
        <v>92</v>
      </c>
      <c r="AX191" s="47" t="s">
        <v>985</v>
      </c>
      <c r="AY191" s="26">
        <v>0.5</v>
      </c>
      <c r="AZ191" s="26">
        <v>0.5</v>
      </c>
      <c r="BA191" s="26">
        <v>0.5</v>
      </c>
      <c r="BB191" s="26">
        <v>0.5</v>
      </c>
      <c r="BC191" s="26">
        <v>0.9</v>
      </c>
      <c r="BD191" s="26">
        <v>0.9</v>
      </c>
      <c r="BE191" s="26">
        <v>0.1</v>
      </c>
      <c r="BF191" s="26"/>
      <c r="BG191" s="22">
        <f t="shared" ref="BG191:BH191" si="698">(AY191+BA191+BC191+BE191)</f>
        <v>2</v>
      </c>
      <c r="BH191" s="22">
        <f t="shared" si="698"/>
        <v>1.9</v>
      </c>
      <c r="BI191" s="22">
        <f t="shared" si="690"/>
        <v>0.95</v>
      </c>
      <c r="BJ191" s="23" t="str">
        <f t="shared" si="691"/>
        <v>100%</v>
      </c>
      <c r="BK191" s="24">
        <f t="shared" si="692"/>
        <v>0.95</v>
      </c>
      <c r="BL191" s="22" t="s">
        <v>92</v>
      </c>
      <c r="BM191" s="25" t="s">
        <v>985</v>
      </c>
      <c r="BN191" s="27">
        <v>28875000</v>
      </c>
      <c r="BO191" s="27">
        <v>27665000</v>
      </c>
      <c r="BP191" s="27">
        <v>0</v>
      </c>
      <c r="BQ191" s="27">
        <v>0</v>
      </c>
      <c r="BR191" s="27">
        <f t="shared" ref="BR191:BS191" si="699">+BN191+BP191</f>
        <v>28875000</v>
      </c>
      <c r="BS191" s="27">
        <f t="shared" si="699"/>
        <v>27665000</v>
      </c>
      <c r="BT191" s="20">
        <f t="shared" si="13"/>
        <v>0.95809523809523811</v>
      </c>
      <c r="BU191" s="27">
        <v>28875000</v>
      </c>
      <c r="BV191" s="27">
        <v>28875000</v>
      </c>
      <c r="BW191" s="27">
        <v>27665000</v>
      </c>
      <c r="BX191" s="27">
        <v>18205000</v>
      </c>
      <c r="BY191" s="28">
        <f t="shared" si="149"/>
        <v>0.95809523809523811</v>
      </c>
      <c r="BZ191" s="27">
        <v>25000000</v>
      </c>
      <c r="CA191" s="20">
        <v>0</v>
      </c>
      <c r="CB191" s="29">
        <v>0</v>
      </c>
      <c r="CC191" s="29">
        <v>0</v>
      </c>
      <c r="CD191" s="29">
        <v>25000000</v>
      </c>
    </row>
    <row r="192" spans="1:82" ht="52.5" customHeight="1">
      <c r="A192" s="12" t="s">
        <v>851</v>
      </c>
      <c r="B192" s="13">
        <v>0.432</v>
      </c>
      <c r="C192" s="12"/>
      <c r="D192" s="14">
        <v>19</v>
      </c>
      <c r="E192" s="14">
        <v>1905</v>
      </c>
      <c r="F192" s="14">
        <v>24</v>
      </c>
      <c r="G192" s="14" t="s">
        <v>957</v>
      </c>
      <c r="H192" s="14"/>
      <c r="I192" s="14">
        <v>24.2</v>
      </c>
      <c r="J192" s="14" t="s">
        <v>972</v>
      </c>
      <c r="K192" s="14" t="s">
        <v>986</v>
      </c>
      <c r="L192" s="14" t="s">
        <v>987</v>
      </c>
      <c r="M192" s="14" t="s">
        <v>988</v>
      </c>
      <c r="N192" s="14" t="s">
        <v>989</v>
      </c>
      <c r="O192" s="14">
        <v>1905022</v>
      </c>
      <c r="P192" s="17">
        <v>2024257990028</v>
      </c>
      <c r="Q192" s="14" t="s">
        <v>976</v>
      </c>
      <c r="R192" s="18">
        <v>191</v>
      </c>
      <c r="S192" s="14" t="s">
        <v>990</v>
      </c>
      <c r="T192" s="14">
        <v>1</v>
      </c>
      <c r="U192" s="14" t="s">
        <v>88</v>
      </c>
      <c r="V192" s="14" t="s">
        <v>114</v>
      </c>
      <c r="W192" s="14" t="s">
        <v>991</v>
      </c>
      <c r="X192" s="14" t="s">
        <v>584</v>
      </c>
      <c r="Y192" s="22"/>
      <c r="Z192" s="14">
        <f t="shared" si="680"/>
        <v>1</v>
      </c>
      <c r="AA192" s="20">
        <f t="shared" si="1"/>
        <v>0.97</v>
      </c>
      <c r="AB192" s="20">
        <f t="shared" si="2"/>
        <v>1</v>
      </c>
      <c r="AC192" s="21"/>
      <c r="AD192" s="21"/>
      <c r="AE192" s="21">
        <f t="shared" si="3"/>
        <v>0.49549999999999994</v>
      </c>
      <c r="AF192" s="14">
        <v>1</v>
      </c>
      <c r="AG192" s="14">
        <v>1</v>
      </c>
      <c r="AH192" s="14">
        <v>1</v>
      </c>
      <c r="AI192" s="14">
        <v>1</v>
      </c>
      <c r="AJ192" s="26"/>
      <c r="AK192" s="26"/>
      <c r="AL192" s="26"/>
      <c r="AM192" s="26"/>
      <c r="AN192" s="26">
        <v>0.7</v>
      </c>
      <c r="AO192" s="26">
        <v>0.7</v>
      </c>
      <c r="AP192" s="26">
        <v>0.3</v>
      </c>
      <c r="AQ192" s="26">
        <v>0.27</v>
      </c>
      <c r="AR192" s="22">
        <f t="shared" ref="AR192:AS192" si="700">(AJ192+AL192+AN192+AP192)</f>
        <v>1</v>
      </c>
      <c r="AS192" s="22">
        <f t="shared" si="700"/>
        <v>0.97</v>
      </c>
      <c r="AT192" s="22">
        <f t="shared" si="682"/>
        <v>0.97</v>
      </c>
      <c r="AU192" s="23" t="str">
        <f t="shared" si="630"/>
        <v>100%</v>
      </c>
      <c r="AV192" s="24">
        <f t="shared" si="7"/>
        <v>0.97</v>
      </c>
      <c r="AW192" s="14" t="s">
        <v>92</v>
      </c>
      <c r="AX192" s="30" t="s">
        <v>992</v>
      </c>
      <c r="AY192" s="26">
        <v>0.5</v>
      </c>
      <c r="AZ192" s="26">
        <v>0.5</v>
      </c>
      <c r="BA192" s="26">
        <v>0.25</v>
      </c>
      <c r="BB192" s="26">
        <v>0.25</v>
      </c>
      <c r="BC192" s="26">
        <v>0.25</v>
      </c>
      <c r="BD192" s="26">
        <v>0.25</v>
      </c>
      <c r="BE192" s="26">
        <v>0</v>
      </c>
      <c r="BF192" s="26"/>
      <c r="BG192" s="22">
        <f t="shared" ref="BG192:BH192" si="701">(AY192+BA192+BC192+BE192)</f>
        <v>1</v>
      </c>
      <c r="BH192" s="22">
        <f t="shared" si="701"/>
        <v>1</v>
      </c>
      <c r="BI192" s="22">
        <f t="shared" si="690"/>
        <v>1</v>
      </c>
      <c r="BJ192" s="23" t="str">
        <f t="shared" si="691"/>
        <v>100%</v>
      </c>
      <c r="BK192" s="24">
        <f t="shared" si="692"/>
        <v>1</v>
      </c>
      <c r="BL192" s="22" t="s">
        <v>92</v>
      </c>
      <c r="BM192" s="25" t="s">
        <v>992</v>
      </c>
      <c r="BN192" s="27">
        <v>148200000</v>
      </c>
      <c r="BO192" s="27">
        <v>40533333</v>
      </c>
      <c r="BP192" s="27">
        <v>18333333</v>
      </c>
      <c r="BQ192" s="27">
        <v>18333333</v>
      </c>
      <c r="BR192" s="27">
        <f t="shared" ref="BR192:BS192" si="702">+BN192+BP192</f>
        <v>166533333</v>
      </c>
      <c r="BS192" s="27">
        <f t="shared" si="702"/>
        <v>58866666</v>
      </c>
      <c r="BT192" s="20">
        <f t="shared" si="13"/>
        <v>0.3534827829333122</v>
      </c>
      <c r="BU192" s="27">
        <v>46200000</v>
      </c>
      <c r="BV192" s="27">
        <v>148200000</v>
      </c>
      <c r="BW192" s="27">
        <v>82391941</v>
      </c>
      <c r="BX192" s="27">
        <v>29066667</v>
      </c>
      <c r="BY192" s="28">
        <f t="shared" si="149"/>
        <v>0.55595101889338727</v>
      </c>
      <c r="BZ192" s="27">
        <v>48000000</v>
      </c>
      <c r="CA192" s="20">
        <v>49480000</v>
      </c>
      <c r="CB192" s="29">
        <v>50969600</v>
      </c>
      <c r="CC192" s="29">
        <v>52718688</v>
      </c>
      <c r="CD192" s="29">
        <v>201168288</v>
      </c>
    </row>
    <row r="193" spans="1:82" ht="52.5" customHeight="1">
      <c r="A193" s="12" t="s">
        <v>851</v>
      </c>
      <c r="B193" s="13">
        <v>0.432</v>
      </c>
      <c r="C193" s="12"/>
      <c r="D193" s="14">
        <v>19</v>
      </c>
      <c r="E193" s="14">
        <v>1905</v>
      </c>
      <c r="F193" s="14">
        <v>24</v>
      </c>
      <c r="G193" s="14" t="s">
        <v>957</v>
      </c>
      <c r="H193" s="14"/>
      <c r="I193" s="14">
        <v>24.2</v>
      </c>
      <c r="J193" s="14" t="s">
        <v>972</v>
      </c>
      <c r="K193" s="14" t="s">
        <v>993</v>
      </c>
      <c r="L193" s="14" t="s">
        <v>994</v>
      </c>
      <c r="M193" s="14" t="s">
        <v>995</v>
      </c>
      <c r="N193" s="14">
        <v>0</v>
      </c>
      <c r="O193" s="14">
        <v>1905022</v>
      </c>
      <c r="P193" s="17">
        <v>2024257990028</v>
      </c>
      <c r="Q193" s="14" t="s">
        <v>976</v>
      </c>
      <c r="R193" s="18">
        <v>192</v>
      </c>
      <c r="S193" s="14" t="s">
        <v>996</v>
      </c>
      <c r="T193" s="14">
        <v>1</v>
      </c>
      <c r="U193" s="14" t="s">
        <v>88</v>
      </c>
      <c r="V193" s="14" t="s">
        <v>114</v>
      </c>
      <c r="W193" s="14" t="s">
        <v>997</v>
      </c>
      <c r="X193" s="14" t="s">
        <v>584</v>
      </c>
      <c r="Y193" s="22"/>
      <c r="Z193" s="14">
        <f t="shared" si="680"/>
        <v>1</v>
      </c>
      <c r="AA193" s="20">
        <f t="shared" si="1"/>
        <v>0.95</v>
      </c>
      <c r="AB193" s="20">
        <f t="shared" si="2"/>
        <v>0.8</v>
      </c>
      <c r="AC193" s="21"/>
      <c r="AD193" s="21"/>
      <c r="AE193" s="21">
        <f t="shared" si="3"/>
        <v>0.42249999999999999</v>
      </c>
      <c r="AF193" s="14">
        <v>1</v>
      </c>
      <c r="AG193" s="14">
        <v>1</v>
      </c>
      <c r="AH193" s="14">
        <v>1</v>
      </c>
      <c r="AI193" s="14">
        <v>1</v>
      </c>
      <c r="AJ193" s="26"/>
      <c r="AK193" s="26"/>
      <c r="AL193" s="26"/>
      <c r="AM193" s="26"/>
      <c r="AN193" s="26">
        <v>0.7</v>
      </c>
      <c r="AO193" s="26">
        <v>0.7</v>
      </c>
      <c r="AP193" s="26">
        <v>0.3</v>
      </c>
      <c r="AQ193" s="26">
        <v>0.25</v>
      </c>
      <c r="AR193" s="22">
        <f t="shared" ref="AR193:AS193" si="703">(AJ193+AL193+AN193+AP193)</f>
        <v>1</v>
      </c>
      <c r="AS193" s="22">
        <f t="shared" si="703"/>
        <v>0.95</v>
      </c>
      <c r="AT193" s="22">
        <f t="shared" si="682"/>
        <v>0.95</v>
      </c>
      <c r="AU193" s="23" t="str">
        <f t="shared" si="630"/>
        <v>100%</v>
      </c>
      <c r="AV193" s="24">
        <f t="shared" si="7"/>
        <v>0.95</v>
      </c>
      <c r="AW193" s="14" t="s">
        <v>92</v>
      </c>
      <c r="AX193" s="30" t="s">
        <v>998</v>
      </c>
      <c r="AY193" s="46">
        <v>0.1</v>
      </c>
      <c r="AZ193" s="46">
        <v>0.1</v>
      </c>
      <c r="BA193" s="46">
        <v>0.3</v>
      </c>
      <c r="BB193" s="46">
        <v>0.3</v>
      </c>
      <c r="BC193" s="46">
        <v>0.4</v>
      </c>
      <c r="BD193" s="46">
        <v>0.4</v>
      </c>
      <c r="BE193" s="46">
        <v>0.2</v>
      </c>
      <c r="BF193" s="26"/>
      <c r="BG193" s="22">
        <f t="shared" ref="BG193:BH193" si="704">(AY193+BA193+BC193+BE193)</f>
        <v>1</v>
      </c>
      <c r="BH193" s="22">
        <f t="shared" si="704"/>
        <v>0.8</v>
      </c>
      <c r="BI193" s="22">
        <f t="shared" si="690"/>
        <v>0.8</v>
      </c>
      <c r="BJ193" s="23" t="str">
        <f t="shared" si="691"/>
        <v>100%</v>
      </c>
      <c r="BK193" s="24">
        <f t="shared" si="692"/>
        <v>0.8</v>
      </c>
      <c r="BL193" s="22" t="s">
        <v>92</v>
      </c>
      <c r="BM193" s="25" t="s">
        <v>998</v>
      </c>
      <c r="BN193" s="27">
        <v>60000000</v>
      </c>
      <c r="BO193" s="27">
        <v>0</v>
      </c>
      <c r="BP193" s="27">
        <v>36000000</v>
      </c>
      <c r="BQ193" s="27">
        <v>36000000</v>
      </c>
      <c r="BR193" s="27">
        <f t="shared" ref="BR193:BS193" si="705">+BN193+BP193</f>
        <v>96000000</v>
      </c>
      <c r="BS193" s="27">
        <f t="shared" si="705"/>
        <v>36000000</v>
      </c>
      <c r="BT193" s="20">
        <f t="shared" si="13"/>
        <v>0.375</v>
      </c>
      <c r="BU193" s="27">
        <v>60000000</v>
      </c>
      <c r="BV193" s="27">
        <v>60000000</v>
      </c>
      <c r="BW193" s="27">
        <v>60000000</v>
      </c>
      <c r="BX193" s="27">
        <v>30600000</v>
      </c>
      <c r="BY193" s="28">
        <f t="shared" si="149"/>
        <v>1</v>
      </c>
      <c r="BZ193" s="27">
        <v>240000000</v>
      </c>
      <c r="CA193" s="20">
        <v>247400000</v>
      </c>
      <c r="CB193" s="29">
        <v>250848000</v>
      </c>
      <c r="CC193" s="29">
        <v>256593440</v>
      </c>
      <c r="CD193" s="29">
        <v>994841440</v>
      </c>
    </row>
    <row r="194" spans="1:82" ht="52.5" customHeight="1">
      <c r="A194" s="12" t="s">
        <v>851</v>
      </c>
      <c r="B194" s="13">
        <v>0.432</v>
      </c>
      <c r="C194" s="12"/>
      <c r="D194" s="14">
        <v>19</v>
      </c>
      <c r="E194" s="14">
        <v>1905</v>
      </c>
      <c r="F194" s="14">
        <v>24</v>
      </c>
      <c r="G194" s="14" t="s">
        <v>957</v>
      </c>
      <c r="H194" s="14"/>
      <c r="I194" s="14">
        <v>24.2</v>
      </c>
      <c r="J194" s="14" t="s">
        <v>972</v>
      </c>
      <c r="K194" s="14" t="s">
        <v>999</v>
      </c>
      <c r="L194" s="14" t="s">
        <v>1000</v>
      </c>
      <c r="M194" s="14" t="s">
        <v>1001</v>
      </c>
      <c r="N194" s="14">
        <v>0</v>
      </c>
      <c r="O194" s="14">
        <v>1905021</v>
      </c>
      <c r="P194" s="17">
        <v>2024257990028</v>
      </c>
      <c r="Q194" s="14" t="s">
        <v>976</v>
      </c>
      <c r="R194" s="18">
        <v>193</v>
      </c>
      <c r="S194" s="14" t="s">
        <v>1002</v>
      </c>
      <c r="T194" s="14">
        <v>1</v>
      </c>
      <c r="U194" s="14" t="s">
        <v>88</v>
      </c>
      <c r="V194" s="14" t="s">
        <v>114</v>
      </c>
      <c r="W194" s="14" t="s">
        <v>997</v>
      </c>
      <c r="X194" s="14" t="s">
        <v>584</v>
      </c>
      <c r="Y194" s="22"/>
      <c r="Z194" s="14">
        <f t="shared" si="680"/>
        <v>1</v>
      </c>
      <c r="AA194" s="20">
        <f t="shared" si="1"/>
        <v>0.65</v>
      </c>
      <c r="AB194" s="20">
        <f t="shared" si="2"/>
        <v>0.8</v>
      </c>
      <c r="AC194" s="21"/>
      <c r="AD194" s="21"/>
      <c r="AE194" s="21">
        <f t="shared" si="3"/>
        <v>0.37749999999999995</v>
      </c>
      <c r="AF194" s="14">
        <v>1</v>
      </c>
      <c r="AG194" s="14">
        <v>1</v>
      </c>
      <c r="AH194" s="14">
        <v>1</v>
      </c>
      <c r="AI194" s="14">
        <v>1</v>
      </c>
      <c r="AJ194" s="26"/>
      <c r="AK194" s="26"/>
      <c r="AL194" s="26"/>
      <c r="AM194" s="26"/>
      <c r="AN194" s="26">
        <v>0.4</v>
      </c>
      <c r="AO194" s="26">
        <v>0.4</v>
      </c>
      <c r="AP194" s="26">
        <v>0.6</v>
      </c>
      <c r="AQ194" s="26">
        <v>0.25</v>
      </c>
      <c r="AR194" s="22">
        <f t="shared" ref="AR194:AS194" si="706">(AJ194+AL194+AN194+AP194)</f>
        <v>1</v>
      </c>
      <c r="AS194" s="22">
        <f t="shared" si="706"/>
        <v>0.65</v>
      </c>
      <c r="AT194" s="22">
        <f t="shared" si="682"/>
        <v>0.65</v>
      </c>
      <c r="AU194" s="23" t="str">
        <f t="shared" si="630"/>
        <v>100%</v>
      </c>
      <c r="AV194" s="24">
        <f t="shared" si="7"/>
        <v>0.65</v>
      </c>
      <c r="AW194" s="14" t="s">
        <v>92</v>
      </c>
      <c r="AX194" s="30" t="s">
        <v>1003</v>
      </c>
      <c r="AY194" s="46">
        <v>0.1</v>
      </c>
      <c r="AZ194" s="46">
        <v>0.1</v>
      </c>
      <c r="BA194" s="46">
        <v>0.3</v>
      </c>
      <c r="BB194" s="46">
        <v>0.3</v>
      </c>
      <c r="BC194" s="46">
        <v>0.4</v>
      </c>
      <c r="BD194" s="46">
        <v>0.4</v>
      </c>
      <c r="BE194" s="46">
        <v>0.2</v>
      </c>
      <c r="BF194" s="26"/>
      <c r="BG194" s="22">
        <f t="shared" ref="BG194:BH194" si="707">(AY194+BA194+BC194+BE194)</f>
        <v>1</v>
      </c>
      <c r="BH194" s="22">
        <f t="shared" si="707"/>
        <v>0.8</v>
      </c>
      <c r="BI194" s="22">
        <f t="shared" si="690"/>
        <v>0.8</v>
      </c>
      <c r="BJ194" s="23" t="str">
        <f t="shared" si="691"/>
        <v>100%</v>
      </c>
      <c r="BK194" s="24">
        <f t="shared" si="692"/>
        <v>0.8</v>
      </c>
      <c r="BL194" s="22" t="s">
        <v>92</v>
      </c>
      <c r="BM194" s="25" t="s">
        <v>1003</v>
      </c>
      <c r="BN194" s="27">
        <v>60390000</v>
      </c>
      <c r="BO194" s="27">
        <v>38266667</v>
      </c>
      <c r="BP194" s="27">
        <v>26534000</v>
      </c>
      <c r="BQ194" s="27">
        <v>26534000</v>
      </c>
      <c r="BR194" s="27">
        <f t="shared" ref="BR194:BS194" si="708">+BN194+BP194</f>
        <v>86924000</v>
      </c>
      <c r="BS194" s="27">
        <f t="shared" si="708"/>
        <v>64800667</v>
      </c>
      <c r="BT194" s="20">
        <f t="shared" si="13"/>
        <v>0.74548648244443427</v>
      </c>
      <c r="BU194" s="27">
        <v>60390000</v>
      </c>
      <c r="BV194" s="27">
        <v>60390000</v>
      </c>
      <c r="BW194" s="27">
        <v>56685262</v>
      </c>
      <c r="BX194" s="27">
        <v>40532600</v>
      </c>
      <c r="BY194" s="28">
        <f t="shared" si="149"/>
        <v>0.93865312137771151</v>
      </c>
      <c r="BZ194" s="27">
        <v>20000000</v>
      </c>
      <c r="CA194" s="20">
        <v>20400000</v>
      </c>
      <c r="CB194" s="29">
        <v>0</v>
      </c>
      <c r="CC194" s="29">
        <v>0</v>
      </c>
      <c r="CD194" s="29">
        <v>40400000</v>
      </c>
    </row>
    <row r="195" spans="1:82" ht="52.5" customHeight="1">
      <c r="A195" s="12" t="s">
        <v>851</v>
      </c>
      <c r="B195" s="13">
        <v>0.432</v>
      </c>
      <c r="C195" s="12"/>
      <c r="D195" s="14">
        <v>19</v>
      </c>
      <c r="E195" s="14">
        <v>1905</v>
      </c>
      <c r="F195" s="14">
        <v>24</v>
      </c>
      <c r="G195" s="14" t="s">
        <v>957</v>
      </c>
      <c r="H195" s="14"/>
      <c r="I195" s="14">
        <v>24.2</v>
      </c>
      <c r="J195" s="14" t="s">
        <v>972</v>
      </c>
      <c r="K195" s="14" t="s">
        <v>1004</v>
      </c>
      <c r="L195" s="14" t="s">
        <v>1005</v>
      </c>
      <c r="M195" s="14" t="s">
        <v>1006</v>
      </c>
      <c r="N195" s="14">
        <v>0</v>
      </c>
      <c r="O195" s="14">
        <v>1905026</v>
      </c>
      <c r="P195" s="17">
        <v>2024257990028</v>
      </c>
      <c r="Q195" s="14" t="s">
        <v>976</v>
      </c>
      <c r="R195" s="18">
        <v>194</v>
      </c>
      <c r="S195" s="14" t="s">
        <v>1007</v>
      </c>
      <c r="T195" s="14">
        <v>1</v>
      </c>
      <c r="U195" s="14" t="s">
        <v>88</v>
      </c>
      <c r="V195" s="14" t="s">
        <v>114</v>
      </c>
      <c r="W195" s="14" t="s">
        <v>782</v>
      </c>
      <c r="X195" s="14" t="s">
        <v>584</v>
      </c>
      <c r="Y195" s="22"/>
      <c r="Z195" s="14">
        <f t="shared" si="680"/>
        <v>1</v>
      </c>
      <c r="AA195" s="20">
        <f t="shared" si="1"/>
        <v>0.95</v>
      </c>
      <c r="AB195" s="20">
        <f t="shared" si="2"/>
        <v>0.8</v>
      </c>
      <c r="AC195" s="21"/>
      <c r="AD195" s="21"/>
      <c r="AE195" s="21">
        <f t="shared" si="3"/>
        <v>0.42249999999999999</v>
      </c>
      <c r="AF195" s="14">
        <v>1</v>
      </c>
      <c r="AG195" s="14">
        <v>1</v>
      </c>
      <c r="AH195" s="14">
        <v>1</v>
      </c>
      <c r="AI195" s="14">
        <v>1</v>
      </c>
      <c r="AJ195" s="26"/>
      <c r="AK195" s="26"/>
      <c r="AL195" s="26"/>
      <c r="AM195" s="26"/>
      <c r="AN195" s="26">
        <v>0.5</v>
      </c>
      <c r="AO195" s="26">
        <v>0.5</v>
      </c>
      <c r="AP195" s="26">
        <v>0.5</v>
      </c>
      <c r="AQ195" s="26">
        <v>0.45</v>
      </c>
      <c r="AR195" s="22">
        <f t="shared" ref="AR195:AS195" si="709">(AJ195+AL195+AN195+AP195)</f>
        <v>1</v>
      </c>
      <c r="AS195" s="22">
        <f t="shared" si="709"/>
        <v>0.95</v>
      </c>
      <c r="AT195" s="22">
        <f t="shared" si="682"/>
        <v>0.95</v>
      </c>
      <c r="AU195" s="23" t="str">
        <f t="shared" si="630"/>
        <v>100%</v>
      </c>
      <c r="AV195" s="24">
        <f t="shared" si="7"/>
        <v>0.95</v>
      </c>
      <c r="AW195" s="14" t="s">
        <v>92</v>
      </c>
      <c r="AX195" s="47" t="s">
        <v>1008</v>
      </c>
      <c r="AY195" s="46">
        <v>0.1</v>
      </c>
      <c r="AZ195" s="46">
        <v>0.1</v>
      </c>
      <c r="BA195" s="46">
        <v>0.3</v>
      </c>
      <c r="BB195" s="46">
        <v>0.3</v>
      </c>
      <c r="BC195" s="46">
        <v>0.4</v>
      </c>
      <c r="BD195" s="46">
        <v>0.4</v>
      </c>
      <c r="BE195" s="46">
        <v>0.2</v>
      </c>
      <c r="BF195" s="26"/>
      <c r="BG195" s="22">
        <f t="shared" ref="BG195:BH195" si="710">(AY195+BA195+BC195+BE195)</f>
        <v>1</v>
      </c>
      <c r="BH195" s="22">
        <f t="shared" si="710"/>
        <v>0.8</v>
      </c>
      <c r="BI195" s="22">
        <f t="shared" si="690"/>
        <v>0.8</v>
      </c>
      <c r="BJ195" s="23" t="str">
        <f t="shared" si="691"/>
        <v>100%</v>
      </c>
      <c r="BK195" s="24">
        <f t="shared" si="692"/>
        <v>0.8</v>
      </c>
      <c r="BL195" s="22" t="s">
        <v>92</v>
      </c>
      <c r="BM195" s="25" t="s">
        <v>1008</v>
      </c>
      <c r="BN195" s="27">
        <v>49665000</v>
      </c>
      <c r="BO195" s="27">
        <v>18064797</v>
      </c>
      <c r="BP195" s="27">
        <v>11207744</v>
      </c>
      <c r="BQ195" s="27">
        <v>11207744</v>
      </c>
      <c r="BR195" s="27">
        <f t="shared" ref="BR195:BS195" si="711">+BN195+BP195</f>
        <v>60872744</v>
      </c>
      <c r="BS195" s="27">
        <f t="shared" si="711"/>
        <v>29272541</v>
      </c>
      <c r="BT195" s="20">
        <f t="shared" si="13"/>
        <v>0.48088091773881592</v>
      </c>
      <c r="BU195" s="27">
        <v>49665000</v>
      </c>
      <c r="BV195" s="27">
        <v>49665000</v>
      </c>
      <c r="BW195" s="27">
        <v>28731463</v>
      </c>
      <c r="BX195" s="27">
        <v>18064797</v>
      </c>
      <c r="BY195" s="28">
        <f t="shared" si="149"/>
        <v>0.57850524514245449</v>
      </c>
      <c r="BZ195" s="27">
        <v>48000000</v>
      </c>
      <c r="CA195" s="20">
        <v>49480000</v>
      </c>
      <c r="CB195" s="29">
        <v>50969600</v>
      </c>
      <c r="CC195" s="29">
        <v>52718688</v>
      </c>
      <c r="CD195" s="29">
        <v>201168288</v>
      </c>
    </row>
    <row r="196" spans="1:82" ht="63" customHeight="1">
      <c r="A196" s="12" t="s">
        <v>851</v>
      </c>
      <c r="B196" s="13">
        <v>0.432</v>
      </c>
      <c r="C196" s="12"/>
      <c r="D196" s="14">
        <v>19</v>
      </c>
      <c r="E196" s="14">
        <v>1905</v>
      </c>
      <c r="F196" s="14">
        <v>24</v>
      </c>
      <c r="G196" s="14" t="s">
        <v>957</v>
      </c>
      <c r="H196" s="14"/>
      <c r="I196" s="14">
        <v>24.2</v>
      </c>
      <c r="J196" s="14" t="s">
        <v>972</v>
      </c>
      <c r="K196" s="14" t="s">
        <v>1009</v>
      </c>
      <c r="L196" s="14" t="s">
        <v>1010</v>
      </c>
      <c r="M196" s="14" t="s">
        <v>1011</v>
      </c>
      <c r="N196" s="14">
        <v>100</v>
      </c>
      <c r="O196" s="14">
        <v>1905007</v>
      </c>
      <c r="P196" s="17">
        <v>2024257990028</v>
      </c>
      <c r="Q196" s="14" t="s">
        <v>976</v>
      </c>
      <c r="R196" s="18">
        <v>195</v>
      </c>
      <c r="S196" s="14" t="s">
        <v>1012</v>
      </c>
      <c r="T196" s="14">
        <v>0</v>
      </c>
      <c r="U196" s="14" t="s">
        <v>88</v>
      </c>
      <c r="V196" s="14" t="s">
        <v>89</v>
      </c>
      <c r="W196" s="14" t="s">
        <v>1013</v>
      </c>
      <c r="X196" s="14" t="s">
        <v>584</v>
      </c>
      <c r="Y196" s="22"/>
      <c r="Z196" s="18">
        <f>SUM(AF196:AI196)</f>
        <v>1</v>
      </c>
      <c r="AA196" s="20">
        <f t="shared" si="1"/>
        <v>0</v>
      </c>
      <c r="AB196" s="20">
        <f t="shared" si="2"/>
        <v>0.6</v>
      </c>
      <c r="AC196" s="21"/>
      <c r="AD196" s="21"/>
      <c r="AE196" s="21">
        <f t="shared" si="3"/>
        <v>0.21</v>
      </c>
      <c r="AF196" s="22">
        <v>0</v>
      </c>
      <c r="AG196" s="22">
        <v>0.7</v>
      </c>
      <c r="AH196" s="22">
        <v>0.3</v>
      </c>
      <c r="AI196" s="22">
        <v>0</v>
      </c>
      <c r="AJ196" s="26"/>
      <c r="AK196" s="26"/>
      <c r="AL196" s="26"/>
      <c r="AM196" s="26"/>
      <c r="AN196" s="34">
        <v>0</v>
      </c>
      <c r="AO196" s="34">
        <v>0</v>
      </c>
      <c r="AP196" s="34">
        <v>0</v>
      </c>
      <c r="AQ196" s="34">
        <v>0</v>
      </c>
      <c r="AR196" s="34">
        <v>0</v>
      </c>
      <c r="AS196" s="34">
        <f>(AK196+AM196+AO196+AQ196)/2</f>
        <v>0</v>
      </c>
      <c r="AT196" s="24">
        <f>IF(AQ196=0, 0, AR196/AQ196)</f>
        <v>0</v>
      </c>
      <c r="AU196" s="23" t="str">
        <f>IF(AR196&gt; 1, IF(AR196 = AS196, "100%", AR196 &amp; "%"), IF(AR196 &lt;= 0.01, "0%", AR196 * 100 &amp; "%"))</f>
        <v>0%</v>
      </c>
      <c r="AV196" s="24">
        <f t="shared" si="7"/>
        <v>0</v>
      </c>
      <c r="AW196" s="26" t="s">
        <v>192</v>
      </c>
      <c r="AX196" s="26"/>
      <c r="AY196" s="26">
        <v>0</v>
      </c>
      <c r="AZ196" s="26">
        <v>0</v>
      </c>
      <c r="BA196" s="26">
        <v>0</v>
      </c>
      <c r="BB196" s="26">
        <v>0</v>
      </c>
      <c r="BC196" s="26">
        <v>0.6</v>
      </c>
      <c r="BD196" s="26">
        <v>0.6</v>
      </c>
      <c r="BE196" s="26">
        <v>0.4</v>
      </c>
      <c r="BF196" s="26"/>
      <c r="BG196" s="22">
        <f t="shared" ref="BG196:BH196" si="712">(AY196+BA196+BC196+BE196)</f>
        <v>1</v>
      </c>
      <c r="BH196" s="22">
        <f t="shared" si="712"/>
        <v>0.6</v>
      </c>
      <c r="BI196" s="22">
        <f t="shared" si="690"/>
        <v>0.6</v>
      </c>
      <c r="BJ196" s="23" t="str">
        <f t="shared" si="691"/>
        <v>100%</v>
      </c>
      <c r="BK196" s="24">
        <f t="shared" si="692"/>
        <v>0.6</v>
      </c>
      <c r="BL196" s="22" t="s">
        <v>92</v>
      </c>
      <c r="BM196" s="25" t="s">
        <v>1014</v>
      </c>
      <c r="BN196" s="27">
        <v>11000000</v>
      </c>
      <c r="BO196" s="27">
        <v>0</v>
      </c>
      <c r="BP196" s="27">
        <v>0</v>
      </c>
      <c r="BQ196" s="27">
        <v>0</v>
      </c>
      <c r="BR196" s="27">
        <f t="shared" ref="BR196:BS196" si="713">+BN196+BP196</f>
        <v>11000000</v>
      </c>
      <c r="BS196" s="27">
        <f t="shared" si="713"/>
        <v>0</v>
      </c>
      <c r="BT196" s="20">
        <f t="shared" si="13"/>
        <v>0</v>
      </c>
      <c r="BU196" s="27">
        <v>11000000</v>
      </c>
      <c r="BV196" s="27">
        <v>693194736</v>
      </c>
      <c r="BW196" s="27">
        <v>0</v>
      </c>
      <c r="BX196" s="27">
        <v>0</v>
      </c>
      <c r="BY196" s="28">
        <f t="shared" si="149"/>
        <v>0</v>
      </c>
      <c r="BZ196" s="27">
        <v>500</v>
      </c>
      <c r="CA196" s="20">
        <v>680510000</v>
      </c>
      <c r="CB196" s="29">
        <v>520</v>
      </c>
      <c r="CC196" s="29">
        <v>536</v>
      </c>
      <c r="CD196" s="29">
        <v>682066006</v>
      </c>
    </row>
    <row r="197" spans="1:82" ht="52.5" customHeight="1">
      <c r="A197" s="12" t="s">
        <v>851</v>
      </c>
      <c r="B197" s="13">
        <v>0.432</v>
      </c>
      <c r="C197" s="12"/>
      <c r="D197" s="14">
        <v>19</v>
      </c>
      <c r="E197" s="14">
        <v>1905</v>
      </c>
      <c r="F197" s="14">
        <v>24</v>
      </c>
      <c r="G197" s="14" t="s">
        <v>957</v>
      </c>
      <c r="H197" s="14"/>
      <c r="I197" s="14">
        <v>24.2</v>
      </c>
      <c r="J197" s="14" t="s">
        <v>972</v>
      </c>
      <c r="K197" s="14" t="s">
        <v>1015</v>
      </c>
      <c r="L197" s="14" t="s">
        <v>1016</v>
      </c>
      <c r="M197" s="14" t="s">
        <v>1017</v>
      </c>
      <c r="N197" s="14">
        <v>0.94799999999999995</v>
      </c>
      <c r="O197" s="14">
        <v>1905027</v>
      </c>
      <c r="P197" s="17">
        <v>2024257990028</v>
      </c>
      <c r="Q197" s="14" t="s">
        <v>976</v>
      </c>
      <c r="R197" s="18">
        <v>196</v>
      </c>
      <c r="S197" s="14" t="s">
        <v>1018</v>
      </c>
      <c r="T197" s="14">
        <v>1</v>
      </c>
      <c r="U197" s="14" t="s">
        <v>88</v>
      </c>
      <c r="V197" s="14" t="s">
        <v>114</v>
      </c>
      <c r="W197" s="14" t="s">
        <v>793</v>
      </c>
      <c r="X197" s="14" t="s">
        <v>584</v>
      </c>
      <c r="Y197" s="22"/>
      <c r="Z197" s="14">
        <f t="shared" ref="Z197:Z198" si="714">SUM(AF197:AI197)/4</f>
        <v>1</v>
      </c>
      <c r="AA197" s="20">
        <f t="shared" si="1"/>
        <v>1</v>
      </c>
      <c r="AB197" s="20">
        <f t="shared" si="2"/>
        <v>0.8</v>
      </c>
      <c r="AC197" s="21"/>
      <c r="AD197" s="21"/>
      <c r="AE197" s="21">
        <f t="shared" si="3"/>
        <v>0.42999999999999994</v>
      </c>
      <c r="AF197" s="14">
        <v>1</v>
      </c>
      <c r="AG197" s="14">
        <v>1</v>
      </c>
      <c r="AH197" s="14">
        <v>1</v>
      </c>
      <c r="AI197" s="14">
        <v>1</v>
      </c>
      <c r="AJ197" s="26"/>
      <c r="AK197" s="26"/>
      <c r="AL197" s="26"/>
      <c r="AM197" s="26"/>
      <c r="AN197" s="26">
        <v>0.7</v>
      </c>
      <c r="AO197" s="26">
        <v>0.7</v>
      </c>
      <c r="AP197" s="26">
        <v>0.3</v>
      </c>
      <c r="AQ197" s="26">
        <v>0.3</v>
      </c>
      <c r="AR197" s="22">
        <f t="shared" ref="AR197:AS197" si="715">(AJ197+AL197+AN197+AP197)</f>
        <v>1</v>
      </c>
      <c r="AS197" s="22">
        <f t="shared" si="715"/>
        <v>1</v>
      </c>
      <c r="AT197" s="22">
        <f t="shared" ref="AT197:AT225" si="716">AS197/AR197</f>
        <v>1</v>
      </c>
      <c r="AU197" s="23" t="str">
        <f t="shared" ref="AU197:AU225" si="717">MIN((AR197 /AR197) * 100, 100) &amp; "%"</f>
        <v>100%</v>
      </c>
      <c r="AV197" s="24">
        <f t="shared" si="7"/>
        <v>1</v>
      </c>
      <c r="AW197" s="14" t="s">
        <v>92</v>
      </c>
      <c r="AX197" s="30" t="s">
        <v>1019</v>
      </c>
      <c r="AY197" s="46">
        <v>0.1</v>
      </c>
      <c r="AZ197" s="46">
        <v>0.1</v>
      </c>
      <c r="BA197" s="46">
        <v>0.3</v>
      </c>
      <c r="BB197" s="46">
        <v>0.3</v>
      </c>
      <c r="BC197" s="46">
        <v>0.4</v>
      </c>
      <c r="BD197" s="46">
        <v>0.4</v>
      </c>
      <c r="BE197" s="46">
        <v>0.2</v>
      </c>
      <c r="BF197" s="26"/>
      <c r="BG197" s="22">
        <f t="shared" ref="BG197:BH197" si="718">(AY197+BA197+BC197+BE197)</f>
        <v>1</v>
      </c>
      <c r="BH197" s="22">
        <f t="shared" si="718"/>
        <v>0.8</v>
      </c>
      <c r="BI197" s="22">
        <f t="shared" si="690"/>
        <v>0.8</v>
      </c>
      <c r="BJ197" s="23" t="str">
        <f t="shared" si="691"/>
        <v>100%</v>
      </c>
      <c r="BK197" s="24">
        <f t="shared" si="692"/>
        <v>0.8</v>
      </c>
      <c r="BL197" s="22" t="s">
        <v>92</v>
      </c>
      <c r="BM197" s="25" t="s">
        <v>1019</v>
      </c>
      <c r="BN197" s="27">
        <v>76422602</v>
      </c>
      <c r="BO197" s="27">
        <v>5935203</v>
      </c>
      <c r="BP197" s="27">
        <v>8500000</v>
      </c>
      <c r="BQ197" s="27">
        <v>8500000</v>
      </c>
      <c r="BR197" s="27">
        <f t="shared" ref="BR197:BS197" si="719">+BN197+BP197</f>
        <v>84922602</v>
      </c>
      <c r="BS197" s="27">
        <f t="shared" si="719"/>
        <v>14435203</v>
      </c>
      <c r="BT197" s="20">
        <f t="shared" si="13"/>
        <v>0.16998069606958111</v>
      </c>
      <c r="BU197" s="27">
        <v>64665000</v>
      </c>
      <c r="BV197" s="27">
        <v>29822399</v>
      </c>
      <c r="BW197" s="27">
        <v>29185639</v>
      </c>
      <c r="BX197" s="27">
        <v>5935203</v>
      </c>
      <c r="BY197" s="28">
        <f t="shared" si="149"/>
        <v>0.97864826367590352</v>
      </c>
      <c r="BZ197" s="27">
        <v>48000000</v>
      </c>
      <c r="CA197" s="20">
        <v>49480000</v>
      </c>
      <c r="CB197" s="29">
        <v>50969600</v>
      </c>
      <c r="CC197" s="29">
        <v>52718688</v>
      </c>
      <c r="CD197" s="29">
        <v>201168288</v>
      </c>
    </row>
    <row r="198" spans="1:82" ht="52.5" customHeight="1">
      <c r="A198" s="12" t="s">
        <v>851</v>
      </c>
      <c r="B198" s="13">
        <v>0.432</v>
      </c>
      <c r="C198" s="12"/>
      <c r="D198" s="14">
        <v>19</v>
      </c>
      <c r="E198" s="14">
        <v>1905</v>
      </c>
      <c r="F198" s="14">
        <v>24</v>
      </c>
      <c r="G198" s="14" t="s">
        <v>957</v>
      </c>
      <c r="H198" s="14"/>
      <c r="I198" s="14">
        <v>24.2</v>
      </c>
      <c r="J198" s="14" t="s">
        <v>972</v>
      </c>
      <c r="K198" s="14" t="s">
        <v>1020</v>
      </c>
      <c r="L198" s="14" t="s">
        <v>967</v>
      </c>
      <c r="M198" s="14" t="s">
        <v>968</v>
      </c>
      <c r="N198" s="14">
        <v>100</v>
      </c>
      <c r="O198" s="14">
        <v>1905019</v>
      </c>
      <c r="P198" s="17">
        <v>2024257990028</v>
      </c>
      <c r="Q198" s="14" t="s">
        <v>976</v>
      </c>
      <c r="R198" s="18">
        <v>197</v>
      </c>
      <c r="S198" s="14" t="s">
        <v>1021</v>
      </c>
      <c r="T198" s="14">
        <v>4500</v>
      </c>
      <c r="U198" s="14" t="s">
        <v>88</v>
      </c>
      <c r="V198" s="14" t="s">
        <v>114</v>
      </c>
      <c r="W198" s="14" t="s">
        <v>1022</v>
      </c>
      <c r="X198" s="14" t="s">
        <v>584</v>
      </c>
      <c r="Y198" s="22"/>
      <c r="Z198" s="14">
        <f t="shared" si="714"/>
        <v>4500</v>
      </c>
      <c r="AA198" s="20">
        <f t="shared" si="1"/>
        <v>1.0128888888888889</v>
      </c>
      <c r="AB198" s="20">
        <f t="shared" si="2"/>
        <v>1.2859259259259258E-4</v>
      </c>
      <c r="AC198" s="21"/>
      <c r="AD198" s="21"/>
      <c r="AE198" s="21">
        <f t="shared" si="3"/>
        <v>0.15197834074074074</v>
      </c>
      <c r="AF198" s="14">
        <v>4500</v>
      </c>
      <c r="AG198" s="14">
        <v>4500</v>
      </c>
      <c r="AH198" s="14">
        <v>4500</v>
      </c>
      <c r="AI198" s="14">
        <v>4500</v>
      </c>
      <c r="AJ198" s="26"/>
      <c r="AK198" s="26"/>
      <c r="AL198" s="26"/>
      <c r="AM198" s="26"/>
      <c r="AN198" s="26">
        <v>2200</v>
      </c>
      <c r="AO198" s="26">
        <v>2258</v>
      </c>
      <c r="AP198" s="26">
        <v>2300</v>
      </c>
      <c r="AQ198" s="26">
        <v>2300</v>
      </c>
      <c r="AR198" s="29">
        <f t="shared" ref="AR198:AS198" si="720">(AJ198+AL198+AN198+AP198)</f>
        <v>4500</v>
      </c>
      <c r="AS198" s="22">
        <f t="shared" si="720"/>
        <v>4558</v>
      </c>
      <c r="AT198" s="22">
        <f t="shared" si="716"/>
        <v>1.0128888888888889</v>
      </c>
      <c r="AU198" s="23" t="str">
        <f t="shared" si="717"/>
        <v>100%</v>
      </c>
      <c r="AV198" s="24">
        <f t="shared" si="7"/>
        <v>1.0128888888888889</v>
      </c>
      <c r="AW198" s="14" t="s">
        <v>92</v>
      </c>
      <c r="AX198" s="30" t="s">
        <v>1023</v>
      </c>
      <c r="AY198" s="26">
        <v>0</v>
      </c>
      <c r="AZ198" s="26">
        <v>0</v>
      </c>
      <c r="BA198" s="26">
        <v>2250</v>
      </c>
      <c r="BB198" s="26">
        <v>2604</v>
      </c>
      <c r="BC198" s="26">
        <v>0</v>
      </c>
      <c r="BD198" s="26">
        <v>0</v>
      </c>
      <c r="BE198" s="26">
        <v>2250</v>
      </c>
      <c r="BF198" s="26"/>
      <c r="BG198" s="22">
        <f t="shared" ref="BG198:BH198" si="721">(AY198+BA198+BC198+BE198)</f>
        <v>4500</v>
      </c>
      <c r="BH198" s="22">
        <f t="shared" si="721"/>
        <v>2604</v>
      </c>
      <c r="BI198" s="22">
        <f t="shared" si="690"/>
        <v>0.57866666666666666</v>
      </c>
      <c r="BJ198" s="23" t="str">
        <f t="shared" si="691"/>
        <v>100%</v>
      </c>
      <c r="BK198" s="24">
        <f t="shared" si="692"/>
        <v>0.57866666666666666</v>
      </c>
      <c r="BL198" s="64" t="s">
        <v>92</v>
      </c>
      <c r="BM198" s="25" t="s">
        <v>1023</v>
      </c>
      <c r="BN198" s="27">
        <v>634750000</v>
      </c>
      <c r="BO198" s="27">
        <v>444750000</v>
      </c>
      <c r="BP198" s="27">
        <v>180226159</v>
      </c>
      <c r="BQ198" s="27">
        <v>180226159</v>
      </c>
      <c r="BR198" s="27">
        <f t="shared" ref="BR198:BS198" si="722">+BN198+BP198</f>
        <v>814976159</v>
      </c>
      <c r="BS198" s="27">
        <f t="shared" si="722"/>
        <v>624976159</v>
      </c>
      <c r="BT198" s="20">
        <f t="shared" si="13"/>
        <v>0.76686434578265983</v>
      </c>
      <c r="BU198" s="27">
        <v>544750000</v>
      </c>
      <c r="BV198" s="27">
        <v>733916318</v>
      </c>
      <c r="BW198" s="27">
        <v>568483000</v>
      </c>
      <c r="BX198" s="27">
        <v>297340341</v>
      </c>
      <c r="BY198" s="28">
        <f t="shared" si="149"/>
        <v>0.77458830939905599</v>
      </c>
      <c r="BZ198" s="27">
        <v>198242655</v>
      </c>
      <c r="CA198" s="20">
        <v>206507612</v>
      </c>
      <c r="CB198" s="29">
        <v>119815547</v>
      </c>
      <c r="CC198" s="29">
        <v>232458779</v>
      </c>
      <c r="CD198" s="29">
        <v>757024593</v>
      </c>
    </row>
    <row r="199" spans="1:82" ht="52.5" customHeight="1">
      <c r="A199" s="12" t="s">
        <v>851</v>
      </c>
      <c r="B199" s="13">
        <v>0.432</v>
      </c>
      <c r="C199" s="12"/>
      <c r="D199" s="14">
        <v>19</v>
      </c>
      <c r="E199" s="14">
        <v>1903</v>
      </c>
      <c r="F199" s="14">
        <v>24</v>
      </c>
      <c r="G199" s="14" t="s">
        <v>957</v>
      </c>
      <c r="H199" s="14"/>
      <c r="I199" s="14">
        <v>24.3</v>
      </c>
      <c r="J199" s="14" t="s">
        <v>1024</v>
      </c>
      <c r="K199" s="14" t="s">
        <v>1025</v>
      </c>
      <c r="L199" s="14" t="s">
        <v>1026</v>
      </c>
      <c r="M199" s="14" t="s">
        <v>1027</v>
      </c>
      <c r="N199" s="14">
        <v>200</v>
      </c>
      <c r="O199" s="14">
        <v>1903038</v>
      </c>
      <c r="P199" s="17">
        <v>2024257990029</v>
      </c>
      <c r="Q199" s="14" t="s">
        <v>1028</v>
      </c>
      <c r="R199" s="18">
        <v>198</v>
      </c>
      <c r="S199" s="14" t="s">
        <v>1029</v>
      </c>
      <c r="T199" s="14">
        <v>2</v>
      </c>
      <c r="U199" s="14" t="s">
        <v>88</v>
      </c>
      <c r="V199" s="14" t="s">
        <v>114</v>
      </c>
      <c r="W199" s="14" t="s">
        <v>1030</v>
      </c>
      <c r="X199" s="14" t="s">
        <v>584</v>
      </c>
      <c r="Y199" s="22"/>
      <c r="Z199" s="14">
        <v>2</v>
      </c>
      <c r="AA199" s="20">
        <f t="shared" si="1"/>
        <v>0.48499999999999999</v>
      </c>
      <c r="AB199" s="20">
        <f t="shared" si="2"/>
        <v>0.484375</v>
      </c>
      <c r="AC199" s="21"/>
      <c r="AD199" s="21"/>
      <c r="AE199" s="21">
        <f t="shared" si="3"/>
        <v>0.24228125</v>
      </c>
      <c r="AF199" s="14">
        <v>2</v>
      </c>
      <c r="AG199" s="14">
        <v>2</v>
      </c>
      <c r="AH199" s="14">
        <v>2</v>
      </c>
      <c r="AI199" s="14">
        <v>2</v>
      </c>
      <c r="AJ199" s="26"/>
      <c r="AK199" s="26"/>
      <c r="AL199" s="26"/>
      <c r="AM199" s="26"/>
      <c r="AN199" s="26">
        <v>0.7</v>
      </c>
      <c r="AO199" s="26">
        <v>0.7</v>
      </c>
      <c r="AP199" s="26">
        <v>0.3</v>
      </c>
      <c r="AQ199" s="26">
        <v>0.27</v>
      </c>
      <c r="AR199" s="22">
        <f t="shared" ref="AR199:AS199" si="723">(AJ199+AL199+AN199+AP199)</f>
        <v>1</v>
      </c>
      <c r="AS199" s="22">
        <f t="shared" si="723"/>
        <v>0.97</v>
      </c>
      <c r="AT199" s="22">
        <f t="shared" si="716"/>
        <v>0.97</v>
      </c>
      <c r="AU199" s="23" t="str">
        <f t="shared" si="717"/>
        <v>100%</v>
      </c>
      <c r="AV199" s="24">
        <f t="shared" si="7"/>
        <v>0.97</v>
      </c>
      <c r="AW199" s="14" t="s">
        <v>92</v>
      </c>
      <c r="AX199" s="47" t="s">
        <v>1031</v>
      </c>
      <c r="AY199" s="26">
        <v>0.05</v>
      </c>
      <c r="AZ199" s="26">
        <v>0.05</v>
      </c>
      <c r="BA199" s="26">
        <v>0.7</v>
      </c>
      <c r="BB199" s="26">
        <v>0.7</v>
      </c>
      <c r="BC199" s="26">
        <v>0.8</v>
      </c>
      <c r="BD199" s="26">
        <v>0.8</v>
      </c>
      <c r="BE199" s="26">
        <v>0.05</v>
      </c>
      <c r="BF199" s="26"/>
      <c r="BG199" s="22">
        <f t="shared" ref="BG199:BH199" si="724">(AY199+BA199+BC199+BE199)</f>
        <v>1.6</v>
      </c>
      <c r="BH199" s="22">
        <f t="shared" si="724"/>
        <v>1.55</v>
      </c>
      <c r="BI199" s="22">
        <f t="shared" si="690"/>
        <v>0.96875</v>
      </c>
      <c r="BJ199" s="23" t="str">
        <f t="shared" si="691"/>
        <v>100%</v>
      </c>
      <c r="BK199" s="24">
        <f t="shared" si="692"/>
        <v>0.96875</v>
      </c>
      <c r="BL199" s="22" t="s">
        <v>92</v>
      </c>
      <c r="BM199" s="25" t="s">
        <v>1031</v>
      </c>
      <c r="BN199" s="27">
        <v>170640000</v>
      </c>
      <c r="BO199" s="27">
        <v>96521667</v>
      </c>
      <c r="BP199" s="27">
        <v>15200000</v>
      </c>
      <c r="BQ199" s="27">
        <v>15200000</v>
      </c>
      <c r="BR199" s="27">
        <f t="shared" ref="BR199:BS199" si="725">+BN199+BP199</f>
        <v>185840000</v>
      </c>
      <c r="BS199" s="27">
        <f t="shared" si="725"/>
        <v>111721667</v>
      </c>
      <c r="BT199" s="20">
        <f t="shared" si="13"/>
        <v>0.60117126022384848</v>
      </c>
      <c r="BU199" s="27">
        <v>125640000</v>
      </c>
      <c r="BV199" s="27">
        <v>141521667</v>
      </c>
      <c r="BW199" s="27">
        <v>96521667</v>
      </c>
      <c r="BX199" s="27">
        <v>67538333</v>
      </c>
      <c r="BY199" s="28">
        <f t="shared" si="149"/>
        <v>0.68202748770617572</v>
      </c>
      <c r="BZ199" s="27">
        <v>117750000</v>
      </c>
      <c r="CA199" s="20">
        <v>120105000</v>
      </c>
      <c r="CB199" s="29">
        <v>222258428</v>
      </c>
      <c r="CC199" s="29">
        <v>126182313</v>
      </c>
      <c r="CD199" s="29">
        <v>586295741</v>
      </c>
    </row>
    <row r="200" spans="1:82" ht="52.5" customHeight="1">
      <c r="A200" s="12" t="s">
        <v>851</v>
      </c>
      <c r="B200" s="13">
        <v>0.432</v>
      </c>
      <c r="C200" s="12"/>
      <c r="D200" s="14">
        <v>19</v>
      </c>
      <c r="E200" s="14">
        <v>1903</v>
      </c>
      <c r="F200" s="14">
        <v>24</v>
      </c>
      <c r="G200" s="14" t="s">
        <v>957</v>
      </c>
      <c r="H200" s="14"/>
      <c r="I200" s="14">
        <v>24.3</v>
      </c>
      <c r="J200" s="14" t="s">
        <v>1024</v>
      </c>
      <c r="K200" s="14" t="s">
        <v>1025</v>
      </c>
      <c r="L200" s="14" t="s">
        <v>1010</v>
      </c>
      <c r="M200" s="14" t="s">
        <v>1011</v>
      </c>
      <c r="N200" s="14">
        <v>100</v>
      </c>
      <c r="O200" s="14">
        <v>1903057</v>
      </c>
      <c r="P200" s="17">
        <v>2024257990029</v>
      </c>
      <c r="Q200" s="14" t="s">
        <v>1028</v>
      </c>
      <c r="R200" s="18">
        <v>199</v>
      </c>
      <c r="S200" s="14" t="s">
        <v>1032</v>
      </c>
      <c r="T200" s="14">
        <v>2</v>
      </c>
      <c r="U200" s="14" t="s">
        <v>88</v>
      </c>
      <c r="V200" s="14" t="s">
        <v>89</v>
      </c>
      <c r="W200" s="14" t="s">
        <v>1033</v>
      </c>
      <c r="X200" s="14" t="s">
        <v>584</v>
      </c>
      <c r="Y200" s="22" t="s">
        <v>124</v>
      </c>
      <c r="Z200" s="14">
        <f t="shared" ref="Z200:Z207" si="726">SUM(AF200:AI200)/4</f>
        <v>1</v>
      </c>
      <c r="AA200" s="20">
        <f t="shared" si="1"/>
        <v>1</v>
      </c>
      <c r="AB200" s="20">
        <f t="shared" si="2"/>
        <v>0.8</v>
      </c>
      <c r="AC200" s="21"/>
      <c r="AD200" s="21"/>
      <c r="AE200" s="21">
        <f t="shared" si="3"/>
        <v>0.42999999999999994</v>
      </c>
      <c r="AF200" s="14">
        <v>1</v>
      </c>
      <c r="AG200" s="14">
        <v>1</v>
      </c>
      <c r="AH200" s="14">
        <v>1</v>
      </c>
      <c r="AI200" s="14">
        <v>1</v>
      </c>
      <c r="AJ200" s="26"/>
      <c r="AK200" s="26"/>
      <c r="AL200" s="26"/>
      <c r="AM200" s="26"/>
      <c r="AN200" s="44">
        <v>1E-3</v>
      </c>
      <c r="AO200" s="26">
        <v>0</v>
      </c>
      <c r="AP200" s="26">
        <v>1</v>
      </c>
      <c r="AQ200" s="26">
        <v>1</v>
      </c>
      <c r="AR200" s="22">
        <f t="shared" ref="AR200:AS200" si="727">(AJ200+AL200+AN200+AP200)</f>
        <v>1.0009999999999999</v>
      </c>
      <c r="AS200" s="22">
        <f t="shared" si="727"/>
        <v>1</v>
      </c>
      <c r="AT200" s="22">
        <f t="shared" si="716"/>
        <v>0.99900099900099915</v>
      </c>
      <c r="AU200" s="23" t="str">
        <f t="shared" si="717"/>
        <v>100%</v>
      </c>
      <c r="AV200" s="24">
        <f t="shared" si="7"/>
        <v>0.99900099900099915</v>
      </c>
      <c r="AW200" s="14" t="s">
        <v>92</v>
      </c>
      <c r="AX200" s="30" t="s">
        <v>1034</v>
      </c>
      <c r="AY200" s="46">
        <v>0.1</v>
      </c>
      <c r="AZ200" s="46">
        <v>0.1</v>
      </c>
      <c r="BA200" s="46">
        <v>0.3</v>
      </c>
      <c r="BB200" s="46">
        <v>0.3</v>
      </c>
      <c r="BC200" s="46">
        <v>0.4</v>
      </c>
      <c r="BD200" s="46">
        <v>0.4</v>
      </c>
      <c r="BE200" s="46">
        <v>0.2</v>
      </c>
      <c r="BF200" s="26"/>
      <c r="BG200" s="22">
        <f t="shared" ref="BG200:BH200" si="728">(AY200+BA200+BC200+BE200)</f>
        <v>1</v>
      </c>
      <c r="BH200" s="22">
        <f t="shared" si="728"/>
        <v>0.8</v>
      </c>
      <c r="BI200" s="22">
        <f t="shared" si="690"/>
        <v>0.8</v>
      </c>
      <c r="BJ200" s="23" t="str">
        <f t="shared" si="691"/>
        <v>100%</v>
      </c>
      <c r="BK200" s="24">
        <f t="shared" si="692"/>
        <v>0.8</v>
      </c>
      <c r="BL200" s="22" t="s">
        <v>92</v>
      </c>
      <c r="BM200" s="25" t="s">
        <v>1034</v>
      </c>
      <c r="BN200" s="27">
        <v>42200000</v>
      </c>
      <c r="BO200" s="27">
        <v>42000000</v>
      </c>
      <c r="BP200" s="27">
        <v>12000000</v>
      </c>
      <c r="BQ200" s="27">
        <v>12000000</v>
      </c>
      <c r="BR200" s="27">
        <f t="shared" ref="BR200:BS200" si="729">+BN200+BP200</f>
        <v>54200000</v>
      </c>
      <c r="BS200" s="27">
        <f t="shared" si="729"/>
        <v>54000000</v>
      </c>
      <c r="BT200" s="20">
        <f t="shared" si="13"/>
        <v>0.99630996309963105</v>
      </c>
      <c r="BU200" s="27">
        <v>42200000</v>
      </c>
      <c r="BV200" s="27">
        <v>42200000</v>
      </c>
      <c r="BW200" s="27">
        <v>42000000</v>
      </c>
      <c r="BX200" s="27">
        <v>29820000</v>
      </c>
      <c r="BY200" s="28">
        <f t="shared" si="149"/>
        <v>0.99526066350710896</v>
      </c>
      <c r="BZ200" s="27">
        <v>55000000</v>
      </c>
      <c r="CA200" s="20">
        <v>56100000</v>
      </c>
      <c r="CB200" s="29">
        <v>57222000</v>
      </c>
      <c r="CC200" s="29">
        <v>58938660</v>
      </c>
      <c r="CD200" s="29">
        <v>227260660</v>
      </c>
    </row>
    <row r="201" spans="1:82" ht="52.5" customHeight="1">
      <c r="A201" s="12" t="s">
        <v>851</v>
      </c>
      <c r="B201" s="13">
        <v>0.432</v>
      </c>
      <c r="C201" s="12"/>
      <c r="D201" s="14">
        <v>19</v>
      </c>
      <c r="E201" s="14">
        <v>1903</v>
      </c>
      <c r="F201" s="14">
        <v>24</v>
      </c>
      <c r="G201" s="14" t="s">
        <v>957</v>
      </c>
      <c r="H201" s="14"/>
      <c r="I201" s="14">
        <v>24.3</v>
      </c>
      <c r="J201" s="14" t="s">
        <v>1024</v>
      </c>
      <c r="K201" s="14" t="s">
        <v>1025</v>
      </c>
      <c r="L201" s="14" t="s">
        <v>1010</v>
      </c>
      <c r="M201" s="14" t="s">
        <v>1011</v>
      </c>
      <c r="N201" s="14">
        <v>100</v>
      </c>
      <c r="O201" s="14">
        <v>1903023</v>
      </c>
      <c r="P201" s="17">
        <v>2024257990029</v>
      </c>
      <c r="Q201" s="14" t="s">
        <v>1028</v>
      </c>
      <c r="R201" s="18">
        <v>200</v>
      </c>
      <c r="S201" s="14" t="s">
        <v>1035</v>
      </c>
      <c r="T201" s="14">
        <v>4</v>
      </c>
      <c r="U201" s="14" t="s">
        <v>88</v>
      </c>
      <c r="V201" s="14" t="s">
        <v>114</v>
      </c>
      <c r="W201" s="14" t="s">
        <v>1036</v>
      </c>
      <c r="X201" s="14" t="s">
        <v>584</v>
      </c>
      <c r="Y201" s="22"/>
      <c r="Z201" s="14">
        <f t="shared" si="726"/>
        <v>1</v>
      </c>
      <c r="AA201" s="20">
        <f t="shared" si="1"/>
        <v>1</v>
      </c>
      <c r="AB201" s="20">
        <f t="shared" si="2"/>
        <v>0.8</v>
      </c>
      <c r="AC201" s="21"/>
      <c r="AD201" s="21"/>
      <c r="AE201" s="21">
        <f t="shared" si="3"/>
        <v>0.42999999999999994</v>
      </c>
      <c r="AF201" s="14">
        <v>1</v>
      </c>
      <c r="AG201" s="14">
        <v>1</v>
      </c>
      <c r="AH201" s="14">
        <v>1</v>
      </c>
      <c r="AI201" s="14">
        <v>1</v>
      </c>
      <c r="AJ201" s="26"/>
      <c r="AK201" s="26"/>
      <c r="AL201" s="26"/>
      <c r="AM201" s="26"/>
      <c r="AN201" s="26">
        <v>0.8</v>
      </c>
      <c r="AO201" s="26">
        <v>0.8</v>
      </c>
      <c r="AP201" s="26">
        <v>0.2</v>
      </c>
      <c r="AQ201" s="26">
        <v>0.2</v>
      </c>
      <c r="AR201" s="22">
        <f t="shared" ref="AR201:AS201" si="730">(AJ201+AL201+AN201+AP201)</f>
        <v>1</v>
      </c>
      <c r="AS201" s="22">
        <f t="shared" si="730"/>
        <v>1</v>
      </c>
      <c r="AT201" s="22">
        <f t="shared" si="716"/>
        <v>1</v>
      </c>
      <c r="AU201" s="23" t="str">
        <f t="shared" si="717"/>
        <v>100%</v>
      </c>
      <c r="AV201" s="24">
        <f t="shared" si="7"/>
        <v>1</v>
      </c>
      <c r="AW201" s="14" t="s">
        <v>92</v>
      </c>
      <c r="AX201" s="30" t="s">
        <v>1037</v>
      </c>
      <c r="AY201" s="46">
        <v>0.2</v>
      </c>
      <c r="AZ201" s="46">
        <v>0.2</v>
      </c>
      <c r="BA201" s="46">
        <v>0.3</v>
      </c>
      <c r="BB201" s="46">
        <v>0.3</v>
      </c>
      <c r="BC201" s="46">
        <v>0.3</v>
      </c>
      <c r="BD201" s="46">
        <v>0.3</v>
      </c>
      <c r="BE201" s="46">
        <v>0.2</v>
      </c>
      <c r="BF201" s="26"/>
      <c r="BG201" s="22">
        <f t="shared" ref="BG201:BH201" si="731">(AY201+BA201+BC201+BE201)</f>
        <v>1</v>
      </c>
      <c r="BH201" s="22">
        <f t="shared" si="731"/>
        <v>0.8</v>
      </c>
      <c r="BI201" s="22">
        <f t="shared" si="690"/>
        <v>0.8</v>
      </c>
      <c r="BJ201" s="23" t="str">
        <f t="shared" si="691"/>
        <v>100%</v>
      </c>
      <c r="BK201" s="24">
        <f t="shared" si="692"/>
        <v>0.8</v>
      </c>
      <c r="BL201" s="22" t="s">
        <v>92</v>
      </c>
      <c r="BM201" s="25" t="s">
        <v>1037</v>
      </c>
      <c r="BN201" s="27">
        <v>75780000</v>
      </c>
      <c r="BO201" s="27">
        <v>39733333</v>
      </c>
      <c r="BP201" s="27">
        <v>15200000</v>
      </c>
      <c r="BQ201" s="27">
        <v>15200000</v>
      </c>
      <c r="BR201" s="27">
        <f t="shared" ref="BR201:BS201" si="732">+BN201+BP201</f>
        <v>90980000</v>
      </c>
      <c r="BS201" s="27">
        <f t="shared" si="732"/>
        <v>54933333</v>
      </c>
      <c r="BT201" s="20">
        <f t="shared" si="13"/>
        <v>0.60379570235216529</v>
      </c>
      <c r="BU201" s="27">
        <v>75780000</v>
      </c>
      <c r="BV201" s="27">
        <v>39733333</v>
      </c>
      <c r="BW201" s="27">
        <v>39733333</v>
      </c>
      <c r="BX201" s="27">
        <v>28266666</v>
      </c>
      <c r="BY201" s="28">
        <f t="shared" si="149"/>
        <v>1</v>
      </c>
      <c r="BZ201" s="27">
        <v>55000000</v>
      </c>
      <c r="CA201" s="20">
        <v>56100000</v>
      </c>
      <c r="CB201" s="29">
        <v>57222000</v>
      </c>
      <c r="CC201" s="29">
        <v>58938660</v>
      </c>
      <c r="CD201" s="29">
        <v>227260660</v>
      </c>
    </row>
    <row r="202" spans="1:82" ht="52.5" customHeight="1">
      <c r="A202" s="12" t="s">
        <v>851</v>
      </c>
      <c r="B202" s="13">
        <v>0.432</v>
      </c>
      <c r="C202" s="12"/>
      <c r="D202" s="14">
        <v>19</v>
      </c>
      <c r="E202" s="14">
        <v>1903</v>
      </c>
      <c r="F202" s="14">
        <v>24</v>
      </c>
      <c r="G202" s="14" t="s">
        <v>957</v>
      </c>
      <c r="H202" s="14"/>
      <c r="I202" s="14">
        <v>24.3</v>
      </c>
      <c r="J202" s="14" t="s">
        <v>1024</v>
      </c>
      <c r="K202" s="14" t="s">
        <v>1025</v>
      </c>
      <c r="L202" s="14" t="s">
        <v>1010</v>
      </c>
      <c r="M202" s="14" t="s">
        <v>1011</v>
      </c>
      <c r="N202" s="14">
        <v>100</v>
      </c>
      <c r="O202" s="14">
        <v>1903023</v>
      </c>
      <c r="P202" s="17">
        <v>2024257990029</v>
      </c>
      <c r="Q202" s="14" t="s">
        <v>1028</v>
      </c>
      <c r="R202" s="18">
        <v>201</v>
      </c>
      <c r="S202" s="14" t="s">
        <v>1038</v>
      </c>
      <c r="T202" s="20">
        <v>1</v>
      </c>
      <c r="U202" s="14" t="s">
        <v>109</v>
      </c>
      <c r="V202" s="14" t="s">
        <v>89</v>
      </c>
      <c r="W202" s="14" t="s">
        <v>1039</v>
      </c>
      <c r="X202" s="14" t="s">
        <v>584</v>
      </c>
      <c r="Y202" s="22"/>
      <c r="Z202" s="24">
        <f t="shared" si="726"/>
        <v>1</v>
      </c>
      <c r="AA202" s="20">
        <f t="shared" si="1"/>
        <v>1</v>
      </c>
      <c r="AB202" s="20">
        <f t="shared" si="2"/>
        <v>0.7</v>
      </c>
      <c r="AC202" s="21"/>
      <c r="AD202" s="21"/>
      <c r="AE202" s="21">
        <f t="shared" si="3"/>
        <v>0.39499999999999996</v>
      </c>
      <c r="AF202" s="20">
        <v>1</v>
      </c>
      <c r="AG202" s="20">
        <v>1</v>
      </c>
      <c r="AH202" s="20">
        <v>1</v>
      </c>
      <c r="AI202" s="20">
        <v>1</v>
      </c>
      <c r="AJ202" s="26"/>
      <c r="AK202" s="26"/>
      <c r="AL202" s="26"/>
      <c r="AM202" s="26"/>
      <c r="AN202" s="24">
        <v>1</v>
      </c>
      <c r="AO202" s="24">
        <v>1</v>
      </c>
      <c r="AP202" s="24">
        <v>1</v>
      </c>
      <c r="AQ202" s="24">
        <v>1</v>
      </c>
      <c r="AR202" s="24">
        <f t="shared" ref="AR202:AS202" si="733">(AJ202+AL202+AN202+AP202)/2</f>
        <v>1</v>
      </c>
      <c r="AS202" s="24">
        <f t="shared" si="733"/>
        <v>1</v>
      </c>
      <c r="AT202" s="22">
        <f t="shared" si="716"/>
        <v>1</v>
      </c>
      <c r="AU202" s="23" t="str">
        <f t="shared" si="717"/>
        <v>100%</v>
      </c>
      <c r="AV202" s="24">
        <f t="shared" si="7"/>
        <v>1</v>
      </c>
      <c r="AW202" s="14" t="s">
        <v>92</v>
      </c>
      <c r="AX202" s="30" t="s">
        <v>1040</v>
      </c>
      <c r="AY202" s="24">
        <v>0.1</v>
      </c>
      <c r="AZ202" s="24">
        <v>0.1</v>
      </c>
      <c r="BA202" s="24">
        <v>0.3</v>
      </c>
      <c r="BB202" s="24">
        <v>0.3</v>
      </c>
      <c r="BC202" s="24">
        <v>0.3</v>
      </c>
      <c r="BD202" s="24">
        <v>0.3</v>
      </c>
      <c r="BE202" s="24">
        <v>0.3</v>
      </c>
      <c r="BF202" s="24"/>
      <c r="BG202" s="20">
        <f t="shared" ref="BG202:BH202" si="734">(AY202+BA202+BC202+BE202)</f>
        <v>1</v>
      </c>
      <c r="BH202" s="20">
        <f t="shared" si="734"/>
        <v>0.7</v>
      </c>
      <c r="BI202" s="20">
        <f t="shared" si="690"/>
        <v>0.7</v>
      </c>
      <c r="BJ202" s="23" t="str">
        <f t="shared" si="691"/>
        <v>100%</v>
      </c>
      <c r="BK202" s="24">
        <f t="shared" si="692"/>
        <v>0.7</v>
      </c>
      <c r="BL202" s="22" t="s">
        <v>92</v>
      </c>
      <c r="BM202" s="25" t="s">
        <v>1040</v>
      </c>
      <c r="BN202" s="27">
        <v>320862145</v>
      </c>
      <c r="BO202" s="27">
        <v>226836535</v>
      </c>
      <c r="BP202" s="27">
        <v>94602667</v>
      </c>
      <c r="BQ202" s="27">
        <v>94602667</v>
      </c>
      <c r="BR202" s="27">
        <f t="shared" ref="BR202:BS202" si="735">+BN202+BP202</f>
        <v>415464812</v>
      </c>
      <c r="BS202" s="27">
        <f t="shared" si="735"/>
        <v>321439202</v>
      </c>
      <c r="BT202" s="20">
        <f t="shared" si="13"/>
        <v>0.77368574357146758</v>
      </c>
      <c r="BU202" s="27">
        <v>272362145</v>
      </c>
      <c r="BV202" s="27">
        <v>324313834</v>
      </c>
      <c r="BW202" s="27">
        <v>292682768</v>
      </c>
      <c r="BX202" s="27">
        <v>185982202</v>
      </c>
      <c r="BY202" s="28">
        <f t="shared" si="149"/>
        <v>0.90246772513564744</v>
      </c>
      <c r="BZ202" s="27">
        <v>290500000</v>
      </c>
      <c r="CA202" s="20">
        <v>296310000</v>
      </c>
      <c r="CB202" s="29">
        <v>302236200</v>
      </c>
      <c r="CC202" s="29">
        <v>311303286</v>
      </c>
      <c r="CD202" s="29">
        <v>1200349486</v>
      </c>
    </row>
    <row r="203" spans="1:82" ht="52.5" customHeight="1">
      <c r="A203" s="12" t="s">
        <v>851</v>
      </c>
      <c r="B203" s="13">
        <v>0.432</v>
      </c>
      <c r="C203" s="12"/>
      <c r="D203" s="14">
        <v>19</v>
      </c>
      <c r="E203" s="14">
        <v>1903</v>
      </c>
      <c r="F203" s="14">
        <v>24</v>
      </c>
      <c r="G203" s="14" t="s">
        <v>957</v>
      </c>
      <c r="H203" s="14"/>
      <c r="I203" s="14">
        <v>24.3</v>
      </c>
      <c r="J203" s="14" t="s">
        <v>1024</v>
      </c>
      <c r="K203" s="14" t="s">
        <v>1025</v>
      </c>
      <c r="L203" s="14" t="s">
        <v>1010</v>
      </c>
      <c r="M203" s="14" t="s">
        <v>1011</v>
      </c>
      <c r="N203" s="14">
        <v>100</v>
      </c>
      <c r="O203" s="14">
        <v>1903023</v>
      </c>
      <c r="P203" s="17">
        <v>2024257990029</v>
      </c>
      <c r="Q203" s="14" t="s">
        <v>1028</v>
      </c>
      <c r="R203" s="18">
        <v>202</v>
      </c>
      <c r="S203" s="14" t="s">
        <v>1041</v>
      </c>
      <c r="T203" s="14">
        <v>3</v>
      </c>
      <c r="U203" s="14" t="s">
        <v>88</v>
      </c>
      <c r="V203" s="14" t="s">
        <v>114</v>
      </c>
      <c r="W203" s="14" t="s">
        <v>1042</v>
      </c>
      <c r="X203" s="14" t="s">
        <v>584</v>
      </c>
      <c r="Y203" s="22"/>
      <c r="Z203" s="14">
        <f t="shared" si="726"/>
        <v>3</v>
      </c>
      <c r="AA203" s="20">
        <f t="shared" si="1"/>
        <v>1</v>
      </c>
      <c r="AB203" s="20">
        <f t="shared" si="2"/>
        <v>0.27777777777777779</v>
      </c>
      <c r="AC203" s="21"/>
      <c r="AD203" s="21"/>
      <c r="AE203" s="21">
        <f t="shared" si="3"/>
        <v>0.24722222222222223</v>
      </c>
      <c r="AF203" s="14">
        <v>3</v>
      </c>
      <c r="AG203" s="14">
        <v>3</v>
      </c>
      <c r="AH203" s="14">
        <v>3</v>
      </c>
      <c r="AI203" s="14">
        <v>3</v>
      </c>
      <c r="AJ203" s="26"/>
      <c r="AK203" s="26"/>
      <c r="AL203" s="26"/>
      <c r="AM203" s="26"/>
      <c r="AN203" s="26">
        <v>3</v>
      </c>
      <c r="AO203" s="26">
        <v>3</v>
      </c>
      <c r="AP203" s="26">
        <v>3</v>
      </c>
      <c r="AQ203" s="26">
        <v>0</v>
      </c>
      <c r="AR203" s="22">
        <f t="shared" ref="AR203:AR208" si="736">(AJ203+AL203+AN203+AP203)/2</f>
        <v>3</v>
      </c>
      <c r="AS203" s="22">
        <f>(AK203+AM203+AO203+AQ203)</f>
        <v>3</v>
      </c>
      <c r="AT203" s="22">
        <f t="shared" si="716"/>
        <v>1</v>
      </c>
      <c r="AU203" s="23" t="str">
        <f t="shared" si="717"/>
        <v>100%</v>
      </c>
      <c r="AV203" s="24">
        <f t="shared" si="7"/>
        <v>1</v>
      </c>
      <c r="AW203" s="14" t="s">
        <v>92</v>
      </c>
      <c r="AX203" s="30" t="s">
        <v>1043</v>
      </c>
      <c r="AY203" s="26">
        <v>3</v>
      </c>
      <c r="AZ203" s="26">
        <v>3</v>
      </c>
      <c r="BA203" s="26">
        <v>3</v>
      </c>
      <c r="BB203" s="26">
        <v>3</v>
      </c>
      <c r="BC203" s="26">
        <v>4</v>
      </c>
      <c r="BD203" s="26">
        <v>4</v>
      </c>
      <c r="BE203" s="26">
        <v>2</v>
      </c>
      <c r="BF203" s="26"/>
      <c r="BG203" s="22">
        <f t="shared" ref="BG203:BH203" si="737">(AY203+BA203+BC203+BE203)</f>
        <v>12</v>
      </c>
      <c r="BH203" s="22">
        <f t="shared" si="737"/>
        <v>10</v>
      </c>
      <c r="BI203" s="22">
        <f t="shared" si="690"/>
        <v>0.83333333333333337</v>
      </c>
      <c r="BJ203" s="23" t="str">
        <f t="shared" si="691"/>
        <v>100%</v>
      </c>
      <c r="BK203" s="24">
        <f t="shared" si="692"/>
        <v>0.83333333333333337</v>
      </c>
      <c r="BL203" s="22" t="s">
        <v>92</v>
      </c>
      <c r="BM203" s="25" t="s">
        <v>1043</v>
      </c>
      <c r="BN203" s="27">
        <v>89425000</v>
      </c>
      <c r="BO203" s="27">
        <v>43200000</v>
      </c>
      <c r="BP203" s="27">
        <v>14080000</v>
      </c>
      <c r="BQ203" s="27">
        <v>14080000</v>
      </c>
      <c r="BR203" s="27">
        <f t="shared" ref="BR203:BS203" si="738">+BN203+BP203</f>
        <v>103505000</v>
      </c>
      <c r="BS203" s="27">
        <f t="shared" si="738"/>
        <v>57280000</v>
      </c>
      <c r="BT203" s="20">
        <f t="shared" si="13"/>
        <v>0.55340321723588237</v>
      </c>
      <c r="BU203" s="27">
        <v>89425000</v>
      </c>
      <c r="BV203" s="27">
        <v>62079000</v>
      </c>
      <c r="BW203" s="27">
        <v>53200000</v>
      </c>
      <c r="BX203" s="27">
        <v>41466667</v>
      </c>
      <c r="BY203" s="28">
        <f t="shared" si="149"/>
        <v>0.85697256721274506</v>
      </c>
      <c r="BZ203" s="27">
        <v>70000000</v>
      </c>
      <c r="CA203" s="20">
        <v>71400000</v>
      </c>
      <c r="CB203" s="29">
        <v>72828000</v>
      </c>
      <c r="CC203" s="29">
        <v>75012840</v>
      </c>
      <c r="CD203" s="29">
        <v>289240840</v>
      </c>
    </row>
    <row r="204" spans="1:82" ht="52.5" customHeight="1">
      <c r="A204" s="12" t="s">
        <v>851</v>
      </c>
      <c r="B204" s="13">
        <v>0.432</v>
      </c>
      <c r="C204" s="12"/>
      <c r="D204" s="14">
        <v>19</v>
      </c>
      <c r="E204" s="14">
        <v>1903</v>
      </c>
      <c r="F204" s="14">
        <v>24</v>
      </c>
      <c r="G204" s="14" t="s">
        <v>957</v>
      </c>
      <c r="H204" s="14"/>
      <c r="I204" s="14">
        <v>24.3</v>
      </c>
      <c r="J204" s="14" t="s">
        <v>1024</v>
      </c>
      <c r="K204" s="14" t="s">
        <v>1025</v>
      </c>
      <c r="L204" s="14" t="s">
        <v>1010</v>
      </c>
      <c r="M204" s="14" t="s">
        <v>1011</v>
      </c>
      <c r="N204" s="14">
        <v>100</v>
      </c>
      <c r="O204" s="14">
        <v>1903023</v>
      </c>
      <c r="P204" s="17">
        <v>2024257990029</v>
      </c>
      <c r="Q204" s="14" t="s">
        <v>1028</v>
      </c>
      <c r="R204" s="18">
        <v>203</v>
      </c>
      <c r="S204" s="14" t="s">
        <v>1044</v>
      </c>
      <c r="T204" s="14">
        <v>1</v>
      </c>
      <c r="U204" s="14" t="s">
        <v>88</v>
      </c>
      <c r="V204" s="14" t="s">
        <v>114</v>
      </c>
      <c r="W204" s="14" t="s">
        <v>1045</v>
      </c>
      <c r="X204" s="14" t="s">
        <v>584</v>
      </c>
      <c r="Y204" s="22"/>
      <c r="Z204" s="14">
        <f t="shared" si="726"/>
        <v>1</v>
      </c>
      <c r="AA204" s="20">
        <f t="shared" si="1"/>
        <v>0.5</v>
      </c>
      <c r="AB204" s="20">
        <f t="shared" si="2"/>
        <v>0.8</v>
      </c>
      <c r="AC204" s="21"/>
      <c r="AD204" s="21"/>
      <c r="AE204" s="21">
        <f t="shared" si="3"/>
        <v>0.35499999999999998</v>
      </c>
      <c r="AF204" s="14">
        <v>1</v>
      </c>
      <c r="AG204" s="14">
        <v>1</v>
      </c>
      <c r="AH204" s="14">
        <v>1</v>
      </c>
      <c r="AI204" s="14">
        <v>1</v>
      </c>
      <c r="AJ204" s="26"/>
      <c r="AK204" s="26"/>
      <c r="AL204" s="26"/>
      <c r="AM204" s="26"/>
      <c r="AN204" s="26">
        <v>0.6</v>
      </c>
      <c r="AO204" s="26">
        <v>0.6</v>
      </c>
      <c r="AP204" s="26">
        <v>0.4</v>
      </c>
      <c r="AQ204" s="26">
        <v>0.4</v>
      </c>
      <c r="AR204" s="22">
        <f t="shared" si="736"/>
        <v>0.5</v>
      </c>
      <c r="AS204" s="22">
        <f t="shared" ref="AS204:AS208" si="739">(AK204+AM204+AO204+AQ204)/2</f>
        <v>0.5</v>
      </c>
      <c r="AT204" s="22">
        <f t="shared" si="716"/>
        <v>1</v>
      </c>
      <c r="AU204" s="23" t="str">
        <f t="shared" si="717"/>
        <v>100%</v>
      </c>
      <c r="AV204" s="24">
        <f t="shared" si="7"/>
        <v>1</v>
      </c>
      <c r="AW204" s="14" t="s">
        <v>92</v>
      </c>
      <c r="AX204" s="30" t="s">
        <v>1046</v>
      </c>
      <c r="AY204" s="46">
        <v>0.1</v>
      </c>
      <c r="AZ204" s="46">
        <v>0.1</v>
      </c>
      <c r="BA204" s="46">
        <v>0.3</v>
      </c>
      <c r="BB204" s="46">
        <v>0.3</v>
      </c>
      <c r="BC204" s="46">
        <v>0.4</v>
      </c>
      <c r="BD204" s="46">
        <v>0.4</v>
      </c>
      <c r="BE204" s="46">
        <v>0.2</v>
      </c>
      <c r="BF204" s="26"/>
      <c r="BG204" s="22">
        <f t="shared" ref="BG204:BH204" si="740">(AY204+BA204+BC204+BE204)</f>
        <v>1</v>
      </c>
      <c r="BH204" s="22">
        <f t="shared" si="740"/>
        <v>0.8</v>
      </c>
      <c r="BI204" s="22">
        <f t="shared" si="690"/>
        <v>0.8</v>
      </c>
      <c r="BJ204" s="23" t="str">
        <f t="shared" si="691"/>
        <v>100%</v>
      </c>
      <c r="BK204" s="24">
        <f t="shared" si="692"/>
        <v>0.8</v>
      </c>
      <c r="BL204" s="22" t="s">
        <v>92</v>
      </c>
      <c r="BM204" s="25" t="s">
        <v>1046</v>
      </c>
      <c r="BN204" s="27">
        <v>55750000</v>
      </c>
      <c r="BO204" s="27">
        <v>15750000</v>
      </c>
      <c r="BP204" s="27">
        <v>0</v>
      </c>
      <c r="BQ204" s="27">
        <v>0</v>
      </c>
      <c r="BR204" s="27">
        <f t="shared" ref="BR204:BS204" si="741">+BN204+BP204</f>
        <v>55750000</v>
      </c>
      <c r="BS204" s="27">
        <f t="shared" si="741"/>
        <v>15750000</v>
      </c>
      <c r="BT204" s="20">
        <f t="shared" si="13"/>
        <v>0.28251121076233182</v>
      </c>
      <c r="BU204" s="27">
        <v>55750000</v>
      </c>
      <c r="BV204" s="27">
        <v>15750000</v>
      </c>
      <c r="BW204" s="27">
        <v>15750000</v>
      </c>
      <c r="BX204" s="27">
        <v>15750000</v>
      </c>
      <c r="BY204" s="28">
        <f t="shared" si="149"/>
        <v>1</v>
      </c>
      <c r="BZ204" s="27">
        <v>76000000</v>
      </c>
      <c r="CA204" s="20">
        <v>77520000</v>
      </c>
      <c r="CB204" s="29">
        <v>79070400</v>
      </c>
      <c r="CC204" s="29">
        <v>81442512</v>
      </c>
      <c r="CD204" s="29">
        <v>314032912</v>
      </c>
    </row>
    <row r="205" spans="1:82" ht="52.5" customHeight="1">
      <c r="A205" s="12" t="s">
        <v>851</v>
      </c>
      <c r="B205" s="13">
        <v>0.432</v>
      </c>
      <c r="C205" s="12"/>
      <c r="D205" s="14">
        <v>19</v>
      </c>
      <c r="E205" s="14">
        <v>1903</v>
      </c>
      <c r="F205" s="14">
        <v>24</v>
      </c>
      <c r="G205" s="14" t="s">
        <v>957</v>
      </c>
      <c r="H205" s="14"/>
      <c r="I205" s="14">
        <v>24.3</v>
      </c>
      <c r="J205" s="14" t="s">
        <v>1024</v>
      </c>
      <c r="K205" s="14" t="s">
        <v>1025</v>
      </c>
      <c r="L205" s="14" t="s">
        <v>1010</v>
      </c>
      <c r="M205" s="14" t="s">
        <v>1011</v>
      </c>
      <c r="N205" s="14">
        <v>100</v>
      </c>
      <c r="O205" s="14">
        <v>1903023</v>
      </c>
      <c r="P205" s="17">
        <v>2024257990029</v>
      </c>
      <c r="Q205" s="14" t="s">
        <v>1028</v>
      </c>
      <c r="R205" s="18">
        <v>204</v>
      </c>
      <c r="S205" s="14" t="s">
        <v>1047</v>
      </c>
      <c r="T205" s="20">
        <v>1</v>
      </c>
      <c r="U205" s="14" t="s">
        <v>109</v>
      </c>
      <c r="V205" s="14" t="s">
        <v>114</v>
      </c>
      <c r="W205" s="14" t="s">
        <v>1048</v>
      </c>
      <c r="X205" s="14" t="s">
        <v>584</v>
      </c>
      <c r="Y205" s="22"/>
      <c r="Z205" s="24">
        <f t="shared" si="726"/>
        <v>1</v>
      </c>
      <c r="AA205" s="20">
        <f t="shared" si="1"/>
        <v>0.57499999999999996</v>
      </c>
      <c r="AB205" s="20">
        <f t="shared" si="2"/>
        <v>0.75</v>
      </c>
      <c r="AC205" s="21"/>
      <c r="AD205" s="21"/>
      <c r="AE205" s="21">
        <f t="shared" si="3"/>
        <v>0.34874999999999995</v>
      </c>
      <c r="AF205" s="20">
        <v>1</v>
      </c>
      <c r="AG205" s="20">
        <v>1</v>
      </c>
      <c r="AH205" s="20">
        <v>1</v>
      </c>
      <c r="AI205" s="20">
        <v>1</v>
      </c>
      <c r="AJ205" s="26"/>
      <c r="AK205" s="26"/>
      <c r="AL205" s="26"/>
      <c r="AM205" s="26"/>
      <c r="AN205" s="24">
        <v>1</v>
      </c>
      <c r="AO205" s="24">
        <v>1</v>
      </c>
      <c r="AP205" s="24">
        <v>1</v>
      </c>
      <c r="AQ205" s="24">
        <v>0.15</v>
      </c>
      <c r="AR205" s="24">
        <f t="shared" si="736"/>
        <v>1</v>
      </c>
      <c r="AS205" s="24">
        <f t="shared" si="739"/>
        <v>0.57499999999999996</v>
      </c>
      <c r="AT205" s="22">
        <f t="shared" si="716"/>
        <v>0.57499999999999996</v>
      </c>
      <c r="AU205" s="23" t="str">
        <f t="shared" si="717"/>
        <v>100%</v>
      </c>
      <c r="AV205" s="24">
        <f t="shared" si="7"/>
        <v>0.57499999999999996</v>
      </c>
      <c r="AW205" s="14" t="s">
        <v>92</v>
      </c>
      <c r="AX205" s="47" t="s">
        <v>1049</v>
      </c>
      <c r="AY205" s="24">
        <v>0.15</v>
      </c>
      <c r="AZ205" s="24">
        <v>0.15</v>
      </c>
      <c r="BA205" s="24">
        <v>0.3</v>
      </c>
      <c r="BB205" s="24">
        <v>0.3</v>
      </c>
      <c r="BC205" s="24">
        <v>0.3</v>
      </c>
      <c r="BD205" s="24">
        <v>0.3</v>
      </c>
      <c r="BE205" s="24">
        <v>0.25</v>
      </c>
      <c r="BF205" s="26"/>
      <c r="BG205" s="20">
        <f t="shared" ref="BG205:BH205" si="742">(AY205+BA205+BC205+BE205)</f>
        <v>1</v>
      </c>
      <c r="BH205" s="20">
        <f t="shared" si="742"/>
        <v>0.75</v>
      </c>
      <c r="BI205" s="20">
        <f t="shared" si="690"/>
        <v>0.75</v>
      </c>
      <c r="BJ205" s="23" t="str">
        <f t="shared" si="691"/>
        <v>100%</v>
      </c>
      <c r="BK205" s="24">
        <f t="shared" si="692"/>
        <v>0.75</v>
      </c>
      <c r="BL205" s="22" t="s">
        <v>92</v>
      </c>
      <c r="BM205" s="25" t="s">
        <v>1049</v>
      </c>
      <c r="BN205" s="27">
        <v>319998110</v>
      </c>
      <c r="BO205" s="27">
        <v>85550000</v>
      </c>
      <c r="BP205" s="27">
        <v>57707970</v>
      </c>
      <c r="BQ205" s="27">
        <v>57707970</v>
      </c>
      <c r="BR205" s="27">
        <f t="shared" ref="BR205:BS205" si="743">+BN205+BP205</f>
        <v>377706080</v>
      </c>
      <c r="BS205" s="27">
        <f t="shared" si="743"/>
        <v>143257970</v>
      </c>
      <c r="BT205" s="20">
        <f t="shared" si="13"/>
        <v>0.37928425721926423</v>
      </c>
      <c r="BU205" s="27">
        <v>160347856</v>
      </c>
      <c r="BV205" s="27">
        <v>409998110</v>
      </c>
      <c r="BW205" s="27">
        <v>102583334</v>
      </c>
      <c r="BX205" s="27">
        <v>82463334</v>
      </c>
      <c r="BY205" s="28">
        <f t="shared" si="149"/>
        <v>0.25020440703982755</v>
      </c>
      <c r="BZ205" s="27">
        <v>127500000</v>
      </c>
      <c r="CA205" s="20">
        <v>130050000</v>
      </c>
      <c r="CB205" s="29">
        <v>132651000</v>
      </c>
      <c r="CC205" s="29">
        <v>136630530</v>
      </c>
      <c r="CD205" s="29">
        <v>526831530</v>
      </c>
    </row>
    <row r="206" spans="1:82" ht="52.5" customHeight="1">
      <c r="A206" s="12" t="s">
        <v>851</v>
      </c>
      <c r="B206" s="13">
        <v>0.432</v>
      </c>
      <c r="C206" s="12"/>
      <c r="D206" s="14">
        <v>19</v>
      </c>
      <c r="E206" s="14">
        <v>1903</v>
      </c>
      <c r="F206" s="14">
        <v>24</v>
      </c>
      <c r="G206" s="14" t="s">
        <v>957</v>
      </c>
      <c r="H206" s="14"/>
      <c r="I206" s="14">
        <v>24.3</v>
      </c>
      <c r="J206" s="14" t="s">
        <v>1024</v>
      </c>
      <c r="K206" s="14" t="s">
        <v>1025</v>
      </c>
      <c r="L206" s="14" t="s">
        <v>1010</v>
      </c>
      <c r="M206" s="14" t="s">
        <v>1011</v>
      </c>
      <c r="N206" s="14">
        <v>100</v>
      </c>
      <c r="O206" s="14">
        <v>1903031</v>
      </c>
      <c r="P206" s="17">
        <v>2024257990029</v>
      </c>
      <c r="Q206" s="14" t="s">
        <v>1028</v>
      </c>
      <c r="R206" s="18">
        <v>205</v>
      </c>
      <c r="S206" s="14" t="s">
        <v>1050</v>
      </c>
      <c r="T206" s="20">
        <v>1</v>
      </c>
      <c r="U206" s="14" t="s">
        <v>109</v>
      </c>
      <c r="V206" s="14" t="s">
        <v>114</v>
      </c>
      <c r="W206" s="14" t="s">
        <v>533</v>
      </c>
      <c r="X206" s="14" t="s">
        <v>584</v>
      </c>
      <c r="Y206" s="22"/>
      <c r="Z206" s="24">
        <f t="shared" si="726"/>
        <v>1</v>
      </c>
      <c r="AA206" s="20">
        <f t="shared" si="1"/>
        <v>0.9</v>
      </c>
      <c r="AB206" s="20">
        <f t="shared" si="2"/>
        <v>0.8</v>
      </c>
      <c r="AC206" s="21"/>
      <c r="AD206" s="21"/>
      <c r="AE206" s="21">
        <f t="shared" si="3"/>
        <v>0.41499999999999998</v>
      </c>
      <c r="AF206" s="20">
        <v>1</v>
      </c>
      <c r="AG206" s="20">
        <v>1</v>
      </c>
      <c r="AH206" s="20">
        <v>1</v>
      </c>
      <c r="AI206" s="20">
        <v>1</v>
      </c>
      <c r="AJ206" s="26"/>
      <c r="AK206" s="26"/>
      <c r="AL206" s="26"/>
      <c r="AM206" s="26"/>
      <c r="AN206" s="24">
        <v>1</v>
      </c>
      <c r="AO206" s="24">
        <v>1</v>
      </c>
      <c r="AP206" s="24">
        <v>1</v>
      </c>
      <c r="AQ206" s="24">
        <v>0.8</v>
      </c>
      <c r="AR206" s="24">
        <f t="shared" si="736"/>
        <v>1</v>
      </c>
      <c r="AS206" s="24">
        <f t="shared" si="739"/>
        <v>0.9</v>
      </c>
      <c r="AT206" s="22">
        <f t="shared" si="716"/>
        <v>0.9</v>
      </c>
      <c r="AU206" s="23" t="str">
        <f t="shared" si="717"/>
        <v>100%</v>
      </c>
      <c r="AV206" s="24">
        <f t="shared" si="7"/>
        <v>0.9</v>
      </c>
      <c r="AW206" s="14" t="s">
        <v>92</v>
      </c>
      <c r="AX206" s="30" t="s">
        <v>1051</v>
      </c>
      <c r="AY206" s="24">
        <v>0.1</v>
      </c>
      <c r="AZ206" s="24">
        <v>0.1</v>
      </c>
      <c r="BA206" s="24">
        <v>0.3</v>
      </c>
      <c r="BB206" s="24">
        <v>0.3</v>
      </c>
      <c r="BC206" s="24">
        <v>0.4</v>
      </c>
      <c r="BD206" s="24">
        <v>0.4</v>
      </c>
      <c r="BE206" s="24">
        <v>0.2</v>
      </c>
      <c r="BF206" s="26"/>
      <c r="BG206" s="20">
        <f t="shared" ref="BG206:BH206" si="744">(AY206+BA206+BC206+BE206)</f>
        <v>1</v>
      </c>
      <c r="BH206" s="20">
        <f t="shared" si="744"/>
        <v>0.8</v>
      </c>
      <c r="BI206" s="20">
        <f t="shared" si="690"/>
        <v>0.8</v>
      </c>
      <c r="BJ206" s="23" t="str">
        <f t="shared" si="691"/>
        <v>100%</v>
      </c>
      <c r="BK206" s="24">
        <f t="shared" si="692"/>
        <v>0.8</v>
      </c>
      <c r="BL206" s="22" t="s">
        <v>92</v>
      </c>
      <c r="BM206" s="25" t="s">
        <v>1051</v>
      </c>
      <c r="BN206" s="27">
        <v>161289585</v>
      </c>
      <c r="BO206" s="27">
        <v>139668970</v>
      </c>
      <c r="BP206" s="27">
        <v>53970225</v>
      </c>
      <c r="BQ206" s="27">
        <v>53970225</v>
      </c>
      <c r="BR206" s="27">
        <f t="shared" ref="BR206:BS206" si="745">+BN206+BP206</f>
        <v>215259810</v>
      </c>
      <c r="BS206" s="27">
        <f t="shared" si="745"/>
        <v>193639195</v>
      </c>
      <c r="BT206" s="20">
        <f t="shared" si="13"/>
        <v>0.89956037311377357</v>
      </c>
      <c r="BU206" s="27">
        <v>161289585</v>
      </c>
      <c r="BV206" s="27">
        <v>151234470</v>
      </c>
      <c r="BW206" s="27">
        <v>139668970</v>
      </c>
      <c r="BX206" s="27">
        <v>101354539</v>
      </c>
      <c r="BY206" s="28">
        <f t="shared" si="149"/>
        <v>0.92352603212746409</v>
      </c>
      <c r="BZ206" s="27">
        <v>240000000</v>
      </c>
      <c r="CA206" s="20">
        <v>244800000</v>
      </c>
      <c r="CB206" s="29">
        <v>249696000</v>
      </c>
      <c r="CC206" s="29">
        <v>257186880</v>
      </c>
      <c r="CD206" s="29">
        <v>991682880</v>
      </c>
    </row>
    <row r="207" spans="1:82" ht="52.5" customHeight="1">
      <c r="A207" s="12" t="s">
        <v>851</v>
      </c>
      <c r="B207" s="13">
        <v>0.432</v>
      </c>
      <c r="C207" s="12"/>
      <c r="D207" s="14">
        <v>19</v>
      </c>
      <c r="E207" s="14">
        <v>1903</v>
      </c>
      <c r="F207" s="14">
        <v>24</v>
      </c>
      <c r="G207" s="14" t="s">
        <v>957</v>
      </c>
      <c r="H207" s="14"/>
      <c r="I207" s="14">
        <v>24.3</v>
      </c>
      <c r="J207" s="14" t="s">
        <v>1024</v>
      </c>
      <c r="K207" s="14" t="s">
        <v>1025</v>
      </c>
      <c r="L207" s="14" t="s">
        <v>1010</v>
      </c>
      <c r="M207" s="14" t="s">
        <v>1011</v>
      </c>
      <c r="N207" s="14">
        <v>100</v>
      </c>
      <c r="O207" s="14">
        <v>1903023</v>
      </c>
      <c r="P207" s="17">
        <v>2024257990029</v>
      </c>
      <c r="Q207" s="14" t="s">
        <v>1028</v>
      </c>
      <c r="R207" s="18">
        <v>206</v>
      </c>
      <c r="S207" s="14" t="s">
        <v>1052</v>
      </c>
      <c r="T207" s="20">
        <v>1</v>
      </c>
      <c r="U207" s="14" t="s">
        <v>109</v>
      </c>
      <c r="V207" s="14" t="s">
        <v>114</v>
      </c>
      <c r="W207" s="14" t="s">
        <v>1053</v>
      </c>
      <c r="X207" s="14" t="s">
        <v>584</v>
      </c>
      <c r="Y207" s="22"/>
      <c r="Z207" s="24">
        <f t="shared" si="726"/>
        <v>1</v>
      </c>
      <c r="AA207" s="20">
        <f t="shared" si="1"/>
        <v>0.9</v>
      </c>
      <c r="AB207" s="20">
        <f t="shared" si="2"/>
        <v>0.79999999999999993</v>
      </c>
      <c r="AC207" s="21"/>
      <c r="AD207" s="21"/>
      <c r="AE207" s="21">
        <f t="shared" si="3"/>
        <v>0.41499999999999998</v>
      </c>
      <c r="AF207" s="20">
        <v>1</v>
      </c>
      <c r="AG207" s="20">
        <v>1</v>
      </c>
      <c r="AH207" s="20">
        <v>1</v>
      </c>
      <c r="AI207" s="20">
        <v>1</v>
      </c>
      <c r="AJ207" s="26"/>
      <c r="AK207" s="26"/>
      <c r="AL207" s="26"/>
      <c r="AM207" s="26"/>
      <c r="AN207" s="24">
        <v>1</v>
      </c>
      <c r="AO207" s="24">
        <v>1</v>
      </c>
      <c r="AP207" s="24">
        <v>1</v>
      </c>
      <c r="AQ207" s="24">
        <v>0.8</v>
      </c>
      <c r="AR207" s="24">
        <f t="shared" si="736"/>
        <v>1</v>
      </c>
      <c r="AS207" s="24">
        <f t="shared" si="739"/>
        <v>0.9</v>
      </c>
      <c r="AT207" s="22">
        <f t="shared" si="716"/>
        <v>0.9</v>
      </c>
      <c r="AU207" s="23" t="str">
        <f t="shared" si="717"/>
        <v>100%</v>
      </c>
      <c r="AV207" s="24">
        <f t="shared" si="7"/>
        <v>0.9</v>
      </c>
      <c r="AW207" s="14" t="s">
        <v>92</v>
      </c>
      <c r="AX207" s="30" t="s">
        <v>1054</v>
      </c>
      <c r="AY207" s="24">
        <v>0.18</v>
      </c>
      <c r="AZ207" s="24">
        <v>0.18</v>
      </c>
      <c r="BA207" s="24">
        <v>0.3</v>
      </c>
      <c r="BB207" s="24">
        <v>0.3</v>
      </c>
      <c r="BC207" s="24">
        <v>0.4</v>
      </c>
      <c r="BD207" s="24">
        <v>0.4</v>
      </c>
      <c r="BE207" s="24">
        <v>0.22</v>
      </c>
      <c r="BF207" s="26"/>
      <c r="BG207" s="20">
        <f t="shared" ref="BG207:BH207" si="746">(AY207+BA207+BC207+BE207)</f>
        <v>1.1000000000000001</v>
      </c>
      <c r="BH207" s="20">
        <f t="shared" si="746"/>
        <v>0.88</v>
      </c>
      <c r="BI207" s="20">
        <f t="shared" si="690"/>
        <v>0.79999999999999993</v>
      </c>
      <c r="BJ207" s="23" t="str">
        <f t="shared" si="691"/>
        <v>100%</v>
      </c>
      <c r="BK207" s="24">
        <f t="shared" si="692"/>
        <v>0.79999999999999993</v>
      </c>
      <c r="BL207" s="22" t="s">
        <v>92</v>
      </c>
      <c r="BM207" s="25" t="s">
        <v>1054</v>
      </c>
      <c r="BN207" s="27">
        <v>55215000</v>
      </c>
      <c r="BO207" s="27">
        <v>52681666</v>
      </c>
      <c r="BP207" s="27">
        <v>13426667</v>
      </c>
      <c r="BQ207" s="27">
        <v>13426667</v>
      </c>
      <c r="BR207" s="27">
        <f t="shared" ref="BR207:BS207" si="747">+BN207+BP207</f>
        <v>68641667</v>
      </c>
      <c r="BS207" s="27">
        <f t="shared" si="747"/>
        <v>66108333</v>
      </c>
      <c r="BT207" s="20">
        <f t="shared" si="13"/>
        <v>0.96309334969968019</v>
      </c>
      <c r="BU207" s="27">
        <v>55215000</v>
      </c>
      <c r="BV207" s="27">
        <v>55215000</v>
      </c>
      <c r="BW207" s="27">
        <v>52681666</v>
      </c>
      <c r="BX207" s="27">
        <v>42148333</v>
      </c>
      <c r="BY207" s="28">
        <f t="shared" si="149"/>
        <v>0.95411873585076523</v>
      </c>
      <c r="BZ207" s="27">
        <v>55102491</v>
      </c>
      <c r="CA207" s="20">
        <v>56207616</v>
      </c>
      <c r="CB207" s="29">
        <v>57334996</v>
      </c>
      <c r="CC207" s="29">
        <v>59057306</v>
      </c>
      <c r="CD207" s="29">
        <v>227702409</v>
      </c>
    </row>
    <row r="208" spans="1:82" ht="40.5" customHeight="1">
      <c r="A208" s="12" t="s">
        <v>851</v>
      </c>
      <c r="B208" s="13">
        <v>0.432</v>
      </c>
      <c r="C208" s="12"/>
      <c r="D208" s="14">
        <v>33</v>
      </c>
      <c r="E208" s="14">
        <v>3301</v>
      </c>
      <c r="F208" s="14">
        <v>25</v>
      </c>
      <c r="G208" s="14" t="s">
        <v>1055</v>
      </c>
      <c r="H208" s="14"/>
      <c r="I208" s="14">
        <v>25.1</v>
      </c>
      <c r="J208" s="14" t="s">
        <v>1056</v>
      </c>
      <c r="K208" s="14" t="s">
        <v>1057</v>
      </c>
      <c r="L208" s="14" t="s">
        <v>1058</v>
      </c>
      <c r="M208" s="14" t="s">
        <v>1059</v>
      </c>
      <c r="N208" s="20">
        <v>0.42</v>
      </c>
      <c r="O208" s="16">
        <v>3301071</v>
      </c>
      <c r="P208" s="17">
        <v>2024257990030</v>
      </c>
      <c r="Q208" s="14" t="s">
        <v>1060</v>
      </c>
      <c r="R208" s="18">
        <v>207</v>
      </c>
      <c r="S208" s="14" t="s">
        <v>1061</v>
      </c>
      <c r="T208" s="14">
        <v>0</v>
      </c>
      <c r="U208" s="14" t="s">
        <v>88</v>
      </c>
      <c r="V208" s="14" t="s">
        <v>89</v>
      </c>
      <c r="W208" s="14" t="s">
        <v>1062</v>
      </c>
      <c r="X208" s="14" t="s">
        <v>666</v>
      </c>
      <c r="Y208" s="19"/>
      <c r="Z208" s="18">
        <f>SUM(AF208:AI208)</f>
        <v>1</v>
      </c>
      <c r="AA208" s="20">
        <f t="shared" si="1"/>
        <v>0.05</v>
      </c>
      <c r="AB208" s="20">
        <f t="shared" si="2"/>
        <v>1</v>
      </c>
      <c r="AC208" s="21"/>
      <c r="AD208" s="21"/>
      <c r="AE208" s="21">
        <f t="shared" si="3"/>
        <v>0.35749999999999998</v>
      </c>
      <c r="AF208" s="22">
        <v>0.1</v>
      </c>
      <c r="AG208" s="14">
        <v>0.3</v>
      </c>
      <c r="AH208" s="14">
        <v>0.3</v>
      </c>
      <c r="AI208" s="14">
        <v>0.3</v>
      </c>
      <c r="AJ208" s="26"/>
      <c r="AK208" s="26"/>
      <c r="AL208" s="26"/>
      <c r="AM208" s="26"/>
      <c r="AN208" s="26">
        <v>0.05</v>
      </c>
      <c r="AO208" s="26">
        <v>0.05</v>
      </c>
      <c r="AP208" s="26">
        <v>0.05</v>
      </c>
      <c r="AQ208" s="26">
        <v>0.05</v>
      </c>
      <c r="AR208" s="22">
        <f t="shared" si="736"/>
        <v>0.05</v>
      </c>
      <c r="AS208" s="22">
        <f t="shared" si="739"/>
        <v>0.05</v>
      </c>
      <c r="AT208" s="22">
        <f t="shared" si="716"/>
        <v>1</v>
      </c>
      <c r="AU208" s="23" t="str">
        <f t="shared" si="717"/>
        <v>100%</v>
      </c>
      <c r="AV208" s="24">
        <f t="shared" si="7"/>
        <v>1</v>
      </c>
      <c r="AW208" s="14" t="s">
        <v>92</v>
      </c>
      <c r="AX208" s="30" t="s">
        <v>1063</v>
      </c>
      <c r="AY208" s="14">
        <v>0</v>
      </c>
      <c r="AZ208" s="26">
        <v>0</v>
      </c>
      <c r="BA208" s="14">
        <v>0.1</v>
      </c>
      <c r="BB208" s="14">
        <v>0.1</v>
      </c>
      <c r="BC208" s="14">
        <v>0.1</v>
      </c>
      <c r="BD208" s="14">
        <v>0.2</v>
      </c>
      <c r="BE208" s="14">
        <v>0.1</v>
      </c>
      <c r="BF208" s="26">
        <v>0</v>
      </c>
      <c r="BG208" s="22">
        <f t="shared" ref="BG208:BH208" si="748">(AY208+BA208+BC208+BE208)</f>
        <v>0.30000000000000004</v>
      </c>
      <c r="BH208" s="22">
        <f t="shared" si="748"/>
        <v>0.30000000000000004</v>
      </c>
      <c r="BI208" s="22">
        <f t="shared" si="690"/>
        <v>1</v>
      </c>
      <c r="BJ208" s="23" t="str">
        <f t="shared" si="691"/>
        <v>100%</v>
      </c>
      <c r="BK208" s="24">
        <f t="shared" si="692"/>
        <v>1</v>
      </c>
      <c r="BL208" s="22" t="s">
        <v>92</v>
      </c>
      <c r="BM208" s="25" t="s">
        <v>1063</v>
      </c>
      <c r="BN208" s="27">
        <v>80000000</v>
      </c>
      <c r="BO208" s="27">
        <v>20000000</v>
      </c>
      <c r="BP208" s="27">
        <v>0</v>
      </c>
      <c r="BQ208" s="27">
        <v>0</v>
      </c>
      <c r="BR208" s="27">
        <f t="shared" ref="BR208:BS208" si="749">+BN208+BP208</f>
        <v>80000000</v>
      </c>
      <c r="BS208" s="27">
        <f t="shared" si="749"/>
        <v>20000000</v>
      </c>
      <c r="BT208" s="20">
        <f t="shared" si="13"/>
        <v>0.25</v>
      </c>
      <c r="BU208" s="27">
        <v>80000000</v>
      </c>
      <c r="BV208" s="27">
        <v>80000000</v>
      </c>
      <c r="BW208" s="27">
        <v>60000000</v>
      </c>
      <c r="BX208" s="27">
        <v>60000000</v>
      </c>
      <c r="BY208" s="28">
        <f t="shared" si="149"/>
        <v>0.75</v>
      </c>
      <c r="BZ208" s="27">
        <v>70000000</v>
      </c>
      <c r="CA208" s="20">
        <v>71400000</v>
      </c>
      <c r="CB208" s="29">
        <v>72828000</v>
      </c>
      <c r="CC208" s="29">
        <v>75012840</v>
      </c>
      <c r="CD208" s="29">
        <v>289240840</v>
      </c>
    </row>
    <row r="209" spans="1:82" ht="40.5" customHeight="1">
      <c r="A209" s="12" t="s">
        <v>851</v>
      </c>
      <c r="B209" s="13">
        <v>0.432</v>
      </c>
      <c r="C209" s="12"/>
      <c r="D209" s="14">
        <v>33</v>
      </c>
      <c r="E209" s="14">
        <v>3301</v>
      </c>
      <c r="F209" s="14">
        <v>25</v>
      </c>
      <c r="G209" s="14" t="s">
        <v>1055</v>
      </c>
      <c r="H209" s="14"/>
      <c r="I209" s="14">
        <v>25.1</v>
      </c>
      <c r="J209" s="14" t="s">
        <v>1056</v>
      </c>
      <c r="K209" s="14" t="s">
        <v>1057</v>
      </c>
      <c r="L209" s="14" t="s">
        <v>1058</v>
      </c>
      <c r="M209" s="14" t="s">
        <v>1059</v>
      </c>
      <c r="N209" s="20">
        <v>0.42</v>
      </c>
      <c r="O209" s="16">
        <v>3301071</v>
      </c>
      <c r="P209" s="17">
        <v>2024257990030</v>
      </c>
      <c r="Q209" s="14" t="s">
        <v>1060</v>
      </c>
      <c r="R209" s="18">
        <v>208</v>
      </c>
      <c r="S209" s="14" t="s">
        <v>1064</v>
      </c>
      <c r="T209" s="20">
        <v>1</v>
      </c>
      <c r="U209" s="14" t="s">
        <v>109</v>
      </c>
      <c r="V209" s="14" t="s">
        <v>114</v>
      </c>
      <c r="W209" s="14" t="s">
        <v>1065</v>
      </c>
      <c r="X209" s="14" t="s">
        <v>666</v>
      </c>
      <c r="Y209" s="19" t="s">
        <v>124</v>
      </c>
      <c r="Z209" s="24">
        <f t="shared" ref="Z209:Z210" si="750">SUM(AF209:AI209)/4</f>
        <v>1</v>
      </c>
      <c r="AA209" s="20">
        <f t="shared" si="1"/>
        <v>0.85000000000000009</v>
      </c>
      <c r="AB209" s="20">
        <f t="shared" si="2"/>
        <v>0.98</v>
      </c>
      <c r="AC209" s="21"/>
      <c r="AD209" s="21"/>
      <c r="AE209" s="21">
        <f t="shared" si="3"/>
        <v>0.47049999999999997</v>
      </c>
      <c r="AF209" s="20">
        <v>1</v>
      </c>
      <c r="AG209" s="20">
        <v>1</v>
      </c>
      <c r="AH209" s="20">
        <v>1</v>
      </c>
      <c r="AI209" s="20">
        <v>1</v>
      </c>
      <c r="AJ209" s="26"/>
      <c r="AK209" s="26"/>
      <c r="AL209" s="26"/>
      <c r="AM209" s="26"/>
      <c r="AN209" s="24">
        <v>0.8</v>
      </c>
      <c r="AO209" s="24">
        <v>0.8</v>
      </c>
      <c r="AP209" s="24">
        <v>0.2</v>
      </c>
      <c r="AQ209" s="24">
        <v>0.05</v>
      </c>
      <c r="AR209" s="24">
        <f t="shared" ref="AR209:AS209" si="751">(AJ209+AL209+AN209+AP209)</f>
        <v>1</v>
      </c>
      <c r="AS209" s="24">
        <f t="shared" si="751"/>
        <v>0.85000000000000009</v>
      </c>
      <c r="AT209" s="24">
        <f t="shared" si="716"/>
        <v>0.85000000000000009</v>
      </c>
      <c r="AU209" s="23" t="str">
        <f t="shared" si="717"/>
        <v>100%</v>
      </c>
      <c r="AV209" s="24">
        <f t="shared" si="7"/>
        <v>0.85000000000000009</v>
      </c>
      <c r="AW209" s="14" t="s">
        <v>92</v>
      </c>
      <c r="AX209" s="30" t="s">
        <v>1066</v>
      </c>
      <c r="AY209" s="24">
        <v>0.6</v>
      </c>
      <c r="AZ209" s="24">
        <v>0.6</v>
      </c>
      <c r="BA209" s="24">
        <v>0.3</v>
      </c>
      <c r="BB209" s="24">
        <v>0.3</v>
      </c>
      <c r="BC209" s="24">
        <v>0.1</v>
      </c>
      <c r="BD209" s="24">
        <v>0.08</v>
      </c>
      <c r="BE209" s="24">
        <v>0</v>
      </c>
      <c r="BF209" s="26"/>
      <c r="BG209" s="20">
        <f t="shared" ref="BG209:BH209" si="752">(AY209+BA209+BC209+BE209)</f>
        <v>0.99999999999999989</v>
      </c>
      <c r="BH209" s="20">
        <f t="shared" si="752"/>
        <v>0.97999999999999987</v>
      </c>
      <c r="BI209" s="20">
        <f t="shared" si="690"/>
        <v>0.98</v>
      </c>
      <c r="BJ209" s="23" t="str">
        <f t="shared" si="691"/>
        <v>100%</v>
      </c>
      <c r="BK209" s="24">
        <f t="shared" si="692"/>
        <v>0.98</v>
      </c>
      <c r="BL209" s="22" t="s">
        <v>92</v>
      </c>
      <c r="BM209" s="25" t="s">
        <v>1066</v>
      </c>
      <c r="BN209" s="27">
        <v>440000000</v>
      </c>
      <c r="BO209" s="27">
        <v>225000000</v>
      </c>
      <c r="BP209" s="27">
        <v>255530000</v>
      </c>
      <c r="BQ209" s="27">
        <v>255530000</v>
      </c>
      <c r="BR209" s="27">
        <f t="shared" ref="BR209:BS209" si="753">+BN209+BP209</f>
        <v>695530000</v>
      </c>
      <c r="BS209" s="27">
        <f t="shared" si="753"/>
        <v>480530000</v>
      </c>
      <c r="BT209" s="20">
        <f t="shared" si="13"/>
        <v>0.69088321136399578</v>
      </c>
      <c r="BU209" s="27">
        <v>370000000</v>
      </c>
      <c r="BV209" s="27">
        <v>440000000</v>
      </c>
      <c r="BW209" s="27">
        <v>430000000</v>
      </c>
      <c r="BX209" s="27">
        <v>430000000</v>
      </c>
      <c r="BY209" s="28">
        <f t="shared" si="149"/>
        <v>0.97727272727272729</v>
      </c>
      <c r="BZ209" s="27">
        <v>370000000</v>
      </c>
      <c r="CA209" s="20">
        <v>377400000</v>
      </c>
      <c r="CB209" s="29">
        <v>384948000</v>
      </c>
      <c r="CC209" s="29">
        <v>396496440</v>
      </c>
      <c r="CD209" s="29">
        <v>1528844440</v>
      </c>
    </row>
    <row r="210" spans="1:82" ht="40.5" customHeight="1">
      <c r="A210" s="12" t="s">
        <v>851</v>
      </c>
      <c r="B210" s="13">
        <v>0.432</v>
      </c>
      <c r="C210" s="12"/>
      <c r="D210" s="14">
        <v>33</v>
      </c>
      <c r="E210" s="14">
        <v>3301</v>
      </c>
      <c r="F210" s="14">
        <v>25</v>
      </c>
      <c r="G210" s="14" t="s">
        <v>1055</v>
      </c>
      <c r="H210" s="14"/>
      <c r="I210" s="14">
        <v>25.1</v>
      </c>
      <c r="J210" s="14" t="s">
        <v>1056</v>
      </c>
      <c r="K210" s="14" t="s">
        <v>1057</v>
      </c>
      <c r="L210" s="14" t="s">
        <v>1058</v>
      </c>
      <c r="M210" s="14" t="s">
        <v>1059</v>
      </c>
      <c r="N210" s="20">
        <v>0.42</v>
      </c>
      <c r="O210" s="16">
        <v>3301071</v>
      </c>
      <c r="P210" s="17">
        <v>2024257990030</v>
      </c>
      <c r="Q210" s="14" t="s">
        <v>1060</v>
      </c>
      <c r="R210" s="18">
        <v>209</v>
      </c>
      <c r="S210" s="14" t="s">
        <v>1067</v>
      </c>
      <c r="T210" s="14">
        <v>0</v>
      </c>
      <c r="U210" s="14" t="s">
        <v>109</v>
      </c>
      <c r="V210" s="14" t="s">
        <v>89</v>
      </c>
      <c r="W210" s="14" t="s">
        <v>1068</v>
      </c>
      <c r="X210" s="14" t="s">
        <v>666</v>
      </c>
      <c r="Y210" s="19" t="s">
        <v>124</v>
      </c>
      <c r="Z210" s="24">
        <f t="shared" si="750"/>
        <v>1</v>
      </c>
      <c r="AA210" s="20">
        <f t="shared" si="1"/>
        <v>0.56000000000000005</v>
      </c>
      <c r="AB210" s="20">
        <f t="shared" si="2"/>
        <v>0.82000000000000006</v>
      </c>
      <c r="AC210" s="21"/>
      <c r="AD210" s="21"/>
      <c r="AE210" s="21">
        <f t="shared" si="3"/>
        <v>0.371</v>
      </c>
      <c r="AF210" s="20">
        <v>1</v>
      </c>
      <c r="AG210" s="20">
        <v>1</v>
      </c>
      <c r="AH210" s="20">
        <v>1</v>
      </c>
      <c r="AI210" s="20">
        <v>1</v>
      </c>
      <c r="AJ210" s="26"/>
      <c r="AK210" s="26"/>
      <c r="AL210" s="26"/>
      <c r="AM210" s="26"/>
      <c r="AN210" s="24">
        <v>0.6</v>
      </c>
      <c r="AO210" s="24">
        <v>0.56000000000000005</v>
      </c>
      <c r="AP210" s="24">
        <v>0.2</v>
      </c>
      <c r="AQ210" s="26">
        <v>0</v>
      </c>
      <c r="AR210" s="24">
        <f t="shared" ref="AR210:AS210" si="754">(AJ210+AL210+AN210+AP210)</f>
        <v>0.8</v>
      </c>
      <c r="AS210" s="24">
        <f t="shared" si="754"/>
        <v>0.56000000000000005</v>
      </c>
      <c r="AT210" s="24">
        <f t="shared" si="716"/>
        <v>0.70000000000000007</v>
      </c>
      <c r="AU210" s="23" t="str">
        <f t="shared" si="717"/>
        <v>100%</v>
      </c>
      <c r="AV210" s="24">
        <f t="shared" si="7"/>
        <v>0.70000000000000007</v>
      </c>
      <c r="AW210" s="14" t="s">
        <v>92</v>
      </c>
      <c r="AX210" s="30" t="s">
        <v>1069</v>
      </c>
      <c r="AY210" s="24">
        <v>0.3</v>
      </c>
      <c r="AZ210" s="24">
        <v>0.3</v>
      </c>
      <c r="BA210" s="24">
        <v>0.4</v>
      </c>
      <c r="BB210" s="24">
        <v>0.4</v>
      </c>
      <c r="BC210" s="24">
        <v>0.2</v>
      </c>
      <c r="BD210" s="24">
        <v>0.12</v>
      </c>
      <c r="BE210" s="24">
        <v>0.1</v>
      </c>
      <c r="BF210" s="26"/>
      <c r="BG210" s="20">
        <f t="shared" ref="BG210:BH210" si="755">(AY210+BA210+BC210+BE210)</f>
        <v>0.99999999999999989</v>
      </c>
      <c r="BH210" s="20">
        <f t="shared" si="755"/>
        <v>0.82</v>
      </c>
      <c r="BI210" s="20">
        <f t="shared" si="690"/>
        <v>0.82000000000000006</v>
      </c>
      <c r="BJ210" s="23" t="str">
        <f t="shared" si="691"/>
        <v>100%</v>
      </c>
      <c r="BK210" s="24">
        <f t="shared" si="692"/>
        <v>0.82000000000000006</v>
      </c>
      <c r="BL210" s="22" t="s">
        <v>92</v>
      </c>
      <c r="BM210" s="25" t="s">
        <v>1069</v>
      </c>
      <c r="BN210" s="27">
        <v>150000000</v>
      </c>
      <c r="BO210" s="27">
        <v>70000000</v>
      </c>
      <c r="BP210" s="27">
        <v>45000000</v>
      </c>
      <c r="BQ210" s="27">
        <v>45000000</v>
      </c>
      <c r="BR210" s="27">
        <f t="shared" ref="BR210:BS210" si="756">+BN210+BP210</f>
        <v>195000000</v>
      </c>
      <c r="BS210" s="27">
        <f t="shared" si="756"/>
        <v>115000000</v>
      </c>
      <c r="BT210" s="20">
        <f t="shared" si="13"/>
        <v>0.58974358974358976</v>
      </c>
      <c r="BU210" s="27">
        <v>150000000</v>
      </c>
      <c r="BV210" s="27">
        <v>150000000</v>
      </c>
      <c r="BW210" s="27">
        <v>120000000</v>
      </c>
      <c r="BX210" s="27">
        <v>120000000</v>
      </c>
      <c r="BY210" s="28">
        <f t="shared" si="149"/>
        <v>0.8</v>
      </c>
      <c r="BZ210" s="27">
        <v>200000000</v>
      </c>
      <c r="CA210" s="20">
        <v>204000000</v>
      </c>
      <c r="CB210" s="29">
        <v>208080000</v>
      </c>
      <c r="CC210" s="29">
        <v>214322400</v>
      </c>
      <c r="CD210" s="29">
        <v>826402400</v>
      </c>
    </row>
    <row r="211" spans="1:82" ht="40.5" customHeight="1">
      <c r="A211" s="12" t="s">
        <v>851</v>
      </c>
      <c r="B211" s="13">
        <v>0.432</v>
      </c>
      <c r="C211" s="12"/>
      <c r="D211" s="14">
        <v>33</v>
      </c>
      <c r="E211" s="14">
        <v>3301</v>
      </c>
      <c r="F211" s="14">
        <v>25</v>
      </c>
      <c r="G211" s="14" t="s">
        <v>1055</v>
      </c>
      <c r="H211" s="14"/>
      <c r="I211" s="14">
        <v>25.1</v>
      </c>
      <c r="J211" s="14" t="s">
        <v>1056</v>
      </c>
      <c r="K211" s="14" t="s">
        <v>1057</v>
      </c>
      <c r="L211" s="14" t="s">
        <v>1058</v>
      </c>
      <c r="M211" s="14" t="s">
        <v>1059</v>
      </c>
      <c r="N211" s="20">
        <v>0.42</v>
      </c>
      <c r="O211" s="16">
        <v>3301070</v>
      </c>
      <c r="P211" s="17">
        <v>2024257990030</v>
      </c>
      <c r="Q211" s="14" t="s">
        <v>1060</v>
      </c>
      <c r="R211" s="18">
        <v>210</v>
      </c>
      <c r="S211" s="14" t="s">
        <v>1070</v>
      </c>
      <c r="T211" s="14">
        <v>0</v>
      </c>
      <c r="U211" s="14" t="s">
        <v>109</v>
      </c>
      <c r="V211" s="14" t="s">
        <v>89</v>
      </c>
      <c r="W211" s="14" t="s">
        <v>1071</v>
      </c>
      <c r="X211" s="14" t="s">
        <v>666</v>
      </c>
      <c r="Y211" s="19" t="s">
        <v>124</v>
      </c>
      <c r="Z211" s="24">
        <f>SUM(AG211:AI211)/3</f>
        <v>1</v>
      </c>
      <c r="AA211" s="20">
        <f t="shared" si="1"/>
        <v>0.1</v>
      </c>
      <c r="AB211" s="20">
        <f t="shared" si="2"/>
        <v>0.85</v>
      </c>
      <c r="AC211" s="21"/>
      <c r="AD211" s="21"/>
      <c r="AE211" s="21">
        <f t="shared" si="3"/>
        <v>0.3125</v>
      </c>
      <c r="AF211" s="20">
        <v>0.15</v>
      </c>
      <c r="AG211" s="20">
        <v>1</v>
      </c>
      <c r="AH211" s="20">
        <v>1</v>
      </c>
      <c r="AI211" s="20">
        <v>1</v>
      </c>
      <c r="AJ211" s="26"/>
      <c r="AK211" s="26"/>
      <c r="AL211" s="26"/>
      <c r="AM211" s="26"/>
      <c r="AN211" s="24">
        <v>0.1</v>
      </c>
      <c r="AO211" s="24">
        <v>7.0000000000000007E-2</v>
      </c>
      <c r="AP211" s="24">
        <v>0.05</v>
      </c>
      <c r="AQ211" s="24">
        <v>0.03</v>
      </c>
      <c r="AR211" s="24">
        <f t="shared" ref="AR211:AS211" si="757">(AJ211+AL211+AN211+AP211)</f>
        <v>0.15000000000000002</v>
      </c>
      <c r="AS211" s="24">
        <f t="shared" si="757"/>
        <v>0.1</v>
      </c>
      <c r="AT211" s="24">
        <f t="shared" si="716"/>
        <v>0.66666666666666663</v>
      </c>
      <c r="AU211" s="23" t="str">
        <f t="shared" si="717"/>
        <v>100%</v>
      </c>
      <c r="AV211" s="24">
        <f t="shared" si="7"/>
        <v>0.66666666666666663</v>
      </c>
      <c r="AW211" s="14" t="s">
        <v>92</v>
      </c>
      <c r="AX211" s="30" t="s">
        <v>1072</v>
      </c>
      <c r="AY211" s="24">
        <v>0</v>
      </c>
      <c r="AZ211" s="26">
        <v>0</v>
      </c>
      <c r="BA211" s="24">
        <v>0</v>
      </c>
      <c r="BB211" s="26">
        <v>0</v>
      </c>
      <c r="BC211" s="24">
        <v>0.6</v>
      </c>
      <c r="BD211" s="24">
        <v>0.68</v>
      </c>
      <c r="BE211" s="24">
        <v>0.2</v>
      </c>
      <c r="BF211" s="26"/>
      <c r="BG211" s="20">
        <f t="shared" ref="BG211:BH211" si="758">(AY211+BA211+BC211+BE211)</f>
        <v>0.8</v>
      </c>
      <c r="BH211" s="20">
        <f t="shared" si="758"/>
        <v>0.68</v>
      </c>
      <c r="BI211" s="20">
        <f t="shared" si="690"/>
        <v>0.85</v>
      </c>
      <c r="BJ211" s="23" t="str">
        <f t="shared" si="691"/>
        <v>100%</v>
      </c>
      <c r="BK211" s="24">
        <f t="shared" si="692"/>
        <v>0.85</v>
      </c>
      <c r="BL211" s="22" t="s">
        <v>92</v>
      </c>
      <c r="BM211" s="25" t="s">
        <v>1072</v>
      </c>
      <c r="BN211" s="27">
        <v>40000000</v>
      </c>
      <c r="BO211" s="27">
        <v>20000000</v>
      </c>
      <c r="BP211" s="27">
        <v>0</v>
      </c>
      <c r="BQ211" s="27">
        <v>0</v>
      </c>
      <c r="BR211" s="27">
        <f t="shared" ref="BR211:BS211" si="759">+BN211+BP211</f>
        <v>40000000</v>
      </c>
      <c r="BS211" s="27">
        <f t="shared" si="759"/>
        <v>20000000</v>
      </c>
      <c r="BT211" s="20">
        <f t="shared" si="13"/>
        <v>0.5</v>
      </c>
      <c r="BU211" s="27">
        <v>40000000</v>
      </c>
      <c r="BV211" s="27">
        <v>40000000</v>
      </c>
      <c r="BW211" s="27">
        <v>40000000</v>
      </c>
      <c r="BX211" s="27">
        <v>40000000</v>
      </c>
      <c r="BY211" s="28">
        <f t="shared" si="149"/>
        <v>1</v>
      </c>
      <c r="BZ211" s="27">
        <v>50000000</v>
      </c>
      <c r="CA211" s="20">
        <v>51000000</v>
      </c>
      <c r="CB211" s="29">
        <v>52020000</v>
      </c>
      <c r="CC211" s="29">
        <v>53580600</v>
      </c>
      <c r="CD211" s="29">
        <v>206600600</v>
      </c>
    </row>
    <row r="212" spans="1:82" ht="44.25" customHeight="1">
      <c r="A212" s="12" t="s">
        <v>851</v>
      </c>
      <c r="B212" s="13">
        <v>0.432</v>
      </c>
      <c r="C212" s="12"/>
      <c r="D212" s="14">
        <v>33</v>
      </c>
      <c r="E212" s="14">
        <v>3301</v>
      </c>
      <c r="F212" s="14">
        <v>25</v>
      </c>
      <c r="G212" s="14" t="s">
        <v>1055</v>
      </c>
      <c r="H212" s="14"/>
      <c r="I212" s="14">
        <v>25.1</v>
      </c>
      <c r="J212" s="14" t="s">
        <v>1056</v>
      </c>
      <c r="K212" s="14" t="s">
        <v>1057</v>
      </c>
      <c r="L212" s="14" t="s">
        <v>1058</v>
      </c>
      <c r="M212" s="14" t="s">
        <v>1059</v>
      </c>
      <c r="N212" s="20">
        <v>0.42</v>
      </c>
      <c r="O212" s="16">
        <v>3301073</v>
      </c>
      <c r="P212" s="17">
        <v>2024257990030</v>
      </c>
      <c r="Q212" s="14" t="s">
        <v>1060</v>
      </c>
      <c r="R212" s="18">
        <v>211</v>
      </c>
      <c r="S212" s="14" t="s">
        <v>1073</v>
      </c>
      <c r="T212" s="14">
        <v>57</v>
      </c>
      <c r="U212" s="14" t="s">
        <v>88</v>
      </c>
      <c r="V212" s="14" t="s">
        <v>89</v>
      </c>
      <c r="W212" s="14" t="s">
        <v>1074</v>
      </c>
      <c r="X212" s="14" t="s">
        <v>666</v>
      </c>
      <c r="Y212" s="19" t="s">
        <v>124</v>
      </c>
      <c r="Z212" s="18">
        <f t="shared" ref="Z212:Z213" si="760">SUM(AF212:AI212)</f>
        <v>80</v>
      </c>
      <c r="AA212" s="20">
        <f t="shared" si="1"/>
        <v>0.375</v>
      </c>
      <c r="AB212" s="20">
        <f t="shared" si="2"/>
        <v>4.5624999999999999E-2</v>
      </c>
      <c r="AC212" s="21"/>
      <c r="AD212" s="21"/>
      <c r="AE212" s="21">
        <f t="shared" si="3"/>
        <v>7.2218749999999998E-2</v>
      </c>
      <c r="AF212" s="29">
        <v>20</v>
      </c>
      <c r="AG212" s="29">
        <v>20</v>
      </c>
      <c r="AH212" s="29">
        <v>20</v>
      </c>
      <c r="AI212" s="29">
        <v>20</v>
      </c>
      <c r="AJ212" s="26"/>
      <c r="AK212" s="26"/>
      <c r="AL212" s="26"/>
      <c r="AM212" s="26"/>
      <c r="AN212" s="26">
        <v>19</v>
      </c>
      <c r="AO212" s="26">
        <v>19</v>
      </c>
      <c r="AP212" s="26">
        <v>1</v>
      </c>
      <c r="AQ212" s="26">
        <v>11</v>
      </c>
      <c r="AR212" s="29">
        <f t="shared" ref="AR212:AS212" si="761">(AJ212+AL212+AN212+AP212)</f>
        <v>20</v>
      </c>
      <c r="AS212" s="29">
        <f t="shared" si="761"/>
        <v>30</v>
      </c>
      <c r="AT212" s="22">
        <f t="shared" si="716"/>
        <v>1.5</v>
      </c>
      <c r="AU212" s="23" t="str">
        <f t="shared" si="717"/>
        <v>100%</v>
      </c>
      <c r="AV212" s="24">
        <f t="shared" si="7"/>
        <v>1.5</v>
      </c>
      <c r="AW212" s="14" t="s">
        <v>92</v>
      </c>
      <c r="AX212" s="30" t="s">
        <v>1075</v>
      </c>
      <c r="AY212" s="26">
        <v>5</v>
      </c>
      <c r="AZ212" s="26">
        <v>6</v>
      </c>
      <c r="BA212" s="26">
        <v>5</v>
      </c>
      <c r="BB212" s="26">
        <v>20</v>
      </c>
      <c r="BC212" s="26">
        <v>5</v>
      </c>
      <c r="BD212" s="26">
        <v>47</v>
      </c>
      <c r="BE212" s="26">
        <v>5</v>
      </c>
      <c r="BF212" s="26"/>
      <c r="BG212" s="22">
        <f t="shared" ref="BG212:BH212" si="762">(AY212+BA212+BC212+BE212)</f>
        <v>20</v>
      </c>
      <c r="BH212" s="22">
        <f t="shared" si="762"/>
        <v>73</v>
      </c>
      <c r="BI212" s="22">
        <f t="shared" si="690"/>
        <v>3.65</v>
      </c>
      <c r="BJ212" s="23" t="str">
        <f t="shared" si="691"/>
        <v>100%</v>
      </c>
      <c r="BK212" s="24">
        <f t="shared" si="692"/>
        <v>3.65</v>
      </c>
      <c r="BL212" s="22" t="s">
        <v>92</v>
      </c>
      <c r="BM212" s="25" t="s">
        <v>1075</v>
      </c>
      <c r="BN212" s="27">
        <v>280000000</v>
      </c>
      <c r="BO212" s="27">
        <v>100000000</v>
      </c>
      <c r="BP212" s="27">
        <v>20000000</v>
      </c>
      <c r="BQ212" s="27">
        <v>20000000</v>
      </c>
      <c r="BR212" s="27">
        <f t="shared" ref="BR212:BS212" si="763">+BN212+BP212</f>
        <v>300000000</v>
      </c>
      <c r="BS212" s="27">
        <f t="shared" si="763"/>
        <v>120000000</v>
      </c>
      <c r="BT212" s="20">
        <f t="shared" si="13"/>
        <v>0.4</v>
      </c>
      <c r="BU212" s="27">
        <v>280000000</v>
      </c>
      <c r="BV212" s="27">
        <v>238308000</v>
      </c>
      <c r="BW212" s="27">
        <v>180000000</v>
      </c>
      <c r="BX212" s="27">
        <v>180000000</v>
      </c>
      <c r="BY212" s="28">
        <f t="shared" si="149"/>
        <v>0.75532504154287727</v>
      </c>
      <c r="BZ212" s="27">
        <v>400000000</v>
      </c>
      <c r="CA212" s="20">
        <v>408000000</v>
      </c>
      <c r="CB212" s="29">
        <v>416160000</v>
      </c>
      <c r="CC212" s="29">
        <v>428644800</v>
      </c>
      <c r="CD212" s="29">
        <v>1652804800</v>
      </c>
    </row>
    <row r="213" spans="1:82" ht="40.5" customHeight="1">
      <c r="A213" s="12" t="s">
        <v>851</v>
      </c>
      <c r="B213" s="13">
        <v>0.432</v>
      </c>
      <c r="C213" s="12"/>
      <c r="D213" s="14">
        <v>33</v>
      </c>
      <c r="E213" s="14">
        <v>3301</v>
      </c>
      <c r="F213" s="14">
        <v>25</v>
      </c>
      <c r="G213" s="14" t="s">
        <v>1055</v>
      </c>
      <c r="H213" s="14"/>
      <c r="I213" s="14">
        <v>25.1</v>
      </c>
      <c r="J213" s="14" t="s">
        <v>1056</v>
      </c>
      <c r="K213" s="14" t="s">
        <v>1057</v>
      </c>
      <c r="L213" s="14" t="s">
        <v>1058</v>
      </c>
      <c r="M213" s="14" t="s">
        <v>1059</v>
      </c>
      <c r="N213" s="20">
        <v>0.42</v>
      </c>
      <c r="O213" s="16">
        <v>3301126</v>
      </c>
      <c r="P213" s="17">
        <v>2024257990030</v>
      </c>
      <c r="Q213" s="14" t="s">
        <v>1060</v>
      </c>
      <c r="R213" s="18">
        <v>212</v>
      </c>
      <c r="S213" s="14" t="s">
        <v>1076</v>
      </c>
      <c r="T213" s="14" t="s">
        <v>1077</v>
      </c>
      <c r="U213" s="14" t="s">
        <v>88</v>
      </c>
      <c r="V213" s="14" t="s">
        <v>89</v>
      </c>
      <c r="W213" s="14" t="s">
        <v>1078</v>
      </c>
      <c r="X213" s="14" t="s">
        <v>666</v>
      </c>
      <c r="Y213" s="19" t="s">
        <v>124</v>
      </c>
      <c r="Z213" s="18">
        <f t="shared" si="760"/>
        <v>10800</v>
      </c>
      <c r="AA213" s="20">
        <f t="shared" si="1"/>
        <v>0.26444444444444443</v>
      </c>
      <c r="AB213" s="20">
        <f t="shared" si="2"/>
        <v>1.0294924554183813E-4</v>
      </c>
      <c r="AC213" s="21"/>
      <c r="AD213" s="21"/>
      <c r="AE213" s="21">
        <f t="shared" si="3"/>
        <v>3.9702698902606304E-2</v>
      </c>
      <c r="AF213" s="29">
        <v>2700</v>
      </c>
      <c r="AG213" s="29">
        <v>2700</v>
      </c>
      <c r="AH213" s="29">
        <v>2700</v>
      </c>
      <c r="AI213" s="29">
        <v>2700</v>
      </c>
      <c r="AJ213" s="26"/>
      <c r="AK213" s="26"/>
      <c r="AL213" s="26"/>
      <c r="AM213" s="26"/>
      <c r="AN213" s="26">
        <v>2400</v>
      </c>
      <c r="AO213" s="26">
        <v>2400</v>
      </c>
      <c r="AP213" s="26">
        <v>300</v>
      </c>
      <c r="AQ213" s="26">
        <v>456</v>
      </c>
      <c r="AR213" s="29">
        <f t="shared" ref="AR213:AS213" si="764">(AJ213+AL213+AN213+AP213)</f>
        <v>2700</v>
      </c>
      <c r="AS213" s="29">
        <f t="shared" si="764"/>
        <v>2856</v>
      </c>
      <c r="AT213" s="22">
        <f t="shared" si="716"/>
        <v>1.0577777777777777</v>
      </c>
      <c r="AU213" s="23" t="str">
        <f t="shared" si="717"/>
        <v>100%</v>
      </c>
      <c r="AV213" s="24">
        <f t="shared" si="7"/>
        <v>1.0577777777777777</v>
      </c>
      <c r="AW213" s="14" t="s">
        <v>92</v>
      </c>
      <c r="AX213" s="30" t="s">
        <v>1079</v>
      </c>
      <c r="AY213" s="26">
        <v>2700</v>
      </c>
      <c r="AZ213" s="26">
        <v>2821</v>
      </c>
      <c r="BA213" s="26">
        <v>2700</v>
      </c>
      <c r="BB213" s="26">
        <v>2651</v>
      </c>
      <c r="BC213" s="26">
        <v>2700</v>
      </c>
      <c r="BD213" s="26">
        <v>3534</v>
      </c>
      <c r="BE213" s="26">
        <v>2700</v>
      </c>
      <c r="BF213" s="26"/>
      <c r="BG213" s="22">
        <f>(AY213+BA213+BC213+BE213)/4</f>
        <v>2700</v>
      </c>
      <c r="BH213" s="22">
        <f>(AZ213+BB213+BD213+BF213)/3</f>
        <v>3002</v>
      </c>
      <c r="BI213" s="22">
        <f t="shared" si="690"/>
        <v>1.1118518518518519</v>
      </c>
      <c r="BJ213" s="23" t="str">
        <f t="shared" si="691"/>
        <v>100%</v>
      </c>
      <c r="BK213" s="24">
        <f t="shared" si="692"/>
        <v>1.1118518518518519</v>
      </c>
      <c r="BL213" s="22" t="s">
        <v>92</v>
      </c>
      <c r="BM213" s="25" t="s">
        <v>1079</v>
      </c>
      <c r="BN213" s="27">
        <v>2613114630</v>
      </c>
      <c r="BO213" s="27">
        <v>902623852</v>
      </c>
      <c r="BP213" s="27">
        <v>1449798625</v>
      </c>
      <c r="BQ213" s="27">
        <v>1449798625</v>
      </c>
      <c r="BR213" s="27">
        <f t="shared" ref="BR213:BS213" si="765">+BN213+BP213</f>
        <v>4062913255</v>
      </c>
      <c r="BS213" s="27">
        <f t="shared" si="765"/>
        <v>2352422477</v>
      </c>
      <c r="BT213" s="20">
        <f t="shared" si="13"/>
        <v>0.57899894222575521</v>
      </c>
      <c r="BU213" s="27">
        <v>2600000000</v>
      </c>
      <c r="BV213" s="27">
        <v>2533114630</v>
      </c>
      <c r="BW213" s="27">
        <v>2312949494</v>
      </c>
      <c r="BX213" s="27">
        <v>2312949494</v>
      </c>
      <c r="BY213" s="28">
        <f t="shared" si="149"/>
        <v>0.91308520609665422</v>
      </c>
      <c r="BZ213" s="27">
        <v>2500000001</v>
      </c>
      <c r="CA213" s="20">
        <v>2595639532</v>
      </c>
      <c r="CB213" s="29">
        <v>2575150110</v>
      </c>
      <c r="CC213" s="29">
        <v>2656808660</v>
      </c>
      <c r="CD213" s="29">
        <v>10327598303</v>
      </c>
    </row>
    <row r="214" spans="1:82" ht="40.5" customHeight="1">
      <c r="A214" s="12" t="s">
        <v>851</v>
      </c>
      <c r="B214" s="13">
        <v>0.432</v>
      </c>
      <c r="C214" s="12"/>
      <c r="D214" s="14">
        <v>33</v>
      </c>
      <c r="E214" s="14">
        <v>3301</v>
      </c>
      <c r="F214" s="14">
        <v>25</v>
      </c>
      <c r="G214" s="14" t="s">
        <v>1055</v>
      </c>
      <c r="H214" s="14"/>
      <c r="I214" s="14">
        <v>25.1</v>
      </c>
      <c r="J214" s="14" t="s">
        <v>1056</v>
      </c>
      <c r="K214" s="14" t="s">
        <v>1057</v>
      </c>
      <c r="L214" s="14" t="s">
        <v>1058</v>
      </c>
      <c r="M214" s="14" t="s">
        <v>1059</v>
      </c>
      <c r="N214" s="20">
        <v>0.42</v>
      </c>
      <c r="O214" s="16">
        <v>3301126</v>
      </c>
      <c r="P214" s="17">
        <v>2024257990030</v>
      </c>
      <c r="Q214" s="14" t="s">
        <v>1060</v>
      </c>
      <c r="R214" s="18">
        <v>213</v>
      </c>
      <c r="S214" s="14" t="s">
        <v>1080</v>
      </c>
      <c r="T214" s="14">
        <v>2430</v>
      </c>
      <c r="U214" s="14" t="s">
        <v>88</v>
      </c>
      <c r="V214" s="14" t="s">
        <v>89</v>
      </c>
      <c r="W214" s="14" t="s">
        <v>1078</v>
      </c>
      <c r="X214" s="14" t="s">
        <v>666</v>
      </c>
      <c r="Y214" s="19" t="s">
        <v>124</v>
      </c>
      <c r="Z214" s="14">
        <f t="shared" ref="Z214:Z215" si="766">SUM(AF214:AI214)/4</f>
        <v>2800</v>
      </c>
      <c r="AA214" s="20">
        <f t="shared" si="1"/>
        <v>0.81392857142857145</v>
      </c>
      <c r="AB214" s="20">
        <f t="shared" si="2"/>
        <v>2.9999999999999997E-4</v>
      </c>
      <c r="AC214" s="21"/>
      <c r="AD214" s="21"/>
      <c r="AE214" s="21">
        <f t="shared" si="3"/>
        <v>0.1221942857142857</v>
      </c>
      <c r="AF214" s="29">
        <v>2800</v>
      </c>
      <c r="AG214" s="29">
        <v>2800</v>
      </c>
      <c r="AH214" s="29">
        <v>2800</v>
      </c>
      <c r="AI214" s="29">
        <v>2800</v>
      </c>
      <c r="AJ214" s="26"/>
      <c r="AK214" s="26"/>
      <c r="AL214" s="26"/>
      <c r="AM214" s="26"/>
      <c r="AN214" s="26">
        <v>1000</v>
      </c>
      <c r="AO214" s="26">
        <v>925</v>
      </c>
      <c r="AP214" s="26">
        <v>1800</v>
      </c>
      <c r="AQ214" s="26">
        <v>1354</v>
      </c>
      <c r="AR214" s="29">
        <f t="shared" ref="AR214:AS214" si="767">(AJ214+AL214+AN214+AP214)</f>
        <v>2800</v>
      </c>
      <c r="AS214" s="29">
        <f t="shared" si="767"/>
        <v>2279</v>
      </c>
      <c r="AT214" s="22">
        <f t="shared" si="716"/>
        <v>0.81392857142857145</v>
      </c>
      <c r="AU214" s="23" t="str">
        <f t="shared" si="717"/>
        <v>100%</v>
      </c>
      <c r="AV214" s="24">
        <f t="shared" si="7"/>
        <v>0.81392857142857145</v>
      </c>
      <c r="AW214" s="14" t="s">
        <v>92</v>
      </c>
      <c r="AX214" s="30" t="s">
        <v>1081</v>
      </c>
      <c r="AY214" s="26">
        <v>0</v>
      </c>
      <c r="AZ214" s="26">
        <v>0</v>
      </c>
      <c r="BA214" s="26">
        <v>2800</v>
      </c>
      <c r="BB214" s="26">
        <v>2473</v>
      </c>
      <c r="BC214" s="26">
        <v>2800</v>
      </c>
      <c r="BD214" s="26">
        <v>2231</v>
      </c>
      <c r="BE214" s="26">
        <v>2800</v>
      </c>
      <c r="BF214" s="26"/>
      <c r="BG214" s="22">
        <f>(AY214+BA214+BC214+BE214)/3</f>
        <v>2800</v>
      </c>
      <c r="BH214" s="22">
        <f>(AZ214+BB214+BD214+BF214)/2</f>
        <v>2352</v>
      </c>
      <c r="BI214" s="22">
        <f t="shared" si="690"/>
        <v>0.84</v>
      </c>
      <c r="BJ214" s="23" t="str">
        <f t="shared" si="691"/>
        <v>100%</v>
      </c>
      <c r="BK214" s="24">
        <f t="shared" si="692"/>
        <v>0.84</v>
      </c>
      <c r="BL214" s="22" t="s">
        <v>92</v>
      </c>
      <c r="BM214" s="25" t="s">
        <v>1081</v>
      </c>
      <c r="BN214" s="27">
        <v>280000000</v>
      </c>
      <c r="BO214" s="27">
        <v>120000000</v>
      </c>
      <c r="BP214" s="27">
        <v>0</v>
      </c>
      <c r="BQ214" s="27">
        <v>0</v>
      </c>
      <c r="BR214" s="27">
        <f t="shared" ref="BR214:BS214" si="768">+BN214+BP214</f>
        <v>280000000</v>
      </c>
      <c r="BS214" s="27">
        <f t="shared" si="768"/>
        <v>120000000</v>
      </c>
      <c r="BT214" s="20">
        <f t="shared" si="13"/>
        <v>0.42857142857142855</v>
      </c>
      <c r="BU214" s="27">
        <v>280000000</v>
      </c>
      <c r="BV214" s="27">
        <v>280000000</v>
      </c>
      <c r="BW214" s="27">
        <v>280000000</v>
      </c>
      <c r="BX214" s="27">
        <v>280000000</v>
      </c>
      <c r="BY214" s="28">
        <f t="shared" si="149"/>
        <v>1</v>
      </c>
      <c r="BZ214" s="27">
        <v>400000000</v>
      </c>
      <c r="CA214" s="20">
        <v>404000000</v>
      </c>
      <c r="CB214" s="29">
        <v>412080000</v>
      </c>
      <c r="CC214" s="29">
        <v>424442400</v>
      </c>
      <c r="CD214" s="29">
        <v>1640522400</v>
      </c>
    </row>
    <row r="215" spans="1:82" ht="40.5" customHeight="1">
      <c r="A215" s="12" t="s">
        <v>851</v>
      </c>
      <c r="B215" s="13">
        <v>0.432</v>
      </c>
      <c r="C215" s="12"/>
      <c r="D215" s="14">
        <v>33</v>
      </c>
      <c r="E215" s="14">
        <v>3301</v>
      </c>
      <c r="F215" s="14">
        <v>25</v>
      </c>
      <c r="G215" s="14" t="s">
        <v>1055</v>
      </c>
      <c r="H215" s="14"/>
      <c r="I215" s="14">
        <v>25.1</v>
      </c>
      <c r="J215" s="14" t="s">
        <v>1056</v>
      </c>
      <c r="K215" s="14" t="s">
        <v>1057</v>
      </c>
      <c r="L215" s="14" t="s">
        <v>1058</v>
      </c>
      <c r="M215" s="14" t="s">
        <v>1059</v>
      </c>
      <c r="N215" s="20">
        <v>0.42</v>
      </c>
      <c r="O215" s="16">
        <v>3301054</v>
      </c>
      <c r="P215" s="17">
        <v>2024257990030</v>
      </c>
      <c r="Q215" s="14" t="s">
        <v>1060</v>
      </c>
      <c r="R215" s="18">
        <v>214</v>
      </c>
      <c r="S215" s="14" t="s">
        <v>1082</v>
      </c>
      <c r="T215" s="20">
        <v>1</v>
      </c>
      <c r="U215" s="14" t="s">
        <v>109</v>
      </c>
      <c r="V215" s="14" t="s">
        <v>114</v>
      </c>
      <c r="W215" s="14" t="s">
        <v>1083</v>
      </c>
      <c r="X215" s="14" t="s">
        <v>666</v>
      </c>
      <c r="Y215" s="19" t="s">
        <v>124</v>
      </c>
      <c r="Z215" s="24">
        <f t="shared" si="766"/>
        <v>1</v>
      </c>
      <c r="AA215" s="20">
        <f t="shared" si="1"/>
        <v>0.99</v>
      </c>
      <c r="AB215" s="20">
        <f t="shared" si="2"/>
        <v>0.60000000000000009</v>
      </c>
      <c r="AC215" s="21"/>
      <c r="AD215" s="21"/>
      <c r="AE215" s="21">
        <f t="shared" si="3"/>
        <v>0.35850000000000004</v>
      </c>
      <c r="AF215" s="20">
        <v>1</v>
      </c>
      <c r="AG215" s="20">
        <v>1</v>
      </c>
      <c r="AH215" s="20">
        <v>1</v>
      </c>
      <c r="AI215" s="20">
        <v>1</v>
      </c>
      <c r="AJ215" s="26"/>
      <c r="AK215" s="26"/>
      <c r="AL215" s="26"/>
      <c r="AM215" s="26"/>
      <c r="AN215" s="24">
        <v>0.5</v>
      </c>
      <c r="AO215" s="24">
        <v>0.5</v>
      </c>
      <c r="AP215" s="24">
        <v>0.5</v>
      </c>
      <c r="AQ215" s="24">
        <v>0.49</v>
      </c>
      <c r="AR215" s="24">
        <f t="shared" ref="AR215:AS215" si="769">(AJ215+AL215+AN215+AP215)</f>
        <v>1</v>
      </c>
      <c r="AS215" s="24">
        <f t="shared" si="769"/>
        <v>0.99</v>
      </c>
      <c r="AT215" s="24">
        <f t="shared" si="716"/>
        <v>0.99</v>
      </c>
      <c r="AU215" s="23" t="str">
        <f t="shared" si="717"/>
        <v>100%</v>
      </c>
      <c r="AV215" s="24">
        <f t="shared" si="7"/>
        <v>0.99</v>
      </c>
      <c r="AW215" s="14" t="s">
        <v>92</v>
      </c>
      <c r="AX215" s="30" t="s">
        <v>1084</v>
      </c>
      <c r="AY215" s="24">
        <v>0.1</v>
      </c>
      <c r="AZ215" s="24">
        <v>0.1</v>
      </c>
      <c r="BA215" s="24">
        <v>0.1</v>
      </c>
      <c r="BB215" s="24">
        <v>0.1</v>
      </c>
      <c r="BC215" s="24">
        <v>0.4</v>
      </c>
      <c r="BD215" s="24">
        <v>0.4</v>
      </c>
      <c r="BE215" s="24">
        <v>0.4</v>
      </c>
      <c r="BF215" s="26"/>
      <c r="BG215" s="20">
        <f t="shared" ref="BG215:BH215" si="770">(AY215+BA215+BC215+BE215)</f>
        <v>1</v>
      </c>
      <c r="BH215" s="20">
        <f t="shared" si="770"/>
        <v>0.60000000000000009</v>
      </c>
      <c r="BI215" s="20">
        <f t="shared" si="690"/>
        <v>0.60000000000000009</v>
      </c>
      <c r="BJ215" s="23" t="str">
        <f t="shared" si="691"/>
        <v>100%</v>
      </c>
      <c r="BK215" s="24">
        <f t="shared" si="692"/>
        <v>0.60000000000000009</v>
      </c>
      <c r="BL215" s="22" t="s">
        <v>92</v>
      </c>
      <c r="BM215" s="25" t="s">
        <v>1084</v>
      </c>
      <c r="BN215" s="27">
        <v>74967087</v>
      </c>
      <c r="BO215" s="27">
        <v>0</v>
      </c>
      <c r="BP215" s="27">
        <v>147228481</v>
      </c>
      <c r="BQ215" s="27">
        <v>147228481</v>
      </c>
      <c r="BR215" s="27">
        <f t="shared" ref="BR215:BS215" si="771">+BN215+BP215</f>
        <v>222195568</v>
      </c>
      <c r="BS215" s="27">
        <f t="shared" si="771"/>
        <v>147228481</v>
      </c>
      <c r="BT215" s="20">
        <f t="shared" si="13"/>
        <v>0.66260764031080943</v>
      </c>
      <c r="BU215" s="27">
        <v>61852457</v>
      </c>
      <c r="BV215" s="27">
        <v>74967087</v>
      </c>
      <c r="BW215" s="27">
        <v>54967087</v>
      </c>
      <c r="BX215" s="27">
        <v>54967087</v>
      </c>
      <c r="BY215" s="28">
        <f t="shared" si="149"/>
        <v>0.73321625795597478</v>
      </c>
      <c r="BZ215" s="27">
        <v>37752403</v>
      </c>
      <c r="CA215" s="20">
        <v>49078124</v>
      </c>
      <c r="CB215" s="29">
        <v>53985936</v>
      </c>
      <c r="CC215" s="29">
        <v>59384530</v>
      </c>
      <c r="CD215" s="29">
        <v>200200993</v>
      </c>
    </row>
    <row r="216" spans="1:82" ht="40.5" customHeight="1">
      <c r="A216" s="12" t="s">
        <v>851</v>
      </c>
      <c r="B216" s="13">
        <v>0.432</v>
      </c>
      <c r="C216" s="12"/>
      <c r="D216" s="14">
        <v>33</v>
      </c>
      <c r="E216" s="14">
        <v>3301</v>
      </c>
      <c r="F216" s="14">
        <v>25</v>
      </c>
      <c r="G216" s="14" t="s">
        <v>1055</v>
      </c>
      <c r="H216" s="14"/>
      <c r="I216" s="14">
        <v>25.1</v>
      </c>
      <c r="J216" s="14" t="s">
        <v>1056</v>
      </c>
      <c r="K216" s="14" t="s">
        <v>1057</v>
      </c>
      <c r="L216" s="14" t="s">
        <v>1058</v>
      </c>
      <c r="M216" s="14" t="s">
        <v>1059</v>
      </c>
      <c r="N216" s="20">
        <v>0.42</v>
      </c>
      <c r="O216" s="16">
        <v>3301054</v>
      </c>
      <c r="P216" s="17">
        <v>2024257990030</v>
      </c>
      <c r="Q216" s="14" t="s">
        <v>1060</v>
      </c>
      <c r="R216" s="18">
        <v>215</v>
      </c>
      <c r="S216" s="14" t="s">
        <v>1085</v>
      </c>
      <c r="T216" s="14">
        <v>1</v>
      </c>
      <c r="U216" s="14" t="s">
        <v>88</v>
      </c>
      <c r="V216" s="14" t="s">
        <v>89</v>
      </c>
      <c r="W216" s="14" t="s">
        <v>1086</v>
      </c>
      <c r="X216" s="14" t="s">
        <v>666</v>
      </c>
      <c r="Y216" s="19"/>
      <c r="Z216" s="18">
        <f>SUM(AF216:AI216)</f>
        <v>4</v>
      </c>
      <c r="AA216" s="20">
        <f t="shared" si="1"/>
        <v>0.25</v>
      </c>
      <c r="AB216" s="20">
        <f t="shared" si="2"/>
        <v>7.5000000000000011E-2</v>
      </c>
      <c r="AC216" s="21"/>
      <c r="AD216" s="21"/>
      <c r="AE216" s="21">
        <f t="shared" si="3"/>
        <v>6.3750000000000001E-2</v>
      </c>
      <c r="AF216" s="29">
        <v>1</v>
      </c>
      <c r="AG216" s="29">
        <v>1</v>
      </c>
      <c r="AH216" s="29">
        <v>1</v>
      </c>
      <c r="AI216" s="29">
        <v>1</v>
      </c>
      <c r="AJ216" s="26"/>
      <c r="AK216" s="26"/>
      <c r="AL216" s="26"/>
      <c r="AM216" s="26"/>
      <c r="AN216" s="26">
        <v>0.5</v>
      </c>
      <c r="AO216" s="26">
        <v>0.5</v>
      </c>
      <c r="AP216" s="26">
        <v>0.5</v>
      </c>
      <c r="AQ216" s="26">
        <v>0.5</v>
      </c>
      <c r="AR216" s="29">
        <f t="shared" ref="AR216:AS216" si="772">(AJ216+AL216+AN216+AP216)</f>
        <v>1</v>
      </c>
      <c r="AS216" s="29">
        <f t="shared" si="772"/>
        <v>1</v>
      </c>
      <c r="AT216" s="22">
        <f t="shared" si="716"/>
        <v>1</v>
      </c>
      <c r="AU216" s="23" t="str">
        <f t="shared" si="717"/>
        <v>100%</v>
      </c>
      <c r="AV216" s="24">
        <f t="shared" si="7"/>
        <v>1</v>
      </c>
      <c r="AW216" s="14" t="s">
        <v>92</v>
      </c>
      <c r="AX216" s="30" t="s">
        <v>1087</v>
      </c>
      <c r="AY216" s="46">
        <v>0.1</v>
      </c>
      <c r="AZ216" s="46">
        <v>0.1</v>
      </c>
      <c r="BA216" s="46">
        <v>0.1</v>
      </c>
      <c r="BB216" s="46">
        <v>0.1</v>
      </c>
      <c r="BC216" s="46">
        <v>0.5</v>
      </c>
      <c r="BD216" s="46">
        <v>0.1</v>
      </c>
      <c r="BE216" s="46">
        <v>0.3</v>
      </c>
      <c r="BF216" s="26"/>
      <c r="BG216" s="22">
        <f t="shared" ref="BG216:BH216" si="773">(AY216+BA216+BC216+BE216)</f>
        <v>1</v>
      </c>
      <c r="BH216" s="22">
        <f t="shared" si="773"/>
        <v>0.30000000000000004</v>
      </c>
      <c r="BI216" s="22">
        <f t="shared" si="690"/>
        <v>0.30000000000000004</v>
      </c>
      <c r="BJ216" s="23" t="str">
        <f t="shared" si="691"/>
        <v>100%</v>
      </c>
      <c r="BK216" s="24">
        <f t="shared" si="692"/>
        <v>0.30000000000000004</v>
      </c>
      <c r="BL216" s="22" t="s">
        <v>92</v>
      </c>
      <c r="BM216" s="25" t="s">
        <v>1087</v>
      </c>
      <c r="BN216" s="27">
        <v>294676071</v>
      </c>
      <c r="BO216" s="27">
        <v>100000000</v>
      </c>
      <c r="BP216" s="27">
        <v>656856468</v>
      </c>
      <c r="BQ216" s="27">
        <v>656856468</v>
      </c>
      <c r="BR216" s="27">
        <f t="shared" ref="BR216:BS216" si="774">+BN216+BP216</f>
        <v>951532539</v>
      </c>
      <c r="BS216" s="27">
        <f t="shared" si="774"/>
        <v>756856468</v>
      </c>
      <c r="BT216" s="20">
        <f t="shared" si="13"/>
        <v>0.79540786781228512</v>
      </c>
      <c r="BU216" s="27">
        <v>150000000</v>
      </c>
      <c r="BV216" s="27">
        <v>332916495</v>
      </c>
      <c r="BW216" s="27">
        <v>239438913</v>
      </c>
      <c r="BX216" s="27">
        <v>239438913</v>
      </c>
      <c r="BY216" s="28">
        <f t="shared" si="149"/>
        <v>0.71921612955825454</v>
      </c>
      <c r="BZ216" s="27">
        <v>165000000</v>
      </c>
      <c r="CA216" s="20">
        <v>100000000</v>
      </c>
      <c r="CB216" s="29">
        <v>100000000</v>
      </c>
      <c r="CC216" s="29">
        <v>200000000</v>
      </c>
      <c r="CD216" s="29">
        <v>565000000</v>
      </c>
    </row>
    <row r="217" spans="1:82" ht="40.5" customHeight="1">
      <c r="A217" s="12" t="s">
        <v>851</v>
      </c>
      <c r="B217" s="13">
        <v>0.432</v>
      </c>
      <c r="C217" s="12"/>
      <c r="D217" s="14">
        <v>33</v>
      </c>
      <c r="E217" s="14">
        <v>3301</v>
      </c>
      <c r="F217" s="14">
        <v>25</v>
      </c>
      <c r="G217" s="14" t="s">
        <v>1055</v>
      </c>
      <c r="H217" s="14"/>
      <c r="I217" s="14">
        <v>25.2</v>
      </c>
      <c r="J217" s="14" t="s">
        <v>1088</v>
      </c>
      <c r="K217" s="14" t="s">
        <v>1089</v>
      </c>
      <c r="L217" s="14" t="s">
        <v>1090</v>
      </c>
      <c r="M217" s="14" t="s">
        <v>1091</v>
      </c>
      <c r="N217" s="14" t="s">
        <v>1092</v>
      </c>
      <c r="O217" s="14">
        <v>3301085</v>
      </c>
      <c r="P217" s="17">
        <v>2024257990031</v>
      </c>
      <c r="Q217" s="14" t="s">
        <v>1093</v>
      </c>
      <c r="R217" s="18">
        <v>216</v>
      </c>
      <c r="S217" s="14" t="s">
        <v>1094</v>
      </c>
      <c r="T217" s="14">
        <v>0</v>
      </c>
      <c r="U217" s="14" t="s">
        <v>109</v>
      </c>
      <c r="V217" s="14" t="s">
        <v>89</v>
      </c>
      <c r="W217" s="14" t="s">
        <v>1095</v>
      </c>
      <c r="X217" s="14" t="s">
        <v>666</v>
      </c>
      <c r="Y217" s="19"/>
      <c r="Z217" s="20">
        <f>SUM(AG217:AI217)/3</f>
        <v>1</v>
      </c>
      <c r="AA217" s="20">
        <f t="shared" si="1"/>
        <v>0.1</v>
      </c>
      <c r="AB217" s="20">
        <f t="shared" si="2"/>
        <v>0.3</v>
      </c>
      <c r="AC217" s="21"/>
      <c r="AD217" s="21"/>
      <c r="AE217" s="21">
        <f t="shared" si="3"/>
        <v>0.12</v>
      </c>
      <c r="AF217" s="24">
        <v>0.1</v>
      </c>
      <c r="AG217" s="20">
        <v>1</v>
      </c>
      <c r="AH217" s="20">
        <v>1</v>
      </c>
      <c r="AI217" s="20">
        <v>1</v>
      </c>
      <c r="AJ217" s="26"/>
      <c r="AK217" s="26"/>
      <c r="AL217" s="26"/>
      <c r="AM217" s="26"/>
      <c r="AN217" s="24">
        <v>0.1</v>
      </c>
      <c r="AO217" s="24">
        <v>0.1</v>
      </c>
      <c r="AP217" s="26">
        <v>0</v>
      </c>
      <c r="AQ217" s="26">
        <v>0</v>
      </c>
      <c r="AR217" s="24">
        <f t="shared" ref="AR217:AS217" si="775">(AJ217+AL217+AN217+AP217)</f>
        <v>0.1</v>
      </c>
      <c r="AS217" s="24">
        <f t="shared" si="775"/>
        <v>0.1</v>
      </c>
      <c r="AT217" s="24">
        <f t="shared" si="716"/>
        <v>1</v>
      </c>
      <c r="AU217" s="23" t="str">
        <f t="shared" si="717"/>
        <v>100%</v>
      </c>
      <c r="AV217" s="24">
        <f t="shared" si="7"/>
        <v>1</v>
      </c>
      <c r="AW217" s="14" t="s">
        <v>92</v>
      </c>
      <c r="AX217" s="30" t="s">
        <v>1096</v>
      </c>
      <c r="AY217" s="24">
        <v>0.05</v>
      </c>
      <c r="AZ217" s="24">
        <v>0.05</v>
      </c>
      <c r="BA217" s="24">
        <v>0.25</v>
      </c>
      <c r="BB217" s="24">
        <v>0.25</v>
      </c>
      <c r="BC217" s="24">
        <v>0.5</v>
      </c>
      <c r="BD217" s="26">
        <v>0</v>
      </c>
      <c r="BE217" s="24">
        <v>0.2</v>
      </c>
      <c r="BF217" s="26"/>
      <c r="BG217" s="20">
        <f t="shared" ref="BG217:BH217" si="776">(AY217+BA217+BC217+BE217)</f>
        <v>1</v>
      </c>
      <c r="BH217" s="20">
        <f t="shared" si="776"/>
        <v>0.3</v>
      </c>
      <c r="BI217" s="20">
        <f t="shared" si="690"/>
        <v>0.3</v>
      </c>
      <c r="BJ217" s="23" t="str">
        <f t="shared" si="691"/>
        <v>100%</v>
      </c>
      <c r="BK217" s="24">
        <f t="shared" si="692"/>
        <v>0.3</v>
      </c>
      <c r="BL217" s="22" t="s">
        <v>92</v>
      </c>
      <c r="BM217" s="25" t="s">
        <v>1096</v>
      </c>
      <c r="BN217" s="27">
        <v>50000000</v>
      </c>
      <c r="BO217" s="27">
        <v>20000000</v>
      </c>
      <c r="BP217" s="27">
        <v>0</v>
      </c>
      <c r="BQ217" s="27">
        <v>0</v>
      </c>
      <c r="BR217" s="27">
        <f t="shared" ref="BR217:BS217" si="777">+BN217+BP217</f>
        <v>50000000</v>
      </c>
      <c r="BS217" s="27">
        <f t="shared" si="777"/>
        <v>20000000</v>
      </c>
      <c r="BT217" s="20">
        <f t="shared" si="13"/>
        <v>0.4</v>
      </c>
      <c r="BU217" s="27">
        <v>50000000</v>
      </c>
      <c r="BV217" s="27">
        <v>50000000</v>
      </c>
      <c r="BW217" s="27">
        <v>50000000</v>
      </c>
      <c r="BX217" s="27">
        <v>50000000</v>
      </c>
      <c r="BY217" s="28">
        <f t="shared" si="149"/>
        <v>1</v>
      </c>
      <c r="BZ217" s="27">
        <v>50000000</v>
      </c>
      <c r="CA217" s="20">
        <v>51000000</v>
      </c>
      <c r="CB217" s="29">
        <v>52020000</v>
      </c>
      <c r="CC217" s="29">
        <v>53580600</v>
      </c>
      <c r="CD217" s="29">
        <v>206600600</v>
      </c>
    </row>
    <row r="218" spans="1:82" ht="45" customHeight="1">
      <c r="A218" s="12" t="s">
        <v>851</v>
      </c>
      <c r="B218" s="13">
        <v>0.432</v>
      </c>
      <c r="C218" s="12"/>
      <c r="D218" s="14">
        <v>33</v>
      </c>
      <c r="E218" s="14">
        <v>3301</v>
      </c>
      <c r="F218" s="14">
        <v>25</v>
      </c>
      <c r="G218" s="14" t="s">
        <v>1055</v>
      </c>
      <c r="H218" s="14"/>
      <c r="I218" s="14">
        <v>25.2</v>
      </c>
      <c r="J218" s="14" t="s">
        <v>1088</v>
      </c>
      <c r="K218" s="14" t="s">
        <v>1089</v>
      </c>
      <c r="L218" s="14" t="s">
        <v>1090</v>
      </c>
      <c r="M218" s="14" t="s">
        <v>1091</v>
      </c>
      <c r="N218" s="14" t="s">
        <v>1092</v>
      </c>
      <c r="O218" s="14">
        <v>3301085</v>
      </c>
      <c r="P218" s="17">
        <v>2024257990031</v>
      </c>
      <c r="Q218" s="14" t="s">
        <v>1093</v>
      </c>
      <c r="R218" s="18">
        <v>217</v>
      </c>
      <c r="S218" s="14" t="s">
        <v>1097</v>
      </c>
      <c r="T218" s="14" t="s">
        <v>1098</v>
      </c>
      <c r="U218" s="14" t="s">
        <v>88</v>
      </c>
      <c r="V218" s="14" t="s">
        <v>89</v>
      </c>
      <c r="W218" s="14" t="s">
        <v>1099</v>
      </c>
      <c r="X218" s="14" t="s">
        <v>666</v>
      </c>
      <c r="Y218" s="19" t="s">
        <v>124</v>
      </c>
      <c r="Z218" s="14">
        <f>SUM(AF218:AI218)/4</f>
        <v>54623</v>
      </c>
      <c r="AA218" s="20">
        <f t="shared" si="1"/>
        <v>0.69143034985262619</v>
      </c>
      <c r="AB218" s="20">
        <f t="shared" si="2"/>
        <v>1.530298110396912E-5</v>
      </c>
      <c r="AC218" s="21"/>
      <c r="AD218" s="21"/>
      <c r="AE218" s="21">
        <f t="shared" si="3"/>
        <v>0.10371990852128031</v>
      </c>
      <c r="AF218" s="14">
        <v>54623</v>
      </c>
      <c r="AG218" s="14">
        <v>54623</v>
      </c>
      <c r="AH218" s="14">
        <v>54623</v>
      </c>
      <c r="AI218" s="14">
        <v>54623</v>
      </c>
      <c r="AJ218" s="26"/>
      <c r="AK218" s="26"/>
      <c r="AL218" s="26"/>
      <c r="AM218" s="26"/>
      <c r="AN218" s="26">
        <v>24887</v>
      </c>
      <c r="AO218" s="26">
        <v>24887</v>
      </c>
      <c r="AP218" s="26">
        <v>12881</v>
      </c>
      <c r="AQ218" s="26">
        <v>12881</v>
      </c>
      <c r="AR218" s="29">
        <f t="shared" ref="AR218:AS218" si="778">(AJ218+AL218+AN218+AP218)</f>
        <v>37768</v>
      </c>
      <c r="AS218" s="22">
        <f t="shared" si="778"/>
        <v>37768</v>
      </c>
      <c r="AT218" s="22">
        <f t="shared" si="716"/>
        <v>1</v>
      </c>
      <c r="AU218" s="23" t="str">
        <f t="shared" si="717"/>
        <v>100%</v>
      </c>
      <c r="AV218" s="24">
        <f t="shared" si="7"/>
        <v>1</v>
      </c>
      <c r="AW218" s="14" t="s">
        <v>92</v>
      </c>
      <c r="AX218" s="30" t="s">
        <v>1100</v>
      </c>
      <c r="AY218" s="26">
        <v>9500</v>
      </c>
      <c r="AZ218" s="26">
        <v>3620</v>
      </c>
      <c r="BA218" s="26">
        <v>9500</v>
      </c>
      <c r="BB218" s="26">
        <v>11777</v>
      </c>
      <c r="BC218" s="26">
        <v>9500</v>
      </c>
      <c r="BD218" s="26">
        <v>16367</v>
      </c>
      <c r="BE218" s="26">
        <v>9500</v>
      </c>
      <c r="BF218" s="26"/>
      <c r="BG218" s="22">
        <f t="shared" ref="BG218:BH218" si="779">(AY218+BA218+BC218+BE218)</f>
        <v>38000</v>
      </c>
      <c r="BH218" s="22">
        <f t="shared" si="779"/>
        <v>31764</v>
      </c>
      <c r="BI218" s="22">
        <f t="shared" si="690"/>
        <v>0.83589473684210525</v>
      </c>
      <c r="BJ218" s="23" t="str">
        <f t="shared" si="691"/>
        <v>100%</v>
      </c>
      <c r="BK218" s="24">
        <f t="shared" si="692"/>
        <v>0.83589473684210525</v>
      </c>
      <c r="BL218" s="22" t="s">
        <v>92</v>
      </c>
      <c r="BM218" s="25" t="s">
        <v>1100</v>
      </c>
      <c r="BN218" s="27">
        <v>240000000</v>
      </c>
      <c r="BO218" s="27">
        <v>80000000</v>
      </c>
      <c r="BP218" s="27">
        <v>60647597</v>
      </c>
      <c r="BQ218" s="27">
        <v>60647597</v>
      </c>
      <c r="BR218" s="27">
        <f t="shared" ref="BR218:BS218" si="780">+BN218+BP218</f>
        <v>300647597</v>
      </c>
      <c r="BS218" s="27">
        <f t="shared" si="780"/>
        <v>140647597</v>
      </c>
      <c r="BT218" s="20">
        <f t="shared" si="13"/>
        <v>0.46781547034949361</v>
      </c>
      <c r="BU218" s="27">
        <v>240000000</v>
      </c>
      <c r="BV218" s="27">
        <v>240000000</v>
      </c>
      <c r="BW218" s="27">
        <v>160000000</v>
      </c>
      <c r="BX218" s="27">
        <v>160000000</v>
      </c>
      <c r="BY218" s="28">
        <f t="shared" si="149"/>
        <v>0.66666666666666663</v>
      </c>
      <c r="BZ218" s="27">
        <v>300000000</v>
      </c>
      <c r="CA218" s="20">
        <v>306000000</v>
      </c>
      <c r="CB218" s="29">
        <v>312120000</v>
      </c>
      <c r="CC218" s="29">
        <v>321483600</v>
      </c>
      <c r="CD218" s="29">
        <v>1239603600</v>
      </c>
    </row>
    <row r="219" spans="1:82" ht="40.5" customHeight="1">
      <c r="A219" s="12" t="s">
        <v>851</v>
      </c>
      <c r="B219" s="13">
        <v>0.432</v>
      </c>
      <c r="C219" s="12"/>
      <c r="D219" s="14">
        <v>33</v>
      </c>
      <c r="E219" s="14">
        <v>3301</v>
      </c>
      <c r="F219" s="14">
        <v>25</v>
      </c>
      <c r="G219" s="14" t="s">
        <v>1055</v>
      </c>
      <c r="H219" s="14"/>
      <c r="I219" s="14">
        <v>25.2</v>
      </c>
      <c r="J219" s="14" t="s">
        <v>1088</v>
      </c>
      <c r="K219" s="14" t="s">
        <v>1089</v>
      </c>
      <c r="L219" s="14" t="s">
        <v>1090</v>
      </c>
      <c r="M219" s="14" t="s">
        <v>1091</v>
      </c>
      <c r="N219" s="14" t="s">
        <v>1092</v>
      </c>
      <c r="O219" s="14">
        <v>3301085</v>
      </c>
      <c r="P219" s="17">
        <v>2024257990031</v>
      </c>
      <c r="Q219" s="14" t="s">
        <v>1093</v>
      </c>
      <c r="R219" s="18">
        <v>218</v>
      </c>
      <c r="S219" s="14" t="s">
        <v>1101</v>
      </c>
      <c r="T219" s="14">
        <v>1</v>
      </c>
      <c r="U219" s="14" t="s">
        <v>88</v>
      </c>
      <c r="V219" s="14" t="s">
        <v>89</v>
      </c>
      <c r="W219" s="14" t="s">
        <v>1102</v>
      </c>
      <c r="X219" s="14" t="s">
        <v>666</v>
      </c>
      <c r="Y219" s="19"/>
      <c r="Z219" s="18">
        <f>SUM(AG219:AI219)/3</f>
        <v>3</v>
      </c>
      <c r="AA219" s="20">
        <f t="shared" si="1"/>
        <v>0.3</v>
      </c>
      <c r="AB219" s="20">
        <f t="shared" si="2"/>
        <v>0.27916666666666667</v>
      </c>
      <c r="AC219" s="21"/>
      <c r="AD219" s="21"/>
      <c r="AE219" s="21">
        <f t="shared" si="3"/>
        <v>0.14270833333333333</v>
      </c>
      <c r="AF219" s="29">
        <v>1</v>
      </c>
      <c r="AG219" s="29">
        <v>3</v>
      </c>
      <c r="AH219" s="29">
        <v>3</v>
      </c>
      <c r="AI219" s="29">
        <v>3</v>
      </c>
      <c r="AJ219" s="26"/>
      <c r="AK219" s="26"/>
      <c r="AL219" s="26"/>
      <c r="AM219" s="26"/>
      <c r="AN219" s="26">
        <v>0.5</v>
      </c>
      <c r="AO219" s="26">
        <v>0.5</v>
      </c>
      <c r="AP219" s="26">
        <v>0.5</v>
      </c>
      <c r="AQ219" s="26">
        <v>0.4</v>
      </c>
      <c r="AR219" s="29">
        <f t="shared" ref="AR219:AS219" si="781">(AJ219+AL219+AN219+AP219)</f>
        <v>1</v>
      </c>
      <c r="AS219" s="29">
        <f t="shared" si="781"/>
        <v>0.9</v>
      </c>
      <c r="AT219" s="22">
        <f t="shared" si="716"/>
        <v>0.9</v>
      </c>
      <c r="AU219" s="23" t="str">
        <f t="shared" si="717"/>
        <v>100%</v>
      </c>
      <c r="AV219" s="24">
        <f t="shared" si="7"/>
        <v>0.9</v>
      </c>
      <c r="AW219" s="14" t="s">
        <v>92</v>
      </c>
      <c r="AX219" s="30" t="s">
        <v>1103</v>
      </c>
      <c r="AY219" s="26">
        <v>2</v>
      </c>
      <c r="AZ219" s="26">
        <v>2</v>
      </c>
      <c r="BA219" s="26">
        <v>2</v>
      </c>
      <c r="BB219" s="26">
        <v>2</v>
      </c>
      <c r="BC219" s="26">
        <v>2</v>
      </c>
      <c r="BD219" s="26">
        <v>2.7</v>
      </c>
      <c r="BE219" s="26">
        <v>2</v>
      </c>
      <c r="BF219" s="26"/>
      <c r="BG219" s="22">
        <f t="shared" ref="BG219:BH219" si="782">(AY219+BA219+BC219+BE219)</f>
        <v>8</v>
      </c>
      <c r="BH219" s="22">
        <f t="shared" si="782"/>
        <v>6.7</v>
      </c>
      <c r="BI219" s="22">
        <f t="shared" si="690"/>
        <v>0.83750000000000002</v>
      </c>
      <c r="BJ219" s="23" t="str">
        <f t="shared" si="691"/>
        <v>100%</v>
      </c>
      <c r="BK219" s="24">
        <f t="shared" si="692"/>
        <v>0.83750000000000002</v>
      </c>
      <c r="BL219" s="22" t="s">
        <v>92</v>
      </c>
      <c r="BM219" s="25" t="s">
        <v>1103</v>
      </c>
      <c r="BN219" s="27">
        <v>140000000</v>
      </c>
      <c r="BO219" s="27">
        <v>110000000</v>
      </c>
      <c r="BP219" s="27">
        <v>14072000</v>
      </c>
      <c r="BQ219" s="27">
        <v>14072000</v>
      </c>
      <c r="BR219" s="27">
        <f t="shared" ref="BR219:BS219" si="783">+BN219+BP219</f>
        <v>154072000</v>
      </c>
      <c r="BS219" s="27">
        <f t="shared" si="783"/>
        <v>124072000</v>
      </c>
      <c r="BT219" s="20">
        <f t="shared" si="13"/>
        <v>0.8052858403863129</v>
      </c>
      <c r="BU219" s="27">
        <v>140000000</v>
      </c>
      <c r="BV219" s="27">
        <v>140000000</v>
      </c>
      <c r="BW219" s="27">
        <v>140000000</v>
      </c>
      <c r="BX219" s="27">
        <v>140000000</v>
      </c>
      <c r="BY219" s="28">
        <f t="shared" si="149"/>
        <v>1</v>
      </c>
      <c r="BZ219" s="27">
        <v>200000000</v>
      </c>
      <c r="CA219" s="20">
        <v>204000000</v>
      </c>
      <c r="CB219" s="29">
        <v>208080000</v>
      </c>
      <c r="CC219" s="29">
        <v>214322400</v>
      </c>
      <c r="CD219" s="29">
        <v>826402400</v>
      </c>
    </row>
    <row r="220" spans="1:82" ht="40.5" customHeight="1">
      <c r="A220" s="12" t="s">
        <v>851</v>
      </c>
      <c r="B220" s="13">
        <v>0.432</v>
      </c>
      <c r="C220" s="12"/>
      <c r="D220" s="14">
        <v>33</v>
      </c>
      <c r="E220" s="14">
        <v>3301</v>
      </c>
      <c r="F220" s="14">
        <v>25</v>
      </c>
      <c r="G220" s="14" t="s">
        <v>1055</v>
      </c>
      <c r="H220" s="14"/>
      <c r="I220" s="14">
        <v>25.2</v>
      </c>
      <c r="J220" s="14" t="s">
        <v>1088</v>
      </c>
      <c r="K220" s="14" t="s">
        <v>1089</v>
      </c>
      <c r="L220" s="14" t="s">
        <v>1090</v>
      </c>
      <c r="M220" s="14" t="s">
        <v>1091</v>
      </c>
      <c r="N220" s="14" t="s">
        <v>1092</v>
      </c>
      <c r="O220" s="14">
        <v>3301075</v>
      </c>
      <c r="P220" s="17">
        <v>2024257990031</v>
      </c>
      <c r="Q220" s="14" t="s">
        <v>1093</v>
      </c>
      <c r="R220" s="18">
        <v>219</v>
      </c>
      <c r="S220" s="14" t="s">
        <v>1104</v>
      </c>
      <c r="T220" s="14">
        <v>1</v>
      </c>
      <c r="U220" s="14" t="s">
        <v>88</v>
      </c>
      <c r="V220" s="14" t="s">
        <v>114</v>
      </c>
      <c r="W220" s="14" t="s">
        <v>1105</v>
      </c>
      <c r="X220" s="14" t="s">
        <v>666</v>
      </c>
      <c r="Y220" s="22"/>
      <c r="Z220" s="14">
        <f t="shared" ref="Z220:Z222" si="784">SUM(AF220:AI220)/4</f>
        <v>1</v>
      </c>
      <c r="AA220" s="20">
        <f t="shared" si="1"/>
        <v>0.97</v>
      </c>
      <c r="AB220" s="20">
        <f t="shared" si="2"/>
        <v>0.7</v>
      </c>
      <c r="AC220" s="21"/>
      <c r="AD220" s="21"/>
      <c r="AE220" s="21">
        <f t="shared" si="3"/>
        <v>0.39049999999999996</v>
      </c>
      <c r="AF220" s="14">
        <v>1</v>
      </c>
      <c r="AG220" s="14">
        <v>1</v>
      </c>
      <c r="AH220" s="14">
        <v>1</v>
      </c>
      <c r="AI220" s="14">
        <v>1</v>
      </c>
      <c r="AJ220" s="26"/>
      <c r="AK220" s="26"/>
      <c r="AL220" s="26"/>
      <c r="AM220" s="26"/>
      <c r="AN220" s="26">
        <v>0.5</v>
      </c>
      <c r="AO220" s="26">
        <v>0.5</v>
      </c>
      <c r="AP220" s="26">
        <v>0.5</v>
      </c>
      <c r="AQ220" s="26">
        <v>0.47</v>
      </c>
      <c r="AR220" s="29">
        <f t="shared" ref="AR220:AS220" si="785">(AJ220+AL220+AN220+AP220)</f>
        <v>1</v>
      </c>
      <c r="AS220" s="29">
        <f t="shared" si="785"/>
        <v>0.97</v>
      </c>
      <c r="AT220" s="22">
        <f t="shared" si="716"/>
        <v>0.97</v>
      </c>
      <c r="AU220" s="23" t="str">
        <f t="shared" si="717"/>
        <v>100%</v>
      </c>
      <c r="AV220" s="24">
        <f t="shared" si="7"/>
        <v>0.97</v>
      </c>
      <c r="AW220" s="14" t="s">
        <v>92</v>
      </c>
      <c r="AX220" s="30" t="s">
        <v>1106</v>
      </c>
      <c r="AY220" s="46">
        <v>0.1</v>
      </c>
      <c r="AZ220" s="46">
        <v>0.1</v>
      </c>
      <c r="BA220" s="46">
        <v>0.1</v>
      </c>
      <c r="BB220" s="46">
        <v>0.1</v>
      </c>
      <c r="BC220" s="46">
        <v>0.4</v>
      </c>
      <c r="BD220" s="46">
        <v>0.5</v>
      </c>
      <c r="BE220" s="46">
        <v>0.4</v>
      </c>
      <c r="BF220" s="26"/>
      <c r="BG220" s="22">
        <f t="shared" ref="BG220:BH220" si="786">(AY220+BA220+BC220+BE220)</f>
        <v>1</v>
      </c>
      <c r="BH220" s="22">
        <f t="shared" si="786"/>
        <v>0.7</v>
      </c>
      <c r="BI220" s="22">
        <f t="shared" si="690"/>
        <v>0.7</v>
      </c>
      <c r="BJ220" s="23" t="str">
        <f t="shared" si="691"/>
        <v>100%</v>
      </c>
      <c r="BK220" s="24">
        <f t="shared" si="692"/>
        <v>0.7</v>
      </c>
      <c r="BL220" s="22" t="s">
        <v>92</v>
      </c>
      <c r="BM220" s="25" t="s">
        <v>1106</v>
      </c>
      <c r="BN220" s="27">
        <v>61852457</v>
      </c>
      <c r="BO220" s="27">
        <v>0</v>
      </c>
      <c r="BP220" s="27">
        <v>109477614</v>
      </c>
      <c r="BQ220" s="27">
        <v>109477614</v>
      </c>
      <c r="BR220" s="27">
        <f t="shared" ref="BR220:BS220" si="787">+BN220+BP220</f>
        <v>171330071</v>
      </c>
      <c r="BS220" s="27">
        <f t="shared" si="787"/>
        <v>109477614</v>
      </c>
      <c r="BT220" s="20">
        <f t="shared" si="13"/>
        <v>0.63898656762945016</v>
      </c>
      <c r="BU220" s="27">
        <v>61852457</v>
      </c>
      <c r="BV220" s="27">
        <v>61852457</v>
      </c>
      <c r="BW220" s="27">
        <v>41852457</v>
      </c>
      <c r="BX220" s="27">
        <v>41852457</v>
      </c>
      <c r="BY220" s="28">
        <f t="shared" si="149"/>
        <v>0.676649870190282</v>
      </c>
      <c r="BZ220" s="27">
        <v>77752403</v>
      </c>
      <c r="CA220" s="20">
        <v>89878124</v>
      </c>
      <c r="CB220" s="29">
        <v>95601936</v>
      </c>
      <c r="CC220" s="29">
        <v>102249010</v>
      </c>
      <c r="CD220" s="29">
        <v>365481473</v>
      </c>
    </row>
    <row r="221" spans="1:82" ht="40.5" customHeight="1">
      <c r="A221" s="12" t="s">
        <v>851</v>
      </c>
      <c r="B221" s="13">
        <v>0.432</v>
      </c>
      <c r="C221" s="12"/>
      <c r="D221" s="14">
        <v>33</v>
      </c>
      <c r="E221" s="14">
        <v>3302</v>
      </c>
      <c r="F221" s="14">
        <v>25</v>
      </c>
      <c r="G221" s="14" t="s">
        <v>1055</v>
      </c>
      <c r="H221" s="14"/>
      <c r="I221" s="14">
        <v>25.3</v>
      </c>
      <c r="J221" s="14" t="s">
        <v>1107</v>
      </c>
      <c r="K221" s="14" t="s">
        <v>1108</v>
      </c>
      <c r="L221" s="14" t="s">
        <v>1109</v>
      </c>
      <c r="M221" s="14" t="s">
        <v>1110</v>
      </c>
      <c r="N221" s="20">
        <v>1</v>
      </c>
      <c r="O221" s="14">
        <v>3302044</v>
      </c>
      <c r="P221" s="17">
        <v>2024257990032</v>
      </c>
      <c r="Q221" s="14" t="s">
        <v>1111</v>
      </c>
      <c r="R221" s="18">
        <v>220</v>
      </c>
      <c r="S221" s="14" t="s">
        <v>1112</v>
      </c>
      <c r="T221" s="20">
        <v>1</v>
      </c>
      <c r="U221" s="14" t="s">
        <v>109</v>
      </c>
      <c r="V221" s="14" t="s">
        <v>114</v>
      </c>
      <c r="W221" s="14" t="s">
        <v>1113</v>
      </c>
      <c r="X221" s="14" t="s">
        <v>666</v>
      </c>
      <c r="Y221" s="19" t="s">
        <v>124</v>
      </c>
      <c r="Z221" s="24">
        <f t="shared" si="784"/>
        <v>1</v>
      </c>
      <c r="AA221" s="20">
        <f t="shared" si="1"/>
        <v>1</v>
      </c>
      <c r="AB221" s="20">
        <f t="shared" si="2"/>
        <v>0.8</v>
      </c>
      <c r="AC221" s="21"/>
      <c r="AD221" s="21"/>
      <c r="AE221" s="21">
        <f t="shared" si="3"/>
        <v>0.42999999999999994</v>
      </c>
      <c r="AF221" s="20">
        <v>1</v>
      </c>
      <c r="AG221" s="20">
        <v>1</v>
      </c>
      <c r="AH221" s="20">
        <v>1</v>
      </c>
      <c r="AI221" s="20">
        <v>1</v>
      </c>
      <c r="AJ221" s="26"/>
      <c r="AK221" s="26"/>
      <c r="AL221" s="26"/>
      <c r="AM221" s="26"/>
      <c r="AN221" s="24">
        <v>0.64</v>
      </c>
      <c r="AO221" s="24">
        <v>0.64</v>
      </c>
      <c r="AP221" s="24">
        <v>0.36</v>
      </c>
      <c r="AQ221" s="24">
        <v>0.36</v>
      </c>
      <c r="AR221" s="24">
        <f t="shared" ref="AR221:AS221" si="788">(AJ221+AL221+AN221+AP221)</f>
        <v>1</v>
      </c>
      <c r="AS221" s="24">
        <f t="shared" si="788"/>
        <v>1</v>
      </c>
      <c r="AT221" s="24">
        <f t="shared" si="716"/>
        <v>1</v>
      </c>
      <c r="AU221" s="23" t="str">
        <f t="shared" si="717"/>
        <v>100%</v>
      </c>
      <c r="AV221" s="24">
        <f t="shared" si="7"/>
        <v>1</v>
      </c>
      <c r="AW221" s="14" t="s">
        <v>92</v>
      </c>
      <c r="AX221" s="30" t="s">
        <v>1114</v>
      </c>
      <c r="AY221" s="24">
        <v>0.2</v>
      </c>
      <c r="AZ221" s="24">
        <v>0.2</v>
      </c>
      <c r="BA221" s="24">
        <v>0.1</v>
      </c>
      <c r="BB221" s="24">
        <v>0.1</v>
      </c>
      <c r="BC221" s="24">
        <v>0.35</v>
      </c>
      <c r="BD221" s="24">
        <v>0.5</v>
      </c>
      <c r="BE221" s="24">
        <v>0.35</v>
      </c>
      <c r="BF221" s="26"/>
      <c r="BG221" s="20">
        <f t="shared" ref="BG221:BH221" si="789">(AY221+BA221+BC221+BE221)</f>
        <v>1</v>
      </c>
      <c r="BH221" s="20">
        <f t="shared" si="789"/>
        <v>0.8</v>
      </c>
      <c r="BI221" s="20">
        <f t="shared" si="690"/>
        <v>0.8</v>
      </c>
      <c r="BJ221" s="23" t="str">
        <f t="shared" si="691"/>
        <v>100%</v>
      </c>
      <c r="BK221" s="24">
        <f t="shared" si="692"/>
        <v>0.8</v>
      </c>
      <c r="BL221" s="22" t="s">
        <v>92</v>
      </c>
      <c r="BM221" s="25" t="s">
        <v>1114</v>
      </c>
      <c r="BN221" s="27">
        <v>2100000000</v>
      </c>
      <c r="BO221" s="27">
        <v>450000000</v>
      </c>
      <c r="BP221" s="27">
        <v>1513982330</v>
      </c>
      <c r="BQ221" s="27">
        <v>1513982330</v>
      </c>
      <c r="BR221" s="27">
        <f t="shared" ref="BR221:BS221" si="790">+BN221+BP221</f>
        <v>3613982330</v>
      </c>
      <c r="BS221" s="27">
        <f t="shared" si="790"/>
        <v>1963982330</v>
      </c>
      <c r="BT221" s="20">
        <f t="shared" si="13"/>
        <v>0.54343993707351634</v>
      </c>
      <c r="BU221" s="27">
        <v>1500000000</v>
      </c>
      <c r="BV221" s="27">
        <v>2720000105</v>
      </c>
      <c r="BW221" s="27">
        <v>2220000000</v>
      </c>
      <c r="BX221" s="27">
        <v>2220000000</v>
      </c>
      <c r="BY221" s="28">
        <f t="shared" si="149"/>
        <v>0.81617643908142423</v>
      </c>
      <c r="BZ221" s="27">
        <v>1200000000</v>
      </c>
      <c r="CA221" s="20">
        <v>1224000000</v>
      </c>
      <c r="CB221" s="29">
        <v>1248480000</v>
      </c>
      <c r="CC221" s="29">
        <v>1285934400</v>
      </c>
      <c r="CD221" s="29">
        <v>4958414400</v>
      </c>
    </row>
    <row r="222" spans="1:82" ht="40.5" customHeight="1">
      <c r="A222" s="12" t="s">
        <v>851</v>
      </c>
      <c r="B222" s="13">
        <v>0.432</v>
      </c>
      <c r="C222" s="12"/>
      <c r="D222" s="14">
        <v>33</v>
      </c>
      <c r="E222" s="14">
        <v>3302</v>
      </c>
      <c r="F222" s="14">
        <v>25</v>
      </c>
      <c r="G222" s="14" t="s">
        <v>1055</v>
      </c>
      <c r="H222" s="14"/>
      <c r="I222" s="14">
        <v>25.3</v>
      </c>
      <c r="J222" s="14" t="s">
        <v>1107</v>
      </c>
      <c r="K222" s="14" t="s">
        <v>1108</v>
      </c>
      <c r="L222" s="14" t="s">
        <v>1109</v>
      </c>
      <c r="M222" s="14" t="s">
        <v>1110</v>
      </c>
      <c r="N222" s="20">
        <v>1</v>
      </c>
      <c r="O222" s="14">
        <v>3302069</v>
      </c>
      <c r="P222" s="17">
        <v>2024257990032</v>
      </c>
      <c r="Q222" s="14" t="s">
        <v>1111</v>
      </c>
      <c r="R222" s="18">
        <v>221</v>
      </c>
      <c r="S222" s="14" t="s">
        <v>1115</v>
      </c>
      <c r="T222" s="14">
        <v>1</v>
      </c>
      <c r="U222" s="14" t="s">
        <v>88</v>
      </c>
      <c r="V222" s="14" t="s">
        <v>114</v>
      </c>
      <c r="W222" s="14" t="s">
        <v>1116</v>
      </c>
      <c r="X222" s="14" t="s">
        <v>666</v>
      </c>
      <c r="Y222" s="19"/>
      <c r="Z222" s="14">
        <f t="shared" si="784"/>
        <v>1</v>
      </c>
      <c r="AA222" s="20">
        <f t="shared" si="1"/>
        <v>1</v>
      </c>
      <c r="AB222" s="20">
        <f t="shared" si="2"/>
        <v>0.8</v>
      </c>
      <c r="AC222" s="21"/>
      <c r="AD222" s="21"/>
      <c r="AE222" s="21">
        <f t="shared" si="3"/>
        <v>0.42999999999999994</v>
      </c>
      <c r="AF222" s="14">
        <v>1</v>
      </c>
      <c r="AG222" s="14">
        <v>1</v>
      </c>
      <c r="AH222" s="14">
        <v>1</v>
      </c>
      <c r="AI222" s="14">
        <v>1</v>
      </c>
      <c r="AJ222" s="26"/>
      <c r="AK222" s="26"/>
      <c r="AL222" s="26"/>
      <c r="AM222" s="26"/>
      <c r="AN222" s="26">
        <v>0.8</v>
      </c>
      <c r="AO222" s="26">
        <v>0.8</v>
      </c>
      <c r="AP222" s="26">
        <v>0.2</v>
      </c>
      <c r="AQ222" s="26">
        <v>0.2</v>
      </c>
      <c r="AR222" s="29">
        <f t="shared" ref="AR222:AS222" si="791">(AJ222+AL222+AN222+AP222)</f>
        <v>1</v>
      </c>
      <c r="AS222" s="29">
        <f t="shared" si="791"/>
        <v>1</v>
      </c>
      <c r="AT222" s="22">
        <f t="shared" si="716"/>
        <v>1</v>
      </c>
      <c r="AU222" s="23" t="str">
        <f t="shared" si="717"/>
        <v>100%</v>
      </c>
      <c r="AV222" s="24">
        <f t="shared" si="7"/>
        <v>1</v>
      </c>
      <c r="AW222" s="14" t="s">
        <v>92</v>
      </c>
      <c r="AX222" s="30" t="s">
        <v>1117</v>
      </c>
      <c r="AY222" s="46">
        <v>0.1</v>
      </c>
      <c r="AZ222" s="46">
        <v>0.1</v>
      </c>
      <c r="BA222" s="46">
        <v>0.3</v>
      </c>
      <c r="BB222" s="46">
        <v>0.3</v>
      </c>
      <c r="BC222" s="46">
        <v>0.3</v>
      </c>
      <c r="BD222" s="46">
        <v>0.4</v>
      </c>
      <c r="BE222" s="46">
        <v>0.3</v>
      </c>
      <c r="BF222" s="26"/>
      <c r="BG222" s="22">
        <f t="shared" ref="BG222:BH222" si="792">(AY222+BA222+BC222+BE222)</f>
        <v>1</v>
      </c>
      <c r="BH222" s="22">
        <f t="shared" si="792"/>
        <v>0.8</v>
      </c>
      <c r="BI222" s="22">
        <f t="shared" si="690"/>
        <v>0.8</v>
      </c>
      <c r="BJ222" s="23" t="str">
        <f t="shared" si="691"/>
        <v>100%</v>
      </c>
      <c r="BK222" s="24">
        <f t="shared" si="692"/>
        <v>0.8</v>
      </c>
      <c r="BL222" s="22" t="s">
        <v>92</v>
      </c>
      <c r="BM222" s="25" t="s">
        <v>1117</v>
      </c>
      <c r="BN222" s="27">
        <v>300000000</v>
      </c>
      <c r="BO222" s="27">
        <v>100000000</v>
      </c>
      <c r="BP222" s="27">
        <v>80000000</v>
      </c>
      <c r="BQ222" s="27">
        <v>80000000</v>
      </c>
      <c r="BR222" s="27">
        <f t="shared" ref="BR222:BS222" si="793">+BN222+BP222</f>
        <v>380000000</v>
      </c>
      <c r="BS222" s="27">
        <f t="shared" si="793"/>
        <v>180000000</v>
      </c>
      <c r="BT222" s="20">
        <f t="shared" si="13"/>
        <v>0.47368421052631576</v>
      </c>
      <c r="BU222" s="27">
        <v>300000000</v>
      </c>
      <c r="BV222" s="27">
        <v>300000000</v>
      </c>
      <c r="BW222" s="27">
        <v>250000000</v>
      </c>
      <c r="BX222" s="27">
        <v>250000000</v>
      </c>
      <c r="BY222" s="28">
        <f t="shared" si="149"/>
        <v>0.83333333333333337</v>
      </c>
      <c r="BZ222" s="27">
        <v>300000000</v>
      </c>
      <c r="CA222" s="20">
        <v>306000000</v>
      </c>
      <c r="CB222" s="29">
        <v>312120000</v>
      </c>
      <c r="CC222" s="29">
        <v>321483600</v>
      </c>
      <c r="CD222" s="29">
        <v>1239603600</v>
      </c>
    </row>
    <row r="223" spans="1:82" ht="40.5" customHeight="1">
      <c r="A223" s="12" t="s">
        <v>851</v>
      </c>
      <c r="B223" s="13">
        <v>0.432</v>
      </c>
      <c r="C223" s="12"/>
      <c r="D223" s="14">
        <v>33</v>
      </c>
      <c r="E223" s="14">
        <v>3302</v>
      </c>
      <c r="F223" s="14">
        <v>25</v>
      </c>
      <c r="G223" s="14" t="s">
        <v>1055</v>
      </c>
      <c r="H223" s="14"/>
      <c r="I223" s="14">
        <v>25.4</v>
      </c>
      <c r="J223" s="14" t="s">
        <v>1118</v>
      </c>
      <c r="K223" s="14" t="s">
        <v>1119</v>
      </c>
      <c r="L223" s="14" t="s">
        <v>1120</v>
      </c>
      <c r="M223" s="14" t="s">
        <v>1121</v>
      </c>
      <c r="N223" s="20">
        <v>0.25</v>
      </c>
      <c r="O223" s="16">
        <v>3302049</v>
      </c>
      <c r="P223" s="17">
        <v>2024257990033</v>
      </c>
      <c r="Q223" s="14" t="s">
        <v>1122</v>
      </c>
      <c r="R223" s="18">
        <v>222</v>
      </c>
      <c r="S223" s="14" t="s">
        <v>1123</v>
      </c>
      <c r="T223" s="14">
        <v>1</v>
      </c>
      <c r="U223" s="14" t="s">
        <v>88</v>
      </c>
      <c r="V223" s="14" t="s">
        <v>114</v>
      </c>
      <c r="W223" s="14" t="s">
        <v>1124</v>
      </c>
      <c r="X223" s="14" t="s">
        <v>666</v>
      </c>
      <c r="Y223" s="19"/>
      <c r="Z223" s="18">
        <f>SUM(AF223:AI223)</f>
        <v>1</v>
      </c>
      <c r="AA223" s="20">
        <f t="shared" si="1"/>
        <v>0.1</v>
      </c>
      <c r="AB223" s="20">
        <f t="shared" si="2"/>
        <v>0.70000000000000007</v>
      </c>
      <c r="AC223" s="21"/>
      <c r="AD223" s="21"/>
      <c r="AE223" s="21">
        <f t="shared" si="3"/>
        <v>0.26</v>
      </c>
      <c r="AF223" s="23">
        <v>0.1</v>
      </c>
      <c r="AG223" s="23">
        <v>0.4</v>
      </c>
      <c r="AH223" s="23">
        <v>0.3</v>
      </c>
      <c r="AI223" s="23">
        <v>0.2</v>
      </c>
      <c r="AJ223" s="26"/>
      <c r="AK223" s="26"/>
      <c r="AL223" s="26"/>
      <c r="AM223" s="26"/>
      <c r="AN223" s="24">
        <v>0.05</v>
      </c>
      <c r="AO223" s="24">
        <v>0.05</v>
      </c>
      <c r="AP223" s="24">
        <v>0.05</v>
      </c>
      <c r="AQ223" s="24">
        <v>0.05</v>
      </c>
      <c r="AR223" s="24">
        <f t="shared" ref="AR223:AS223" si="794">(AJ223+AL223+AN223+AP223)</f>
        <v>0.1</v>
      </c>
      <c r="AS223" s="24">
        <f t="shared" si="794"/>
        <v>0.1</v>
      </c>
      <c r="AT223" s="24">
        <f t="shared" si="716"/>
        <v>1</v>
      </c>
      <c r="AU223" s="23" t="str">
        <f t="shared" si="717"/>
        <v>100%</v>
      </c>
      <c r="AV223" s="24">
        <f t="shared" si="7"/>
        <v>1</v>
      </c>
      <c r="AW223" s="14" t="s">
        <v>92</v>
      </c>
      <c r="AX223" s="30" t="s">
        <v>1125</v>
      </c>
      <c r="AY223" s="26">
        <v>0</v>
      </c>
      <c r="AZ223" s="26">
        <v>0</v>
      </c>
      <c r="BA223" s="24">
        <v>0.1</v>
      </c>
      <c r="BB223" s="24">
        <v>0.1</v>
      </c>
      <c r="BC223" s="24">
        <v>0.15</v>
      </c>
      <c r="BD223" s="24">
        <v>0.18</v>
      </c>
      <c r="BE223" s="24">
        <v>0.15</v>
      </c>
      <c r="BF223" s="26"/>
      <c r="BG223" s="22">
        <f t="shared" ref="BG223:BH223" si="795">(AY223+BA223+BC223+BE223)</f>
        <v>0.4</v>
      </c>
      <c r="BH223" s="22">
        <f t="shared" si="795"/>
        <v>0.28000000000000003</v>
      </c>
      <c r="BI223" s="22">
        <f t="shared" si="690"/>
        <v>0.70000000000000007</v>
      </c>
      <c r="BJ223" s="23" t="str">
        <f t="shared" si="691"/>
        <v>100%</v>
      </c>
      <c r="BK223" s="24">
        <f t="shared" si="692"/>
        <v>0.70000000000000007</v>
      </c>
      <c r="BL223" s="22" t="s">
        <v>92</v>
      </c>
      <c r="BM223" s="25" t="s">
        <v>1125</v>
      </c>
      <c r="BN223" s="27">
        <v>60000000</v>
      </c>
      <c r="BO223" s="27">
        <v>60000000</v>
      </c>
      <c r="BP223" s="27">
        <v>0</v>
      </c>
      <c r="BQ223" s="27">
        <v>0</v>
      </c>
      <c r="BR223" s="27">
        <f t="shared" ref="BR223:BS223" si="796">+BN223+BP223</f>
        <v>60000000</v>
      </c>
      <c r="BS223" s="27">
        <f t="shared" si="796"/>
        <v>60000000</v>
      </c>
      <c r="BT223" s="20">
        <f t="shared" si="13"/>
        <v>1</v>
      </c>
      <c r="BU223" s="27">
        <v>60000000</v>
      </c>
      <c r="BV223" s="27">
        <v>60000000</v>
      </c>
      <c r="BW223" s="27">
        <v>60000000</v>
      </c>
      <c r="BX223" s="27">
        <v>60000000</v>
      </c>
      <c r="BY223" s="28">
        <f t="shared" si="149"/>
        <v>1</v>
      </c>
      <c r="BZ223" s="27">
        <v>0</v>
      </c>
      <c r="CA223" s="20">
        <v>110000000</v>
      </c>
      <c r="CB223" s="29">
        <v>0</v>
      </c>
      <c r="CC223" s="29">
        <v>0</v>
      </c>
      <c r="CD223" s="29">
        <v>110000000</v>
      </c>
    </row>
    <row r="224" spans="1:82" ht="40.5" customHeight="1">
      <c r="A224" s="12" t="s">
        <v>851</v>
      </c>
      <c r="B224" s="13">
        <v>0.432</v>
      </c>
      <c r="C224" s="12"/>
      <c r="D224" s="14">
        <v>33</v>
      </c>
      <c r="E224" s="14">
        <v>3302</v>
      </c>
      <c r="F224" s="14">
        <v>25</v>
      </c>
      <c r="G224" s="14" t="s">
        <v>1055</v>
      </c>
      <c r="H224" s="14"/>
      <c r="I224" s="14">
        <v>25.4</v>
      </c>
      <c r="J224" s="14" t="s">
        <v>1118</v>
      </c>
      <c r="K224" s="14" t="s">
        <v>1119</v>
      </c>
      <c r="L224" s="14" t="s">
        <v>1120</v>
      </c>
      <c r="M224" s="14" t="s">
        <v>1121</v>
      </c>
      <c r="N224" s="20">
        <v>0.25</v>
      </c>
      <c r="O224" s="16">
        <v>3302078</v>
      </c>
      <c r="P224" s="17">
        <v>2024257990033</v>
      </c>
      <c r="Q224" s="14" t="s">
        <v>1122</v>
      </c>
      <c r="R224" s="18">
        <v>223</v>
      </c>
      <c r="S224" s="14" t="s">
        <v>1126</v>
      </c>
      <c r="T224" s="14">
        <v>1</v>
      </c>
      <c r="U224" s="14" t="s">
        <v>88</v>
      </c>
      <c r="V224" s="14" t="s">
        <v>114</v>
      </c>
      <c r="W224" s="14" t="s">
        <v>1127</v>
      </c>
      <c r="X224" s="14" t="s">
        <v>666</v>
      </c>
      <c r="Y224" s="19"/>
      <c r="Z224" s="14">
        <f>SUM(AF224:AI224)/4</f>
        <v>1</v>
      </c>
      <c r="AA224" s="20">
        <f t="shared" si="1"/>
        <v>1</v>
      </c>
      <c r="AB224" s="20">
        <f t="shared" si="2"/>
        <v>1</v>
      </c>
      <c r="AC224" s="21"/>
      <c r="AD224" s="21"/>
      <c r="AE224" s="21">
        <f t="shared" si="3"/>
        <v>0.5</v>
      </c>
      <c r="AF224" s="14">
        <v>1</v>
      </c>
      <c r="AG224" s="14">
        <v>1</v>
      </c>
      <c r="AH224" s="14">
        <v>1</v>
      </c>
      <c r="AI224" s="14">
        <v>1</v>
      </c>
      <c r="AJ224" s="26"/>
      <c r="AK224" s="26"/>
      <c r="AL224" s="26"/>
      <c r="AM224" s="26"/>
      <c r="AN224" s="26">
        <v>1</v>
      </c>
      <c r="AO224" s="26">
        <v>1</v>
      </c>
      <c r="AP224" s="26">
        <v>0</v>
      </c>
      <c r="AQ224" s="26">
        <v>0</v>
      </c>
      <c r="AR224" s="29">
        <f t="shared" ref="AR224:AS224" si="797">(AJ224+AL224+AN224+AP224)</f>
        <v>1</v>
      </c>
      <c r="AS224" s="29">
        <f t="shared" si="797"/>
        <v>1</v>
      </c>
      <c r="AT224" s="22">
        <f t="shared" si="716"/>
        <v>1</v>
      </c>
      <c r="AU224" s="23" t="str">
        <f t="shared" si="717"/>
        <v>100%</v>
      </c>
      <c r="AV224" s="23" t="str">
        <f t="shared" ref="AV224:AV225" si="798">MIN((AS224 /AS224) * 100, 100) &amp; "%"</f>
        <v>100%</v>
      </c>
      <c r="AW224" s="14" t="s">
        <v>92</v>
      </c>
      <c r="AX224" s="30" t="s">
        <v>1128</v>
      </c>
      <c r="AY224" s="46">
        <v>0</v>
      </c>
      <c r="AZ224" s="26">
        <v>0</v>
      </c>
      <c r="BA224" s="46">
        <v>0.3</v>
      </c>
      <c r="BB224" s="26">
        <v>0.3</v>
      </c>
      <c r="BC224" s="46">
        <v>0.7</v>
      </c>
      <c r="BD224" s="46">
        <v>0.7</v>
      </c>
      <c r="BE224" s="46">
        <v>0</v>
      </c>
      <c r="BF224" s="26"/>
      <c r="BG224" s="22">
        <f t="shared" ref="BG224:BH224" si="799">(AY224+BA224+BC224+BE224)</f>
        <v>1</v>
      </c>
      <c r="BH224" s="22">
        <f t="shared" si="799"/>
        <v>1</v>
      </c>
      <c r="BI224" s="22">
        <f t="shared" si="690"/>
        <v>1</v>
      </c>
      <c r="BJ224" s="23" t="str">
        <f t="shared" si="691"/>
        <v>100%</v>
      </c>
      <c r="BK224" s="24">
        <f t="shared" si="692"/>
        <v>1</v>
      </c>
      <c r="BL224" s="22" t="s">
        <v>92</v>
      </c>
      <c r="BM224" s="25" t="s">
        <v>1128</v>
      </c>
      <c r="BN224" s="27">
        <v>20000000</v>
      </c>
      <c r="BO224" s="27">
        <v>20000000</v>
      </c>
      <c r="BP224" s="27">
        <v>20000000</v>
      </c>
      <c r="BQ224" s="27">
        <v>20000000</v>
      </c>
      <c r="BR224" s="27">
        <f t="shared" ref="BR224:BS224" si="800">+BN224+BP224</f>
        <v>40000000</v>
      </c>
      <c r="BS224" s="27">
        <f t="shared" si="800"/>
        <v>40000000</v>
      </c>
      <c r="BT224" s="20">
        <f t="shared" si="13"/>
        <v>1</v>
      </c>
      <c r="BU224" s="27">
        <v>20000000</v>
      </c>
      <c r="BV224" s="27">
        <v>20000000</v>
      </c>
      <c r="BW224" s="27">
        <v>20000000</v>
      </c>
      <c r="BX224" s="27">
        <v>20000000</v>
      </c>
      <c r="BY224" s="28">
        <f t="shared" si="149"/>
        <v>1</v>
      </c>
      <c r="BZ224" s="27">
        <v>20000000</v>
      </c>
      <c r="CA224" s="20">
        <v>20400000</v>
      </c>
      <c r="CB224" s="29">
        <v>20808000</v>
      </c>
      <c r="CC224" s="29">
        <v>21432240</v>
      </c>
      <c r="CD224" s="29">
        <v>82640240</v>
      </c>
    </row>
    <row r="225" spans="1:82" ht="40.5" customHeight="1">
      <c r="A225" s="12" t="s">
        <v>851</v>
      </c>
      <c r="B225" s="13">
        <v>0.432</v>
      </c>
      <c r="C225" s="12"/>
      <c r="D225" s="14">
        <v>33</v>
      </c>
      <c r="E225" s="14">
        <v>3302</v>
      </c>
      <c r="F225" s="14">
        <v>25</v>
      </c>
      <c r="G225" s="14" t="s">
        <v>1055</v>
      </c>
      <c r="H225" s="14"/>
      <c r="I225" s="14">
        <v>25.4</v>
      </c>
      <c r="J225" s="14" t="s">
        <v>1118</v>
      </c>
      <c r="K225" s="14" t="s">
        <v>1119</v>
      </c>
      <c r="L225" s="14" t="s">
        <v>1120</v>
      </c>
      <c r="M225" s="14" t="s">
        <v>1121</v>
      </c>
      <c r="N225" s="20">
        <v>0.25</v>
      </c>
      <c r="O225" s="16">
        <v>3302073</v>
      </c>
      <c r="P225" s="17">
        <v>2024257990033</v>
      </c>
      <c r="Q225" s="14" t="s">
        <v>1122</v>
      </c>
      <c r="R225" s="18">
        <v>224</v>
      </c>
      <c r="S225" s="14" t="s">
        <v>1129</v>
      </c>
      <c r="T225" s="14">
        <v>0</v>
      </c>
      <c r="U225" s="14" t="s">
        <v>88</v>
      </c>
      <c r="V225" s="14" t="s">
        <v>89</v>
      </c>
      <c r="W225" s="14" t="s">
        <v>1130</v>
      </c>
      <c r="X225" s="14" t="s">
        <v>206</v>
      </c>
      <c r="Y225" s="19"/>
      <c r="Z225" s="18">
        <f t="shared" ref="Z225:Z227" si="801">SUM(AF225:AI225)</f>
        <v>1</v>
      </c>
      <c r="AA225" s="20">
        <f t="shared" si="1"/>
        <v>0.1</v>
      </c>
      <c r="AB225" s="20">
        <f t="shared" si="2"/>
        <v>0.39999999999999997</v>
      </c>
      <c r="AC225" s="21"/>
      <c r="AD225" s="21"/>
      <c r="AE225" s="21">
        <f t="shared" si="3"/>
        <v>0.15499999999999997</v>
      </c>
      <c r="AF225" s="22">
        <v>0.1</v>
      </c>
      <c r="AG225" s="33">
        <v>0.3</v>
      </c>
      <c r="AH225" s="33">
        <v>0.6</v>
      </c>
      <c r="AI225" s="22">
        <v>0</v>
      </c>
      <c r="AJ225" s="26"/>
      <c r="AK225" s="26"/>
      <c r="AL225" s="26"/>
      <c r="AM225" s="26"/>
      <c r="AN225" s="26">
        <v>0.05</v>
      </c>
      <c r="AO225" s="26">
        <v>0.05</v>
      </c>
      <c r="AP225" s="26">
        <v>0.05</v>
      </c>
      <c r="AQ225" s="26">
        <v>0.05</v>
      </c>
      <c r="AR225" s="33">
        <f t="shared" ref="AR225:AS225" si="802">(AJ225+AL225+AN225+AP225)</f>
        <v>0.1</v>
      </c>
      <c r="AS225" s="33">
        <f t="shared" si="802"/>
        <v>0.1</v>
      </c>
      <c r="AT225" s="22">
        <f t="shared" si="716"/>
        <v>1</v>
      </c>
      <c r="AU225" s="23" t="str">
        <f t="shared" si="717"/>
        <v>100%</v>
      </c>
      <c r="AV225" s="23" t="str">
        <f t="shared" si="798"/>
        <v>100%</v>
      </c>
      <c r="AW225" s="14" t="s">
        <v>92</v>
      </c>
      <c r="AX225" s="30" t="s">
        <v>1131</v>
      </c>
      <c r="AY225" s="14">
        <v>0.05</v>
      </c>
      <c r="AZ225" s="14">
        <v>0.05</v>
      </c>
      <c r="BA225" s="14">
        <v>7.0000000000000007E-2</v>
      </c>
      <c r="BB225" s="14">
        <v>7.0000000000000007E-2</v>
      </c>
      <c r="BC225" s="14">
        <v>0.09</v>
      </c>
      <c r="BD225" s="14">
        <v>0</v>
      </c>
      <c r="BE225" s="14">
        <v>0.09</v>
      </c>
      <c r="BF225" s="26"/>
      <c r="BG225" s="22">
        <f t="shared" ref="BG225:BH225" si="803">(AY225+BA225+BC225+BE225)</f>
        <v>0.30000000000000004</v>
      </c>
      <c r="BH225" s="22">
        <f t="shared" si="803"/>
        <v>0.12000000000000001</v>
      </c>
      <c r="BI225" s="22">
        <f t="shared" si="690"/>
        <v>0.39999999999999997</v>
      </c>
      <c r="BJ225" s="23" t="str">
        <f t="shared" si="691"/>
        <v>100%</v>
      </c>
      <c r="BK225" s="24">
        <f t="shared" si="692"/>
        <v>0.39999999999999997</v>
      </c>
      <c r="BL225" s="22" t="s">
        <v>92</v>
      </c>
      <c r="BM225" s="25" t="s">
        <v>1132</v>
      </c>
      <c r="BN225" s="27">
        <v>300000000</v>
      </c>
      <c r="BO225" s="27">
        <v>0</v>
      </c>
      <c r="BP225" s="27">
        <v>6150000</v>
      </c>
      <c r="BQ225" s="27">
        <v>6150000</v>
      </c>
      <c r="BR225" s="27">
        <f t="shared" ref="BR225:BS225" si="804">+BN225+BP225</f>
        <v>306150000</v>
      </c>
      <c r="BS225" s="27">
        <f t="shared" si="804"/>
        <v>6150000</v>
      </c>
      <c r="BT225" s="20">
        <f t="shared" si="13"/>
        <v>2.0088192062714356E-2</v>
      </c>
      <c r="BU225" s="27">
        <v>300000000</v>
      </c>
      <c r="BV225" s="27">
        <v>249100045</v>
      </c>
      <c r="BW225" s="27">
        <v>0</v>
      </c>
      <c r="BX225" s="27">
        <v>0</v>
      </c>
      <c r="BY225" s="28">
        <f t="shared" si="149"/>
        <v>0</v>
      </c>
      <c r="BZ225" s="27">
        <v>0</v>
      </c>
      <c r="CA225" s="20">
        <v>230000000</v>
      </c>
      <c r="CB225" s="29">
        <v>250000000</v>
      </c>
      <c r="CC225" s="29">
        <v>257500000</v>
      </c>
      <c r="CD225" s="29">
        <v>737500000</v>
      </c>
    </row>
    <row r="226" spans="1:82" ht="40.5" customHeight="1">
      <c r="A226" s="12" t="s">
        <v>851</v>
      </c>
      <c r="B226" s="13">
        <v>0.432</v>
      </c>
      <c r="C226" s="12"/>
      <c r="D226" s="14">
        <v>33</v>
      </c>
      <c r="E226" s="14">
        <v>3302</v>
      </c>
      <c r="F226" s="14">
        <v>25</v>
      </c>
      <c r="G226" s="14" t="s">
        <v>1055</v>
      </c>
      <c r="H226" s="14"/>
      <c r="I226" s="14">
        <v>25.4</v>
      </c>
      <c r="J226" s="14" t="s">
        <v>1118</v>
      </c>
      <c r="K226" s="14" t="s">
        <v>1119</v>
      </c>
      <c r="L226" s="14" t="s">
        <v>1120</v>
      </c>
      <c r="M226" s="14" t="s">
        <v>1121</v>
      </c>
      <c r="N226" s="20">
        <v>0.25</v>
      </c>
      <c r="O226" s="16">
        <v>3302058</v>
      </c>
      <c r="P226" s="17">
        <v>2024257990033</v>
      </c>
      <c r="Q226" s="14" t="s">
        <v>1122</v>
      </c>
      <c r="R226" s="18">
        <v>225</v>
      </c>
      <c r="S226" s="14" t="s">
        <v>1133</v>
      </c>
      <c r="T226" s="14">
        <v>0</v>
      </c>
      <c r="U226" s="14" t="s">
        <v>88</v>
      </c>
      <c r="V226" s="14" t="s">
        <v>89</v>
      </c>
      <c r="W226" s="14" t="s">
        <v>1134</v>
      </c>
      <c r="X226" s="14" t="s">
        <v>666</v>
      </c>
      <c r="Y226" s="19" t="s">
        <v>124</v>
      </c>
      <c r="Z226" s="18">
        <f t="shared" si="801"/>
        <v>1</v>
      </c>
      <c r="AA226" s="20">
        <f t="shared" si="1"/>
        <v>0</v>
      </c>
      <c r="AB226" s="20">
        <f t="shared" si="2"/>
        <v>0.5</v>
      </c>
      <c r="AC226" s="21"/>
      <c r="AD226" s="21"/>
      <c r="AE226" s="21">
        <f t="shared" si="3"/>
        <v>0.17499999999999999</v>
      </c>
      <c r="AF226" s="22">
        <v>0</v>
      </c>
      <c r="AG226" s="22">
        <v>0.4</v>
      </c>
      <c r="AH226" s="22">
        <v>0.4</v>
      </c>
      <c r="AI226" s="22">
        <v>0.2</v>
      </c>
      <c r="AJ226" s="26"/>
      <c r="AK226" s="26"/>
      <c r="AL226" s="26"/>
      <c r="AM226" s="26"/>
      <c r="AN226" s="34">
        <v>0</v>
      </c>
      <c r="AO226" s="34">
        <v>0</v>
      </c>
      <c r="AP226" s="34">
        <v>0</v>
      </c>
      <c r="AQ226" s="34">
        <v>0</v>
      </c>
      <c r="AR226" s="34">
        <v>0</v>
      </c>
      <c r="AS226" s="34">
        <f t="shared" ref="AS226:AS227" si="805">(AK226+AM226+AO226+AQ226)/2</f>
        <v>0</v>
      </c>
      <c r="AT226" s="24">
        <f t="shared" ref="AT226:AT227" si="806">IF(AQ226=0, 0, AR226/AQ226)</f>
        <v>0</v>
      </c>
      <c r="AU226" s="23" t="str">
        <f t="shared" ref="AU226:AU227" si="807">IF(AR226&gt; 1, IF(AR226 = AS226, "100%", AR226 &amp; "%"), IF(AR226 &lt;= 0.01, "0%", AR226 * 100 &amp; "%"))</f>
        <v>0%</v>
      </c>
      <c r="AV226" s="24">
        <f t="shared" ref="AV226:AV332" si="808">IF(AR226=0, 0, AS226/AR226)</f>
        <v>0</v>
      </c>
      <c r="AW226" s="26" t="s">
        <v>192</v>
      </c>
      <c r="AX226" s="26"/>
      <c r="AY226" s="24">
        <v>0.05</v>
      </c>
      <c r="AZ226" s="24">
        <v>0.05</v>
      </c>
      <c r="BA226" s="24">
        <v>0.05</v>
      </c>
      <c r="BB226" s="24">
        <v>0.05</v>
      </c>
      <c r="BC226" s="24">
        <v>0.15</v>
      </c>
      <c r="BD226" s="24">
        <v>0.1</v>
      </c>
      <c r="BE226" s="24">
        <v>0.15</v>
      </c>
      <c r="BF226" s="26"/>
      <c r="BG226" s="20">
        <f t="shared" ref="BG226:BH226" si="809">(AY226+BA226+BC226+BE226)</f>
        <v>0.4</v>
      </c>
      <c r="BH226" s="20">
        <f t="shared" si="809"/>
        <v>0.2</v>
      </c>
      <c r="BI226" s="20">
        <f t="shared" si="690"/>
        <v>0.5</v>
      </c>
      <c r="BJ226" s="23" t="str">
        <f t="shared" si="691"/>
        <v>100%</v>
      </c>
      <c r="BK226" s="24">
        <f t="shared" si="692"/>
        <v>0.5</v>
      </c>
      <c r="BL226" s="22" t="s">
        <v>92</v>
      </c>
      <c r="BM226" s="25" t="s">
        <v>1135</v>
      </c>
      <c r="BN226" s="27">
        <v>200000000</v>
      </c>
      <c r="BO226" s="27">
        <v>100000000</v>
      </c>
      <c r="BP226" s="27">
        <v>0</v>
      </c>
      <c r="BQ226" s="27">
        <v>0</v>
      </c>
      <c r="BR226" s="27">
        <f t="shared" ref="BR226:BS226" si="810">+BN226+BP226</f>
        <v>200000000</v>
      </c>
      <c r="BS226" s="27">
        <f t="shared" si="810"/>
        <v>100000000</v>
      </c>
      <c r="BT226" s="20">
        <f t="shared" si="13"/>
        <v>0.5</v>
      </c>
      <c r="BU226" s="27">
        <v>200000000</v>
      </c>
      <c r="BV226" s="27">
        <v>200000000</v>
      </c>
      <c r="BW226" s="27">
        <v>200000000</v>
      </c>
      <c r="BX226" s="27">
        <v>200000000</v>
      </c>
      <c r="BY226" s="28">
        <f t="shared" si="149"/>
        <v>1</v>
      </c>
      <c r="BZ226" s="27">
        <v>0</v>
      </c>
      <c r="CA226" s="20">
        <v>130000000</v>
      </c>
      <c r="CB226" s="29">
        <v>150000000</v>
      </c>
      <c r="CC226" s="29">
        <v>200000000</v>
      </c>
      <c r="CD226" s="29">
        <v>480000000</v>
      </c>
    </row>
    <row r="227" spans="1:82" ht="40.5" customHeight="1">
      <c r="A227" s="12" t="s">
        <v>851</v>
      </c>
      <c r="B227" s="13">
        <v>0.432</v>
      </c>
      <c r="C227" s="12"/>
      <c r="D227" s="14">
        <v>33</v>
      </c>
      <c r="E227" s="14">
        <v>3302</v>
      </c>
      <c r="F227" s="14">
        <v>25</v>
      </c>
      <c r="G227" s="14" t="s">
        <v>1055</v>
      </c>
      <c r="H227" s="14"/>
      <c r="I227" s="14">
        <v>25.4</v>
      </c>
      <c r="J227" s="14" t="s">
        <v>1118</v>
      </c>
      <c r="K227" s="14" t="s">
        <v>1119</v>
      </c>
      <c r="L227" s="14" t="s">
        <v>1120</v>
      </c>
      <c r="M227" s="14" t="s">
        <v>1121</v>
      </c>
      <c r="N227" s="20">
        <v>0.25</v>
      </c>
      <c r="O227" s="16">
        <v>3302072</v>
      </c>
      <c r="P227" s="17">
        <v>2024257990033</v>
      </c>
      <c r="Q227" s="14" t="s">
        <v>1122</v>
      </c>
      <c r="R227" s="18">
        <v>226</v>
      </c>
      <c r="S227" s="14" t="s">
        <v>1136</v>
      </c>
      <c r="T227" s="14">
        <v>0</v>
      </c>
      <c r="U227" s="14" t="s">
        <v>88</v>
      </c>
      <c r="V227" s="14" t="s">
        <v>89</v>
      </c>
      <c r="W227" s="14" t="s">
        <v>1137</v>
      </c>
      <c r="X227" s="14" t="s">
        <v>139</v>
      </c>
      <c r="Y227" s="19"/>
      <c r="Z227" s="18">
        <f t="shared" si="801"/>
        <v>3</v>
      </c>
      <c r="AA227" s="20">
        <f t="shared" si="1"/>
        <v>0</v>
      </c>
      <c r="AB227" s="20">
        <f t="shared" si="2"/>
        <v>0.3</v>
      </c>
      <c r="AC227" s="21"/>
      <c r="AD227" s="21"/>
      <c r="AE227" s="21">
        <f t="shared" si="3"/>
        <v>0.105</v>
      </c>
      <c r="AF227" s="22">
        <v>0</v>
      </c>
      <c r="AG227" s="29">
        <v>1</v>
      </c>
      <c r="AH227" s="29">
        <v>1</v>
      </c>
      <c r="AI227" s="29">
        <v>1</v>
      </c>
      <c r="AJ227" s="26"/>
      <c r="AK227" s="26"/>
      <c r="AL227" s="26"/>
      <c r="AM227" s="26"/>
      <c r="AN227" s="34">
        <v>0</v>
      </c>
      <c r="AO227" s="34">
        <v>0</v>
      </c>
      <c r="AP227" s="34">
        <v>0</v>
      </c>
      <c r="AQ227" s="34">
        <v>0</v>
      </c>
      <c r="AR227" s="34">
        <v>0</v>
      </c>
      <c r="AS227" s="34">
        <f t="shared" si="805"/>
        <v>0</v>
      </c>
      <c r="AT227" s="24">
        <f t="shared" si="806"/>
        <v>0</v>
      </c>
      <c r="AU227" s="23" t="str">
        <f t="shared" si="807"/>
        <v>0%</v>
      </c>
      <c r="AV227" s="24">
        <f t="shared" si="808"/>
        <v>0</v>
      </c>
      <c r="AW227" s="26" t="s">
        <v>192</v>
      </c>
      <c r="AX227" s="26"/>
      <c r="AY227" s="46">
        <v>0.1</v>
      </c>
      <c r="AZ227" s="46">
        <v>0.1</v>
      </c>
      <c r="BA227" s="46">
        <v>0.3</v>
      </c>
      <c r="BB227" s="46">
        <v>0.3</v>
      </c>
      <c r="BC227" s="46">
        <v>0.5</v>
      </c>
      <c r="BD227" s="46">
        <v>0.5</v>
      </c>
      <c r="BE227" s="46">
        <v>0.1</v>
      </c>
      <c r="BF227" s="26"/>
      <c r="BG227" s="22">
        <f t="shared" ref="BG227:BH227" si="811">(AY227+BA227+BC227+BE227)</f>
        <v>1</v>
      </c>
      <c r="BH227" s="22">
        <f t="shared" si="811"/>
        <v>0.9</v>
      </c>
      <c r="BI227" s="22">
        <f t="shared" si="690"/>
        <v>0.9</v>
      </c>
      <c r="BJ227" s="23" t="str">
        <f t="shared" si="691"/>
        <v>100%</v>
      </c>
      <c r="BK227" s="24">
        <f t="shared" si="692"/>
        <v>0.9</v>
      </c>
      <c r="BL227" s="22" t="s">
        <v>92</v>
      </c>
      <c r="BM227" s="25" t="s">
        <v>1138</v>
      </c>
      <c r="BN227" s="27">
        <v>150000000</v>
      </c>
      <c r="BO227" s="27">
        <v>0</v>
      </c>
      <c r="BP227" s="27">
        <v>0</v>
      </c>
      <c r="BQ227" s="27">
        <v>0</v>
      </c>
      <c r="BR227" s="27">
        <f t="shared" ref="BR227:BS227" si="812">+BN227+BP227</f>
        <v>150000000</v>
      </c>
      <c r="BS227" s="27">
        <f t="shared" si="812"/>
        <v>0</v>
      </c>
      <c r="BT227" s="20">
        <f t="shared" si="13"/>
        <v>0</v>
      </c>
      <c r="BU227" s="27">
        <v>150000000</v>
      </c>
      <c r="BV227" s="27">
        <v>0</v>
      </c>
      <c r="BW227" s="27">
        <v>0</v>
      </c>
      <c r="BX227" s="27">
        <v>0</v>
      </c>
      <c r="BY227" s="28" t="str">
        <f t="shared" si="149"/>
        <v/>
      </c>
      <c r="BZ227" s="27">
        <v>250000000</v>
      </c>
      <c r="CA227" s="20">
        <v>255000000</v>
      </c>
      <c r="CB227" s="29">
        <v>260100000</v>
      </c>
      <c r="CC227" s="29">
        <v>267903000</v>
      </c>
      <c r="CD227" s="29">
        <v>1033003000</v>
      </c>
    </row>
    <row r="228" spans="1:82" ht="49.5" customHeight="1">
      <c r="A228" s="12" t="s">
        <v>851</v>
      </c>
      <c r="B228" s="13">
        <v>0.432</v>
      </c>
      <c r="C228" s="12"/>
      <c r="D228" s="14">
        <v>33</v>
      </c>
      <c r="E228" s="14">
        <v>3302</v>
      </c>
      <c r="F228" s="14">
        <v>25</v>
      </c>
      <c r="G228" s="14" t="s">
        <v>1055</v>
      </c>
      <c r="H228" s="14"/>
      <c r="I228" s="14">
        <v>25.4</v>
      </c>
      <c r="J228" s="14" t="s">
        <v>1118</v>
      </c>
      <c r="K228" s="14" t="s">
        <v>1119</v>
      </c>
      <c r="L228" s="14" t="s">
        <v>1120</v>
      </c>
      <c r="M228" s="14" t="s">
        <v>1121</v>
      </c>
      <c r="N228" s="20">
        <v>0.25</v>
      </c>
      <c r="O228" s="16">
        <v>3302064</v>
      </c>
      <c r="P228" s="17">
        <v>2024257990033</v>
      </c>
      <c r="Q228" s="14" t="s">
        <v>1122</v>
      </c>
      <c r="R228" s="18">
        <v>227</v>
      </c>
      <c r="S228" s="14" t="s">
        <v>1139</v>
      </c>
      <c r="T228" s="14">
        <v>0</v>
      </c>
      <c r="U228" s="14" t="s">
        <v>88</v>
      </c>
      <c r="V228" s="14" t="s">
        <v>89</v>
      </c>
      <c r="W228" s="14" t="s">
        <v>1140</v>
      </c>
      <c r="X228" s="14" t="s">
        <v>666</v>
      </c>
      <c r="Y228" s="19"/>
      <c r="Z228" s="14">
        <f>SUM(AF228:AI228)/4</f>
        <v>1</v>
      </c>
      <c r="AA228" s="20">
        <f t="shared" si="1"/>
        <v>1</v>
      </c>
      <c r="AB228" s="20">
        <f t="shared" si="2"/>
        <v>0.5</v>
      </c>
      <c r="AC228" s="21"/>
      <c r="AD228" s="21"/>
      <c r="AE228" s="21">
        <f t="shared" si="3"/>
        <v>0.32499999999999996</v>
      </c>
      <c r="AF228" s="14">
        <v>1</v>
      </c>
      <c r="AG228" s="14">
        <v>1</v>
      </c>
      <c r="AH228" s="14">
        <v>1</v>
      </c>
      <c r="AI228" s="14">
        <v>1</v>
      </c>
      <c r="AJ228" s="26"/>
      <c r="AK228" s="26"/>
      <c r="AL228" s="26"/>
      <c r="AM228" s="26"/>
      <c r="AN228" s="26">
        <v>0.5</v>
      </c>
      <c r="AO228" s="26">
        <v>0.5</v>
      </c>
      <c r="AP228" s="26">
        <v>0.5</v>
      </c>
      <c r="AQ228" s="26">
        <v>0.5</v>
      </c>
      <c r="AR228" s="29">
        <f t="shared" ref="AR228:AS228" si="813">(AJ228+AL228+AN228+AP228)</f>
        <v>1</v>
      </c>
      <c r="AS228" s="29">
        <f t="shared" si="813"/>
        <v>1</v>
      </c>
      <c r="AT228" s="22">
        <f t="shared" ref="AT228:AT229" si="814">AS228/AR228</f>
        <v>1</v>
      </c>
      <c r="AU228" s="23" t="str">
        <f t="shared" ref="AU228:AU232" si="815">MIN((AR228 /AR228) * 100, 100) &amp; "%"</f>
        <v>100%</v>
      </c>
      <c r="AV228" s="24">
        <f t="shared" si="808"/>
        <v>1</v>
      </c>
      <c r="AW228" s="14" t="s">
        <v>92</v>
      </c>
      <c r="AX228" s="30" t="s">
        <v>1141</v>
      </c>
      <c r="AY228" s="46">
        <v>0.2</v>
      </c>
      <c r="AZ228" s="46">
        <v>0.2</v>
      </c>
      <c r="BA228" s="46">
        <v>0.3</v>
      </c>
      <c r="BB228" s="46">
        <v>0.3</v>
      </c>
      <c r="BC228" s="46">
        <v>0.4</v>
      </c>
      <c r="BD228" s="46">
        <v>0</v>
      </c>
      <c r="BE228" s="46">
        <v>0.1</v>
      </c>
      <c r="BF228" s="26"/>
      <c r="BG228" s="22">
        <f t="shared" ref="BG228:BH228" si="816">(AY228+BA228+BC228+BE228)</f>
        <v>1</v>
      </c>
      <c r="BH228" s="22">
        <f t="shared" si="816"/>
        <v>0.5</v>
      </c>
      <c r="BI228" s="22">
        <f t="shared" si="690"/>
        <v>0.5</v>
      </c>
      <c r="BJ228" s="23" t="str">
        <f t="shared" si="691"/>
        <v>100%</v>
      </c>
      <c r="BK228" s="24">
        <f t="shared" si="692"/>
        <v>0.5</v>
      </c>
      <c r="BL228" s="22" t="s">
        <v>92</v>
      </c>
      <c r="BM228" s="25" t="s">
        <v>1141</v>
      </c>
      <c r="BN228" s="27">
        <v>35000000</v>
      </c>
      <c r="BO228" s="27">
        <v>35000000</v>
      </c>
      <c r="BP228" s="27">
        <v>33384113</v>
      </c>
      <c r="BQ228" s="27">
        <v>33384113</v>
      </c>
      <c r="BR228" s="27">
        <f t="shared" ref="BR228:BS228" si="817">+BN228+BP228</f>
        <v>68384113</v>
      </c>
      <c r="BS228" s="27">
        <f t="shared" si="817"/>
        <v>68384113</v>
      </c>
      <c r="BT228" s="20">
        <f t="shared" si="13"/>
        <v>1</v>
      </c>
      <c r="BU228" s="27">
        <v>35000000</v>
      </c>
      <c r="BV228" s="27">
        <v>35000000</v>
      </c>
      <c r="BW228" s="27">
        <v>35000000</v>
      </c>
      <c r="BX228" s="27">
        <v>35000000</v>
      </c>
      <c r="BY228" s="28">
        <f t="shared" si="149"/>
        <v>1</v>
      </c>
      <c r="BZ228" s="27">
        <v>40000000</v>
      </c>
      <c r="CA228" s="20">
        <v>40800000</v>
      </c>
      <c r="CB228" s="29">
        <v>41616000</v>
      </c>
      <c r="CC228" s="29">
        <v>42864480</v>
      </c>
      <c r="CD228" s="29">
        <v>165280480</v>
      </c>
    </row>
    <row r="229" spans="1:82" ht="40.5" customHeight="1">
      <c r="A229" s="12" t="s">
        <v>851</v>
      </c>
      <c r="B229" s="13">
        <v>0.432</v>
      </c>
      <c r="C229" s="12"/>
      <c r="D229" s="14">
        <v>33</v>
      </c>
      <c r="E229" s="14">
        <v>3301</v>
      </c>
      <c r="F229" s="14">
        <v>25</v>
      </c>
      <c r="G229" s="14" t="s">
        <v>1055</v>
      </c>
      <c r="H229" s="14"/>
      <c r="I229" s="14">
        <v>25.4</v>
      </c>
      <c r="J229" s="14" t="s">
        <v>1142</v>
      </c>
      <c r="K229" s="14" t="s">
        <v>1143</v>
      </c>
      <c r="L229" s="14" t="s">
        <v>1144</v>
      </c>
      <c r="M229" s="14" t="s">
        <v>1145</v>
      </c>
      <c r="N229" s="14" t="s">
        <v>167</v>
      </c>
      <c r="O229" s="14">
        <v>3302002</v>
      </c>
      <c r="P229" s="17">
        <v>2024257990033</v>
      </c>
      <c r="Q229" s="14" t="s">
        <v>1122</v>
      </c>
      <c r="R229" s="18">
        <v>228</v>
      </c>
      <c r="S229" s="14" t="s">
        <v>1146</v>
      </c>
      <c r="T229" s="14">
        <v>0</v>
      </c>
      <c r="U229" s="14" t="s">
        <v>88</v>
      </c>
      <c r="V229" s="14" t="s">
        <v>89</v>
      </c>
      <c r="W229" s="14" t="s">
        <v>1147</v>
      </c>
      <c r="X229" s="14" t="s">
        <v>666</v>
      </c>
      <c r="Y229" s="19"/>
      <c r="Z229" s="18">
        <f t="shared" ref="Z229:Z231" si="818">SUM(AF229:AI229)</f>
        <v>1</v>
      </c>
      <c r="AA229" s="20">
        <f t="shared" si="1"/>
        <v>0.04</v>
      </c>
      <c r="AB229" s="20">
        <f t="shared" si="2"/>
        <v>0.90625000000000011</v>
      </c>
      <c r="AC229" s="21"/>
      <c r="AD229" s="21"/>
      <c r="AE229" s="21">
        <f t="shared" si="3"/>
        <v>0.32318750000000002</v>
      </c>
      <c r="AF229" s="22">
        <v>0.04</v>
      </c>
      <c r="AG229" s="22">
        <v>0.32</v>
      </c>
      <c r="AH229" s="22">
        <v>0.32</v>
      </c>
      <c r="AI229" s="22">
        <v>0.32</v>
      </c>
      <c r="AJ229" s="26"/>
      <c r="AK229" s="26"/>
      <c r="AL229" s="26"/>
      <c r="AM229" s="26"/>
      <c r="AN229" s="26">
        <v>0.01</v>
      </c>
      <c r="AO229" s="26">
        <v>0.01</v>
      </c>
      <c r="AP229" s="26">
        <v>0.03</v>
      </c>
      <c r="AQ229" s="26">
        <v>0.03</v>
      </c>
      <c r="AR229" s="22">
        <f t="shared" ref="AR229:AS229" si="819">(AJ229+AL229+AN229+AP229)</f>
        <v>0.04</v>
      </c>
      <c r="AS229" s="22">
        <f t="shared" si="819"/>
        <v>0.04</v>
      </c>
      <c r="AT229" s="22">
        <f t="shared" si="814"/>
        <v>1</v>
      </c>
      <c r="AU229" s="23" t="str">
        <f t="shared" si="815"/>
        <v>100%</v>
      </c>
      <c r="AV229" s="24">
        <f t="shared" si="808"/>
        <v>1</v>
      </c>
      <c r="AW229" s="14" t="s">
        <v>92</v>
      </c>
      <c r="AX229" s="30" t="s">
        <v>1148</v>
      </c>
      <c r="AY229" s="26">
        <v>7.0000000000000007E-2</v>
      </c>
      <c r="AZ229" s="26">
        <v>7.0000000000000007E-2</v>
      </c>
      <c r="BA229" s="46">
        <v>0.1</v>
      </c>
      <c r="BB229" s="46">
        <v>0.1</v>
      </c>
      <c r="BC229" s="46">
        <v>0.15</v>
      </c>
      <c r="BD229" s="46">
        <v>0.12</v>
      </c>
      <c r="BE229" s="26">
        <v>0</v>
      </c>
      <c r="BF229" s="26"/>
      <c r="BG229" s="22">
        <f t="shared" ref="BG229:BH229" si="820">(AY229+BA229+BC229+BE229)</f>
        <v>0.32</v>
      </c>
      <c r="BH229" s="22">
        <f t="shared" si="820"/>
        <v>0.29000000000000004</v>
      </c>
      <c r="BI229" s="22">
        <f t="shared" si="690"/>
        <v>0.90625000000000011</v>
      </c>
      <c r="BJ229" s="23" t="str">
        <f t="shared" si="691"/>
        <v>100%</v>
      </c>
      <c r="BK229" s="24">
        <f t="shared" si="692"/>
        <v>0.90625000000000011</v>
      </c>
      <c r="BL229" s="22" t="s">
        <v>92</v>
      </c>
      <c r="BM229" s="25" t="s">
        <v>1148</v>
      </c>
      <c r="BN229" s="27">
        <v>850000000</v>
      </c>
      <c r="BO229" s="27">
        <v>300000000</v>
      </c>
      <c r="BP229" s="27">
        <v>0</v>
      </c>
      <c r="BQ229" s="27">
        <v>0</v>
      </c>
      <c r="BR229" s="27">
        <f t="shared" ref="BR229:BS229" si="821">+BN229+BP229</f>
        <v>850000000</v>
      </c>
      <c r="BS229" s="27">
        <f t="shared" si="821"/>
        <v>300000000</v>
      </c>
      <c r="BT229" s="20">
        <f t="shared" si="13"/>
        <v>0.35294117647058826</v>
      </c>
      <c r="BU229" s="27">
        <v>700000000</v>
      </c>
      <c r="BV229" s="27">
        <v>650000000</v>
      </c>
      <c r="BW229" s="27">
        <v>650000000</v>
      </c>
      <c r="BX229" s="27">
        <v>650000000</v>
      </c>
      <c r="BY229" s="28">
        <f t="shared" si="149"/>
        <v>1</v>
      </c>
      <c r="BZ229" s="27">
        <v>1032600000</v>
      </c>
      <c r="CA229" s="20">
        <v>707500000</v>
      </c>
      <c r="CB229" s="29">
        <v>727650000</v>
      </c>
      <c r="CC229" s="29">
        <v>1058479500</v>
      </c>
      <c r="CD229" s="29">
        <v>3526229500</v>
      </c>
    </row>
    <row r="230" spans="1:82" ht="42" customHeight="1">
      <c r="A230" s="12" t="s">
        <v>851</v>
      </c>
      <c r="B230" s="13">
        <v>0.432</v>
      </c>
      <c r="C230" s="12"/>
      <c r="D230" s="14">
        <v>43</v>
      </c>
      <c r="E230" s="14">
        <v>4301</v>
      </c>
      <c r="F230" s="65">
        <v>26</v>
      </c>
      <c r="G230" s="65" t="s">
        <v>1149</v>
      </c>
      <c r="H230" s="14"/>
      <c r="I230" s="14">
        <v>26.1</v>
      </c>
      <c r="J230" s="14" t="s">
        <v>1150</v>
      </c>
      <c r="K230" s="14" t="s">
        <v>1151</v>
      </c>
      <c r="L230" s="14" t="s">
        <v>1152</v>
      </c>
      <c r="M230" s="14" t="s">
        <v>1153</v>
      </c>
      <c r="N230" s="14" t="s">
        <v>1154</v>
      </c>
      <c r="O230" s="16">
        <v>4301004</v>
      </c>
      <c r="P230" s="17">
        <v>2024257990034</v>
      </c>
      <c r="Q230" s="14" t="s">
        <v>1155</v>
      </c>
      <c r="R230" s="18">
        <v>229</v>
      </c>
      <c r="S230" s="14" t="s">
        <v>1156</v>
      </c>
      <c r="T230" s="14">
        <v>0</v>
      </c>
      <c r="U230" s="14" t="s">
        <v>109</v>
      </c>
      <c r="V230" s="14" t="s">
        <v>89</v>
      </c>
      <c r="W230" s="14" t="s">
        <v>1157</v>
      </c>
      <c r="X230" s="14" t="s">
        <v>567</v>
      </c>
      <c r="Y230" s="19"/>
      <c r="Z230" s="20">
        <f t="shared" si="818"/>
        <v>1</v>
      </c>
      <c r="AA230" s="20">
        <f t="shared" si="1"/>
        <v>50.35</v>
      </c>
      <c r="AB230" s="20">
        <f t="shared" si="2"/>
        <v>0.21276595744680854</v>
      </c>
      <c r="AC230" s="21"/>
      <c r="AD230" s="21"/>
      <c r="AE230" s="21">
        <f t="shared" si="3"/>
        <v>7.626968085106383</v>
      </c>
      <c r="AF230" s="24">
        <v>0.53</v>
      </c>
      <c r="AG230" s="24">
        <v>0.47</v>
      </c>
      <c r="AH230" s="29">
        <v>0</v>
      </c>
      <c r="AI230" s="29">
        <v>0</v>
      </c>
      <c r="AJ230" s="26"/>
      <c r="AK230" s="26"/>
      <c r="AL230" s="26"/>
      <c r="AM230" s="26"/>
      <c r="AN230" s="44">
        <v>1E-3</v>
      </c>
      <c r="AO230" s="26">
        <v>0</v>
      </c>
      <c r="AP230" s="26">
        <v>53</v>
      </c>
      <c r="AQ230" s="26">
        <v>50.35</v>
      </c>
      <c r="AR230" s="22">
        <f t="shared" ref="AR230:AS230" si="822">(AJ230+AL230+AN230+AP230)</f>
        <v>53.000999999999998</v>
      </c>
      <c r="AS230" s="22">
        <f t="shared" si="822"/>
        <v>50.35</v>
      </c>
      <c r="AT230" s="24">
        <f>IF(AQ230=0, 0, AR230/AQ230)</f>
        <v>1.052651439920556</v>
      </c>
      <c r="AU230" s="23" t="str">
        <f t="shared" si="815"/>
        <v>100%</v>
      </c>
      <c r="AV230" s="24">
        <f t="shared" si="808"/>
        <v>0.94998207580989047</v>
      </c>
      <c r="AW230" s="14" t="s">
        <v>92</v>
      </c>
      <c r="AX230" s="30" t="s">
        <v>1158</v>
      </c>
      <c r="AY230" s="24">
        <v>0</v>
      </c>
      <c r="AZ230" s="26">
        <v>0</v>
      </c>
      <c r="BA230" s="24">
        <v>0</v>
      </c>
      <c r="BB230" s="26">
        <v>0</v>
      </c>
      <c r="BC230" s="24">
        <v>0.1</v>
      </c>
      <c r="BD230" s="24">
        <v>0.1</v>
      </c>
      <c r="BE230" s="24">
        <v>0.37</v>
      </c>
      <c r="BF230" s="26"/>
      <c r="BG230" s="20">
        <f t="shared" ref="BG230:BH230" si="823">(AY230+BA230+BC230+BE230)</f>
        <v>0.47</v>
      </c>
      <c r="BH230" s="20">
        <f t="shared" si="823"/>
        <v>0.1</v>
      </c>
      <c r="BI230" s="20">
        <f t="shared" si="690"/>
        <v>0.21276595744680854</v>
      </c>
      <c r="BJ230" s="23" t="str">
        <f t="shared" si="691"/>
        <v>100%</v>
      </c>
      <c r="BK230" s="24">
        <f t="shared" si="692"/>
        <v>0.21276595744680854</v>
      </c>
      <c r="BL230" s="22" t="s">
        <v>92</v>
      </c>
      <c r="BM230" s="25" t="s">
        <v>1158</v>
      </c>
      <c r="BN230" s="27">
        <v>250000000</v>
      </c>
      <c r="BO230" s="27">
        <v>70000000</v>
      </c>
      <c r="BP230" s="27">
        <v>371706528</v>
      </c>
      <c r="BQ230" s="27">
        <v>371706528</v>
      </c>
      <c r="BR230" s="27">
        <f t="shared" ref="BR230:BS230" si="824">+BN230+BP230</f>
        <v>621706528</v>
      </c>
      <c r="BS230" s="27">
        <f t="shared" si="824"/>
        <v>441706528</v>
      </c>
      <c r="BT230" s="20">
        <f t="shared" si="13"/>
        <v>0.7104743284921724</v>
      </c>
      <c r="BU230" s="27">
        <v>150000000</v>
      </c>
      <c r="BV230" s="27">
        <v>250000000</v>
      </c>
      <c r="BW230" s="27">
        <v>250000000</v>
      </c>
      <c r="BX230" s="27">
        <v>250000000</v>
      </c>
      <c r="BY230" s="28">
        <f t="shared" si="149"/>
        <v>1</v>
      </c>
      <c r="BZ230" s="27">
        <v>0</v>
      </c>
      <c r="CA230" s="20">
        <v>700000000</v>
      </c>
      <c r="CB230" s="29">
        <v>0</v>
      </c>
      <c r="CC230" s="29">
        <v>0</v>
      </c>
      <c r="CD230" s="29">
        <v>700000000</v>
      </c>
    </row>
    <row r="231" spans="1:82" ht="42" customHeight="1">
      <c r="A231" s="12" t="s">
        <v>851</v>
      </c>
      <c r="B231" s="13">
        <v>0.432</v>
      </c>
      <c r="C231" s="12"/>
      <c r="D231" s="14">
        <v>43</v>
      </c>
      <c r="E231" s="14">
        <v>4301</v>
      </c>
      <c r="F231" s="65">
        <v>26</v>
      </c>
      <c r="G231" s="65" t="s">
        <v>1149</v>
      </c>
      <c r="H231" s="14"/>
      <c r="I231" s="14">
        <v>26.1</v>
      </c>
      <c r="J231" s="14" t="s">
        <v>1150</v>
      </c>
      <c r="K231" s="14" t="s">
        <v>1151</v>
      </c>
      <c r="L231" s="14" t="s">
        <v>1152</v>
      </c>
      <c r="M231" s="14" t="s">
        <v>1153</v>
      </c>
      <c r="N231" s="14" t="s">
        <v>1154</v>
      </c>
      <c r="O231" s="16">
        <v>4301031</v>
      </c>
      <c r="P231" s="17">
        <v>2024257990034</v>
      </c>
      <c r="Q231" s="14" t="s">
        <v>1155</v>
      </c>
      <c r="R231" s="18">
        <v>230</v>
      </c>
      <c r="S231" s="14" t="s">
        <v>1159</v>
      </c>
      <c r="T231" s="14">
        <v>0</v>
      </c>
      <c r="U231" s="14" t="s">
        <v>88</v>
      </c>
      <c r="V231" s="14" t="s">
        <v>89</v>
      </c>
      <c r="W231" s="14" t="s">
        <v>1160</v>
      </c>
      <c r="X231" s="14" t="s">
        <v>206</v>
      </c>
      <c r="Y231" s="22"/>
      <c r="Z231" s="18">
        <f t="shared" si="818"/>
        <v>1</v>
      </c>
      <c r="AA231" s="20">
        <f t="shared" si="1"/>
        <v>0.30000000000000004</v>
      </c>
      <c r="AB231" s="20">
        <f t="shared" si="2"/>
        <v>0.33333333333333337</v>
      </c>
      <c r="AC231" s="21"/>
      <c r="AD231" s="21"/>
      <c r="AE231" s="21">
        <f t="shared" si="3"/>
        <v>0.16166666666666668</v>
      </c>
      <c r="AF231" s="22">
        <v>0.3</v>
      </c>
      <c r="AG231" s="22">
        <v>0.7</v>
      </c>
      <c r="AH231" s="22">
        <v>0</v>
      </c>
      <c r="AI231" s="22">
        <v>0</v>
      </c>
      <c r="AJ231" s="26"/>
      <c r="AK231" s="26"/>
      <c r="AL231" s="26"/>
      <c r="AM231" s="26"/>
      <c r="AN231" s="26">
        <v>0.2</v>
      </c>
      <c r="AO231" s="26">
        <v>0.2</v>
      </c>
      <c r="AP231" s="26">
        <v>0.1</v>
      </c>
      <c r="AQ231" s="26">
        <v>0.1</v>
      </c>
      <c r="AR231" s="22">
        <f t="shared" ref="AR231:AS231" si="825">(AJ231+AL231+AN231+AP231)</f>
        <v>0.30000000000000004</v>
      </c>
      <c r="AS231" s="22">
        <f t="shared" si="825"/>
        <v>0.30000000000000004</v>
      </c>
      <c r="AT231" s="22">
        <f t="shared" ref="AT231:AT232" si="826">AS231/AR231</f>
        <v>1</v>
      </c>
      <c r="AU231" s="23" t="str">
        <f t="shared" si="815"/>
        <v>100%</v>
      </c>
      <c r="AV231" s="24">
        <f t="shared" si="808"/>
        <v>1</v>
      </c>
      <c r="AW231" s="14" t="s">
        <v>92</v>
      </c>
      <c r="AX231" s="30" t="s">
        <v>1161</v>
      </c>
      <c r="AY231" s="26">
        <v>0</v>
      </c>
      <c r="AZ231" s="26">
        <v>0</v>
      </c>
      <c r="BA231" s="26">
        <v>0.3</v>
      </c>
      <c r="BB231" s="26">
        <v>0.3</v>
      </c>
      <c r="BC231" s="26">
        <v>0.3</v>
      </c>
      <c r="BD231" s="26">
        <v>0</v>
      </c>
      <c r="BE231" s="26">
        <v>0.3</v>
      </c>
      <c r="BF231" s="26"/>
      <c r="BG231" s="22">
        <f t="shared" ref="BG231:BH231" si="827">(AY231+BA231+BC231+BE231)</f>
        <v>0.89999999999999991</v>
      </c>
      <c r="BH231" s="22">
        <f t="shared" si="827"/>
        <v>0.3</v>
      </c>
      <c r="BI231" s="22">
        <f t="shared" si="690"/>
        <v>0.33333333333333337</v>
      </c>
      <c r="BJ231" s="23" t="str">
        <f t="shared" si="691"/>
        <v>100%</v>
      </c>
      <c r="BK231" s="24">
        <f t="shared" si="692"/>
        <v>0.33333333333333337</v>
      </c>
      <c r="BL231" s="22" t="s">
        <v>92</v>
      </c>
      <c r="BM231" s="25" t="s">
        <v>1162</v>
      </c>
      <c r="BN231" s="27">
        <v>1702307504</v>
      </c>
      <c r="BO231" s="27">
        <v>112998401</v>
      </c>
      <c r="BP231" s="27">
        <v>0</v>
      </c>
      <c r="BQ231" s="27">
        <v>0</v>
      </c>
      <c r="BR231" s="27">
        <f t="shared" ref="BR231:BS231" si="828">+BN231+BP231</f>
        <v>1702307504</v>
      </c>
      <c r="BS231" s="27">
        <f t="shared" si="828"/>
        <v>112998401</v>
      </c>
      <c r="BT231" s="20">
        <f t="shared" si="13"/>
        <v>6.6379547017493504E-2</v>
      </c>
      <c r="BU231" s="27">
        <v>0</v>
      </c>
      <c r="BV231" s="27">
        <v>1620871706</v>
      </c>
      <c r="BW231" s="27">
        <v>1620871706</v>
      </c>
      <c r="BX231" s="27">
        <v>0</v>
      </c>
      <c r="BY231" s="28">
        <f t="shared" si="149"/>
        <v>1</v>
      </c>
      <c r="BZ231" s="27">
        <v>2000000000</v>
      </c>
      <c r="CA231" s="20">
        <v>1500000000</v>
      </c>
      <c r="CB231" s="29">
        <v>0</v>
      </c>
      <c r="CC231" s="29">
        <v>0</v>
      </c>
      <c r="CD231" s="29">
        <v>3500000000</v>
      </c>
    </row>
    <row r="232" spans="1:82" ht="91.2">
      <c r="A232" s="12" t="s">
        <v>851</v>
      </c>
      <c r="B232" s="13">
        <v>0.432</v>
      </c>
      <c r="C232" s="12"/>
      <c r="D232" s="14">
        <v>43</v>
      </c>
      <c r="E232" s="14">
        <v>4301</v>
      </c>
      <c r="F232" s="65">
        <v>26</v>
      </c>
      <c r="G232" s="65" t="s">
        <v>1149</v>
      </c>
      <c r="H232" s="14"/>
      <c r="I232" s="14">
        <v>26.1</v>
      </c>
      <c r="J232" s="14" t="s">
        <v>1150</v>
      </c>
      <c r="K232" s="14" t="s">
        <v>1151</v>
      </c>
      <c r="L232" s="14" t="s">
        <v>1152</v>
      </c>
      <c r="M232" s="14" t="s">
        <v>1153</v>
      </c>
      <c r="N232" s="14" t="s">
        <v>1154</v>
      </c>
      <c r="O232" s="16">
        <v>4301004</v>
      </c>
      <c r="P232" s="17">
        <v>2024257990034</v>
      </c>
      <c r="Q232" s="14" t="s">
        <v>1155</v>
      </c>
      <c r="R232" s="18">
        <v>231</v>
      </c>
      <c r="S232" s="14" t="s">
        <v>1163</v>
      </c>
      <c r="T232" s="14">
        <v>17</v>
      </c>
      <c r="U232" s="14" t="s">
        <v>88</v>
      </c>
      <c r="V232" s="14" t="s">
        <v>89</v>
      </c>
      <c r="W232" s="14" t="s">
        <v>1164</v>
      </c>
      <c r="X232" s="14" t="s">
        <v>567</v>
      </c>
      <c r="Y232" s="22"/>
      <c r="Z232" s="18">
        <f>SUM(AF232:AI232)/4</f>
        <v>17</v>
      </c>
      <c r="AA232" s="20">
        <f t="shared" si="1"/>
        <v>1</v>
      </c>
      <c r="AB232" s="20">
        <f t="shared" si="2"/>
        <v>5.8823529411764705E-2</v>
      </c>
      <c r="AC232" s="21"/>
      <c r="AD232" s="21"/>
      <c r="AE232" s="21">
        <f t="shared" si="3"/>
        <v>0.17058823529411765</v>
      </c>
      <c r="AF232" s="14">
        <v>17</v>
      </c>
      <c r="AG232" s="14">
        <v>17</v>
      </c>
      <c r="AH232" s="14">
        <v>17</v>
      </c>
      <c r="AI232" s="14">
        <v>17</v>
      </c>
      <c r="AJ232" s="26"/>
      <c r="AK232" s="26"/>
      <c r="AL232" s="26"/>
      <c r="AM232" s="26"/>
      <c r="AN232" s="26">
        <v>14</v>
      </c>
      <c r="AO232" s="26">
        <v>14</v>
      </c>
      <c r="AP232" s="26">
        <v>3</v>
      </c>
      <c r="AQ232" s="26">
        <v>3</v>
      </c>
      <c r="AR232" s="22">
        <f t="shared" ref="AR232:AS232" si="829">(AJ232+AL232+AN232+AP232)</f>
        <v>17</v>
      </c>
      <c r="AS232" s="22">
        <f t="shared" si="829"/>
        <v>17</v>
      </c>
      <c r="AT232" s="22">
        <f t="shared" si="826"/>
        <v>1</v>
      </c>
      <c r="AU232" s="23" t="str">
        <f t="shared" si="815"/>
        <v>100%</v>
      </c>
      <c r="AV232" s="24">
        <f t="shared" si="808"/>
        <v>1</v>
      </c>
      <c r="AW232" s="14" t="s">
        <v>92</v>
      </c>
      <c r="AX232" s="30" t="s">
        <v>1165</v>
      </c>
      <c r="AY232" s="26">
        <v>17</v>
      </c>
      <c r="AZ232" s="26">
        <v>17</v>
      </c>
      <c r="BA232" s="26">
        <v>17</v>
      </c>
      <c r="BB232" s="26">
        <v>17</v>
      </c>
      <c r="BC232" s="26">
        <v>17</v>
      </c>
      <c r="BD232" s="26">
        <v>17</v>
      </c>
      <c r="BE232" s="26">
        <v>17</v>
      </c>
      <c r="BF232" s="26"/>
      <c r="BG232" s="22">
        <f>(AY232+BA232+BC232+BE232)/4</f>
        <v>17</v>
      </c>
      <c r="BH232" s="22">
        <f>(AZ232+BB232+BD232+BF232)/3</f>
        <v>17</v>
      </c>
      <c r="BI232" s="22">
        <f t="shared" si="690"/>
        <v>1</v>
      </c>
      <c r="BJ232" s="23" t="str">
        <f t="shared" si="691"/>
        <v>100%</v>
      </c>
      <c r="BK232" s="24">
        <f t="shared" si="692"/>
        <v>1</v>
      </c>
      <c r="BL232" s="22" t="s">
        <v>92</v>
      </c>
      <c r="BM232" s="25" t="s">
        <v>1165</v>
      </c>
      <c r="BN232" s="27">
        <v>650000000</v>
      </c>
      <c r="BO232" s="27">
        <v>162499998</v>
      </c>
      <c r="BP232" s="27">
        <v>326140906</v>
      </c>
      <c r="BQ232" s="27">
        <v>326140906</v>
      </c>
      <c r="BR232" s="27">
        <f t="shared" ref="BR232:BS232" si="830">+BN232+BP232</f>
        <v>976140906</v>
      </c>
      <c r="BS232" s="27">
        <f t="shared" si="830"/>
        <v>488640904</v>
      </c>
      <c r="BT232" s="20">
        <f t="shared" si="13"/>
        <v>0.50058439411410138</v>
      </c>
      <c r="BU232" s="27">
        <v>650000000</v>
      </c>
      <c r="BV232" s="27">
        <v>650000000</v>
      </c>
      <c r="BW232" s="27">
        <v>650000000</v>
      </c>
      <c r="BX232" s="27">
        <v>650000000</v>
      </c>
      <c r="BY232" s="28">
        <f t="shared" si="149"/>
        <v>1</v>
      </c>
      <c r="BZ232" s="27">
        <v>1000000000</v>
      </c>
      <c r="CA232" s="20">
        <v>400000000</v>
      </c>
      <c r="CB232" s="29">
        <v>250000000</v>
      </c>
      <c r="CC232" s="29">
        <v>250000000</v>
      </c>
      <c r="CD232" s="29">
        <v>1900000000</v>
      </c>
    </row>
    <row r="233" spans="1:82" ht="42" customHeight="1">
      <c r="A233" s="12" t="s">
        <v>851</v>
      </c>
      <c r="B233" s="13">
        <v>0.432</v>
      </c>
      <c r="C233" s="12"/>
      <c r="D233" s="14">
        <v>43</v>
      </c>
      <c r="E233" s="14">
        <v>4301</v>
      </c>
      <c r="F233" s="65">
        <v>26</v>
      </c>
      <c r="G233" s="65" t="s">
        <v>1149</v>
      </c>
      <c r="H233" s="14"/>
      <c r="I233" s="14">
        <v>26.1</v>
      </c>
      <c r="J233" s="14" t="s">
        <v>1150</v>
      </c>
      <c r="K233" s="14" t="s">
        <v>1151</v>
      </c>
      <c r="L233" s="14" t="s">
        <v>1152</v>
      </c>
      <c r="M233" s="14" t="s">
        <v>1153</v>
      </c>
      <c r="N233" s="14" t="s">
        <v>1154</v>
      </c>
      <c r="O233" s="16">
        <v>4301024</v>
      </c>
      <c r="P233" s="17">
        <v>2024257990034</v>
      </c>
      <c r="Q233" s="14" t="s">
        <v>1155</v>
      </c>
      <c r="R233" s="18">
        <v>232</v>
      </c>
      <c r="S233" s="14" t="s">
        <v>1166</v>
      </c>
      <c r="T233" s="14">
        <v>8</v>
      </c>
      <c r="U233" s="14" t="s">
        <v>88</v>
      </c>
      <c r="V233" s="14" t="s">
        <v>89</v>
      </c>
      <c r="W233" s="14" t="s">
        <v>1167</v>
      </c>
      <c r="X233" s="14" t="s">
        <v>567</v>
      </c>
      <c r="Y233" s="22" t="s">
        <v>124</v>
      </c>
      <c r="Z233" s="18">
        <f t="shared" ref="Z233:Z237" si="831">SUM(AF233:AI233)</f>
        <v>6</v>
      </c>
      <c r="AA233" s="20">
        <f t="shared" si="1"/>
        <v>0</v>
      </c>
      <c r="AB233" s="20">
        <f t="shared" si="2"/>
        <v>0</v>
      </c>
      <c r="AC233" s="21"/>
      <c r="AD233" s="21"/>
      <c r="AE233" s="21">
        <f t="shared" si="3"/>
        <v>0</v>
      </c>
      <c r="AF233" s="22">
        <v>0</v>
      </c>
      <c r="AG233" s="22">
        <v>0</v>
      </c>
      <c r="AH233" s="22">
        <v>4</v>
      </c>
      <c r="AI233" s="22">
        <v>2</v>
      </c>
      <c r="AJ233" s="26"/>
      <c r="AK233" s="26"/>
      <c r="AL233" s="26"/>
      <c r="AM233" s="26"/>
      <c r="AN233" s="34">
        <v>0</v>
      </c>
      <c r="AO233" s="34">
        <v>0</v>
      </c>
      <c r="AP233" s="34">
        <v>0</v>
      </c>
      <c r="AQ233" s="34">
        <v>0</v>
      </c>
      <c r="AR233" s="34">
        <v>0</v>
      </c>
      <c r="AS233" s="34">
        <f>(AK233+AM233+AO233+AQ233)/2</f>
        <v>0</v>
      </c>
      <c r="AT233" s="24">
        <f>IF(AQ233=0, 0, AR233/AQ233)</f>
        <v>0</v>
      </c>
      <c r="AU233" s="23" t="str">
        <f>IF(AR233&gt; 1, IF(AR233 = AS233, "100%", AR233 &amp; "%"), IF(AR233 &lt;= 0.01, "0%", AR233 * 100 &amp; "%"))</f>
        <v>0%</v>
      </c>
      <c r="AV233" s="24">
        <f t="shared" si="808"/>
        <v>0</v>
      </c>
      <c r="AW233" s="26" t="s">
        <v>192</v>
      </c>
      <c r="AX233" s="47" t="s">
        <v>1168</v>
      </c>
      <c r="AY233" s="32">
        <v>0</v>
      </c>
      <c r="AZ233" s="32"/>
      <c r="BA233" s="32">
        <v>0</v>
      </c>
      <c r="BB233" s="32"/>
      <c r="BC233" s="32">
        <v>0</v>
      </c>
      <c r="BD233" s="32"/>
      <c r="BE233" s="32">
        <v>0</v>
      </c>
      <c r="BF233" s="32"/>
      <c r="BG233" s="22">
        <f t="shared" ref="BG233:BH233" si="832">(AY233+BA233+BC233+BE233)</f>
        <v>0</v>
      </c>
      <c r="BH233" s="22">
        <f t="shared" si="832"/>
        <v>0</v>
      </c>
      <c r="BI233" s="23" t="str">
        <f>IF(BF233&gt; 1, IF(BF233 = BG233, "100%", BF233 &amp; "%"), IF(BF233 &lt;= 0.01, "0%", BF233 * 100 &amp; "%"))</f>
        <v>0%</v>
      </c>
      <c r="BJ233" s="24">
        <f t="shared" ref="BJ233:BK233" si="833">IF(BF233=0, 0, BG233/BF233)</f>
        <v>0</v>
      </c>
      <c r="BK233" s="24">
        <f t="shared" si="833"/>
        <v>0</v>
      </c>
      <c r="BL233" s="26" t="s">
        <v>192</v>
      </c>
      <c r="BM233" s="25" t="s">
        <v>1168</v>
      </c>
      <c r="BN233" s="42">
        <v>0</v>
      </c>
      <c r="BO233" s="42">
        <v>0</v>
      </c>
      <c r="BP233" s="42">
        <v>0</v>
      </c>
      <c r="BQ233" s="42">
        <v>0</v>
      </c>
      <c r="BR233" s="27">
        <f t="shared" ref="BR233:BS233" si="834">+BN233+BP233</f>
        <v>0</v>
      </c>
      <c r="BS233" s="27">
        <f t="shared" si="834"/>
        <v>0</v>
      </c>
      <c r="BT233" s="43" t="str">
        <f t="shared" si="13"/>
        <v/>
      </c>
      <c r="BU233" s="27">
        <v>0</v>
      </c>
      <c r="BV233" s="27">
        <v>0</v>
      </c>
      <c r="BW233" s="27">
        <v>0</v>
      </c>
      <c r="BX233" s="27">
        <v>0</v>
      </c>
      <c r="BY233" s="28" t="str">
        <f t="shared" si="149"/>
        <v/>
      </c>
      <c r="BZ233" s="27">
        <v>0</v>
      </c>
      <c r="CA233" s="20">
        <v>369106532</v>
      </c>
      <c r="CB233" s="29">
        <v>0</v>
      </c>
      <c r="CC233" s="29">
        <v>0</v>
      </c>
      <c r="CD233" s="29">
        <v>369106532</v>
      </c>
    </row>
    <row r="234" spans="1:82" ht="42" customHeight="1">
      <c r="A234" s="12" t="s">
        <v>851</v>
      </c>
      <c r="B234" s="13">
        <v>0.432</v>
      </c>
      <c r="C234" s="12"/>
      <c r="D234" s="14">
        <v>43</v>
      </c>
      <c r="E234" s="14">
        <v>4301</v>
      </c>
      <c r="F234" s="65">
        <v>26</v>
      </c>
      <c r="G234" s="65" t="s">
        <v>1149</v>
      </c>
      <c r="H234" s="14"/>
      <c r="I234" s="14">
        <v>26.1</v>
      </c>
      <c r="J234" s="14" t="s">
        <v>1150</v>
      </c>
      <c r="K234" s="14" t="s">
        <v>1151</v>
      </c>
      <c r="L234" s="14" t="s">
        <v>1152</v>
      </c>
      <c r="M234" s="14" t="s">
        <v>1153</v>
      </c>
      <c r="N234" s="14" t="s">
        <v>1154</v>
      </c>
      <c r="O234" s="16">
        <v>4301004</v>
      </c>
      <c r="P234" s="17">
        <v>2024257990034</v>
      </c>
      <c r="Q234" s="14" t="s">
        <v>1155</v>
      </c>
      <c r="R234" s="18">
        <v>233</v>
      </c>
      <c r="S234" s="14" t="s">
        <v>1169</v>
      </c>
      <c r="T234" s="14">
        <v>1</v>
      </c>
      <c r="U234" s="14" t="s">
        <v>88</v>
      </c>
      <c r="V234" s="14" t="s">
        <v>89</v>
      </c>
      <c r="W234" s="14" t="s">
        <v>1170</v>
      </c>
      <c r="X234" s="14" t="s">
        <v>206</v>
      </c>
      <c r="Y234" s="19"/>
      <c r="Z234" s="18">
        <f t="shared" si="831"/>
        <v>1</v>
      </c>
      <c r="AA234" s="20">
        <f t="shared" si="1"/>
        <v>0.15000000000000002</v>
      </c>
      <c r="AB234" s="20">
        <f t="shared" si="2"/>
        <v>0.5</v>
      </c>
      <c r="AC234" s="21"/>
      <c r="AD234" s="21"/>
      <c r="AE234" s="21">
        <f t="shared" si="3"/>
        <v>0.19749999999999998</v>
      </c>
      <c r="AF234" s="22">
        <v>0.15</v>
      </c>
      <c r="AG234" s="22">
        <v>0.4</v>
      </c>
      <c r="AH234" s="22">
        <v>0.3</v>
      </c>
      <c r="AI234" s="22">
        <v>0.15</v>
      </c>
      <c r="AJ234" s="26"/>
      <c r="AK234" s="26"/>
      <c r="AL234" s="26"/>
      <c r="AM234" s="26"/>
      <c r="AN234" s="26">
        <v>0.05</v>
      </c>
      <c r="AO234" s="26">
        <v>0.05</v>
      </c>
      <c r="AP234" s="26">
        <v>0.1</v>
      </c>
      <c r="AQ234" s="26">
        <v>0.1</v>
      </c>
      <c r="AR234" s="22">
        <f t="shared" ref="AR234:AS234" si="835">(AJ234+AL234+AN234+AP234)</f>
        <v>0.15000000000000002</v>
      </c>
      <c r="AS234" s="22">
        <f t="shared" si="835"/>
        <v>0.15000000000000002</v>
      </c>
      <c r="AT234" s="22">
        <f t="shared" ref="AT234:AT235" si="836">AS234/AR234</f>
        <v>1</v>
      </c>
      <c r="AU234" s="23" t="str">
        <f>MIN((AR234 /AR234) * 100, 100) &amp; "%"</f>
        <v>100%</v>
      </c>
      <c r="AV234" s="24">
        <f t="shared" si="808"/>
        <v>1</v>
      </c>
      <c r="AW234" s="14" t="s">
        <v>92</v>
      </c>
      <c r="AX234" s="30" t="s">
        <v>1171</v>
      </c>
      <c r="AY234" s="14">
        <v>0.1</v>
      </c>
      <c r="AZ234" s="26">
        <v>0.1</v>
      </c>
      <c r="BA234" s="14">
        <v>0.1</v>
      </c>
      <c r="BB234" s="14">
        <v>0.1</v>
      </c>
      <c r="BC234" s="14">
        <v>0.1</v>
      </c>
      <c r="BD234" s="14">
        <v>0</v>
      </c>
      <c r="BE234" s="14">
        <v>0.1</v>
      </c>
      <c r="BF234" s="26"/>
      <c r="BG234" s="22">
        <f t="shared" ref="BG234:BH234" si="837">(AY234+BA234+BC234+BE234)</f>
        <v>0.4</v>
      </c>
      <c r="BH234" s="22">
        <f t="shared" si="837"/>
        <v>0.2</v>
      </c>
      <c r="BI234" s="22">
        <f>BH234/BG234</f>
        <v>0.5</v>
      </c>
      <c r="BJ234" s="23" t="str">
        <f>MIN((BG234 /BG234) * 100, 100) &amp; "%"</f>
        <v>100%</v>
      </c>
      <c r="BK234" s="24">
        <f>IF(BG234=0, 0, BH234/BG234)</f>
        <v>0.5</v>
      </c>
      <c r="BL234" s="22" t="s">
        <v>92</v>
      </c>
      <c r="BM234" s="25" t="s">
        <v>1172</v>
      </c>
      <c r="BN234" s="27">
        <v>9990577711</v>
      </c>
      <c r="BO234" s="27">
        <v>9990577711</v>
      </c>
      <c r="BP234" s="27">
        <v>0</v>
      </c>
      <c r="BQ234" s="27">
        <v>0</v>
      </c>
      <c r="BR234" s="27">
        <f t="shared" ref="BR234:BS234" si="838">+BN234+BP234</f>
        <v>9990577711</v>
      </c>
      <c r="BS234" s="27">
        <f t="shared" si="838"/>
        <v>9990577711</v>
      </c>
      <c r="BT234" s="20">
        <f t="shared" si="13"/>
        <v>1</v>
      </c>
      <c r="BU234" s="27">
        <v>7240577711</v>
      </c>
      <c r="BV234" s="27">
        <v>9990577711</v>
      </c>
      <c r="BW234" s="27">
        <v>9990577711</v>
      </c>
      <c r="BX234" s="27">
        <v>20000000</v>
      </c>
      <c r="BY234" s="28">
        <f t="shared" si="149"/>
        <v>1</v>
      </c>
      <c r="BZ234" s="27">
        <v>5750000000</v>
      </c>
      <c r="CA234" s="20">
        <v>0</v>
      </c>
      <c r="CB234" s="29">
        <v>0</v>
      </c>
      <c r="CC234" s="29">
        <v>0</v>
      </c>
      <c r="CD234" s="29">
        <v>5750000000</v>
      </c>
    </row>
    <row r="235" spans="1:82" ht="42" customHeight="1">
      <c r="A235" s="12" t="s">
        <v>851</v>
      </c>
      <c r="B235" s="13">
        <v>0.432</v>
      </c>
      <c r="C235" s="12"/>
      <c r="D235" s="14">
        <v>43</v>
      </c>
      <c r="E235" s="14">
        <v>4301</v>
      </c>
      <c r="F235" s="65">
        <v>26</v>
      </c>
      <c r="G235" s="65" t="s">
        <v>1149</v>
      </c>
      <c r="H235" s="14"/>
      <c r="I235" s="14">
        <v>26.1</v>
      </c>
      <c r="J235" s="14" t="s">
        <v>1150</v>
      </c>
      <c r="K235" s="14" t="s">
        <v>1151</v>
      </c>
      <c r="L235" s="14" t="s">
        <v>1152</v>
      </c>
      <c r="M235" s="14" t="s">
        <v>1153</v>
      </c>
      <c r="N235" s="14" t="s">
        <v>1154</v>
      </c>
      <c r="O235" s="16">
        <v>4301025</v>
      </c>
      <c r="P235" s="17">
        <v>2024257990034</v>
      </c>
      <c r="Q235" s="14" t="s">
        <v>1155</v>
      </c>
      <c r="R235" s="18">
        <v>234</v>
      </c>
      <c r="S235" s="14" t="s">
        <v>1173</v>
      </c>
      <c r="T235" s="14">
        <v>2</v>
      </c>
      <c r="U235" s="14" t="s">
        <v>88</v>
      </c>
      <c r="V235" s="14" t="s">
        <v>89</v>
      </c>
      <c r="W235" s="14" t="s">
        <v>1174</v>
      </c>
      <c r="X235" s="14" t="s">
        <v>206</v>
      </c>
      <c r="Y235" s="19" t="s">
        <v>124</v>
      </c>
      <c r="Z235" s="18">
        <f t="shared" si="831"/>
        <v>2</v>
      </c>
      <c r="AA235" s="20">
        <f t="shared" si="1"/>
        <v>0.5</v>
      </c>
      <c r="AB235" s="20">
        <f t="shared" si="2"/>
        <v>0</v>
      </c>
      <c r="AC235" s="21"/>
      <c r="AD235" s="21"/>
      <c r="AE235" s="21">
        <f t="shared" si="3"/>
        <v>7.4999999999999997E-2</v>
      </c>
      <c r="AF235" s="29">
        <v>1</v>
      </c>
      <c r="AG235" s="29">
        <v>0</v>
      </c>
      <c r="AH235" s="29">
        <v>1</v>
      </c>
      <c r="AI235" s="22">
        <v>0</v>
      </c>
      <c r="AJ235" s="26"/>
      <c r="AK235" s="26"/>
      <c r="AL235" s="26"/>
      <c r="AM235" s="26"/>
      <c r="AN235" s="26">
        <v>0.6</v>
      </c>
      <c r="AO235" s="26">
        <v>0.6</v>
      </c>
      <c r="AP235" s="26">
        <v>0.4</v>
      </c>
      <c r="AQ235" s="26">
        <v>0.4</v>
      </c>
      <c r="AR235" s="22">
        <f t="shared" ref="AR235:AS235" si="839">(AJ235+AL235+AN235+AP235)</f>
        <v>1</v>
      </c>
      <c r="AS235" s="22">
        <f t="shared" si="839"/>
        <v>1</v>
      </c>
      <c r="AT235" s="22">
        <f t="shared" si="836"/>
        <v>1</v>
      </c>
      <c r="AU235" s="23" t="str">
        <f>IF(AR235&gt; 1, IF(AR235 = AS235, "100%", AR235 &amp; "%"), IF(AR235 &lt;= 0.01, "0%", AR235 * 100 &amp; "%"))</f>
        <v>100%</v>
      </c>
      <c r="AV235" s="24">
        <f t="shared" si="808"/>
        <v>1</v>
      </c>
      <c r="AW235" s="14" t="s">
        <v>92</v>
      </c>
      <c r="AX235" s="47" t="s">
        <v>1175</v>
      </c>
      <c r="AY235" s="26">
        <v>0</v>
      </c>
      <c r="AZ235" s="26"/>
      <c r="BA235" s="26">
        <v>0</v>
      </c>
      <c r="BB235" s="26"/>
      <c r="BC235" s="26">
        <v>0</v>
      </c>
      <c r="BD235" s="26"/>
      <c r="BE235" s="26">
        <v>0</v>
      </c>
      <c r="BF235" s="26"/>
      <c r="BG235" s="22">
        <f t="shared" ref="BG235:BH235" si="840">(AY235+BA235+BC235+BE235)</f>
        <v>0</v>
      </c>
      <c r="BH235" s="22">
        <f t="shared" si="840"/>
        <v>0</v>
      </c>
      <c r="BI235" s="23" t="str">
        <f>IF(BF235&gt; 1, IF(BF235 = BG235, "100%", BF235 &amp; "%"), IF(BF235 &lt;= 0.01, "0%", BF235 * 100 &amp; "%"))</f>
        <v>0%</v>
      </c>
      <c r="BJ235" s="24">
        <f t="shared" ref="BJ235:BK235" si="841">IF(BF235=0, 0, BG235/BF235)</f>
        <v>0</v>
      </c>
      <c r="BK235" s="24">
        <f t="shared" si="841"/>
        <v>0</v>
      </c>
      <c r="BL235" s="26" t="s">
        <v>192</v>
      </c>
      <c r="BM235" s="25" t="s">
        <v>1176</v>
      </c>
      <c r="BN235" s="42">
        <v>0</v>
      </c>
      <c r="BO235" s="42">
        <v>0</v>
      </c>
      <c r="BP235" s="42">
        <v>347765240</v>
      </c>
      <c r="BQ235" s="42">
        <v>347765240</v>
      </c>
      <c r="BR235" s="42">
        <f t="shared" ref="BR235:BS235" si="842">+BN235+BP235</f>
        <v>347765240</v>
      </c>
      <c r="BS235" s="42">
        <f t="shared" si="842"/>
        <v>347765240</v>
      </c>
      <c r="BT235" s="43">
        <f t="shared" si="13"/>
        <v>1</v>
      </c>
      <c r="BU235" s="27">
        <v>0</v>
      </c>
      <c r="BV235" s="27">
        <v>0</v>
      </c>
      <c r="BW235" s="27">
        <v>0</v>
      </c>
      <c r="BX235" s="27">
        <v>0</v>
      </c>
      <c r="BY235" s="28" t="str">
        <f t="shared" si="149"/>
        <v/>
      </c>
      <c r="BZ235" s="27">
        <v>3000000000</v>
      </c>
      <c r="CA235" s="20">
        <v>0</v>
      </c>
      <c r="CB235" s="29">
        <v>0</v>
      </c>
      <c r="CC235" s="29">
        <v>0</v>
      </c>
      <c r="CD235" s="29">
        <v>3000000000</v>
      </c>
    </row>
    <row r="236" spans="1:82" ht="42" customHeight="1">
      <c r="A236" s="12" t="s">
        <v>851</v>
      </c>
      <c r="B236" s="13">
        <v>0.432</v>
      </c>
      <c r="C236" s="12"/>
      <c r="D236" s="14">
        <v>43</v>
      </c>
      <c r="E236" s="14">
        <v>4301</v>
      </c>
      <c r="F236" s="65">
        <v>26</v>
      </c>
      <c r="G236" s="65" t="s">
        <v>1149</v>
      </c>
      <c r="H236" s="14"/>
      <c r="I236" s="14">
        <v>26.1</v>
      </c>
      <c r="J236" s="14" t="s">
        <v>1150</v>
      </c>
      <c r="K236" s="14" t="s">
        <v>1151</v>
      </c>
      <c r="L236" s="14" t="s">
        <v>1152</v>
      </c>
      <c r="M236" s="14" t="s">
        <v>1153</v>
      </c>
      <c r="N236" s="14" t="s">
        <v>1154</v>
      </c>
      <c r="O236" s="16">
        <v>4301004</v>
      </c>
      <c r="P236" s="17">
        <v>2024257990034</v>
      </c>
      <c r="Q236" s="14" t="s">
        <v>1155</v>
      </c>
      <c r="R236" s="18">
        <v>235</v>
      </c>
      <c r="S236" s="14" t="s">
        <v>1177</v>
      </c>
      <c r="T236" s="14">
        <v>0</v>
      </c>
      <c r="U236" s="14" t="s">
        <v>88</v>
      </c>
      <c r="V236" s="14" t="s">
        <v>89</v>
      </c>
      <c r="W236" s="14" t="s">
        <v>1178</v>
      </c>
      <c r="X236" s="14" t="s">
        <v>567</v>
      </c>
      <c r="Y236" s="22"/>
      <c r="Z236" s="18">
        <f t="shared" si="831"/>
        <v>4</v>
      </c>
      <c r="AA236" s="20">
        <f t="shared" si="1"/>
        <v>0.25</v>
      </c>
      <c r="AB236" s="20">
        <f t="shared" si="2"/>
        <v>2.5000000000000001E-2</v>
      </c>
      <c r="AC236" s="21"/>
      <c r="AD236" s="21"/>
      <c r="AE236" s="21">
        <f t="shared" si="3"/>
        <v>4.6249999999999999E-2</v>
      </c>
      <c r="AF236" s="22">
        <v>1</v>
      </c>
      <c r="AG236" s="22">
        <v>1</v>
      </c>
      <c r="AH236" s="22">
        <v>1</v>
      </c>
      <c r="AI236" s="22">
        <v>1</v>
      </c>
      <c r="AJ236" s="26"/>
      <c r="AK236" s="26"/>
      <c r="AL236" s="26"/>
      <c r="AM236" s="26"/>
      <c r="AN236" s="44">
        <v>1E-3</v>
      </c>
      <c r="AO236" s="26">
        <v>0</v>
      </c>
      <c r="AP236" s="26">
        <v>1</v>
      </c>
      <c r="AQ236" s="26">
        <v>1</v>
      </c>
      <c r="AR236" s="22">
        <f t="shared" ref="AR236:AS236" si="843">(AJ236+AL236+AN236+AP236)</f>
        <v>1.0009999999999999</v>
      </c>
      <c r="AS236" s="22">
        <f t="shared" si="843"/>
        <v>1</v>
      </c>
      <c r="AT236" s="24">
        <f t="shared" ref="AT236:AT237" si="844">IF(AQ236=0, 0, AR236/AQ236)</f>
        <v>1.0009999999999999</v>
      </c>
      <c r="AU236" s="23" t="str">
        <f>MIN((AR236 /AR236) * 100, 100) &amp; "%"</f>
        <v>100%</v>
      </c>
      <c r="AV236" s="24">
        <f t="shared" si="808"/>
        <v>0.99900099900099915</v>
      </c>
      <c r="AW236" s="14" t="s">
        <v>92</v>
      </c>
      <c r="AX236" s="30" t="s">
        <v>1179</v>
      </c>
      <c r="AY236" s="46">
        <v>0</v>
      </c>
      <c r="AZ236" s="26">
        <v>0</v>
      </c>
      <c r="BA236" s="46">
        <v>0</v>
      </c>
      <c r="BB236" s="26">
        <v>0</v>
      </c>
      <c r="BC236" s="46">
        <v>0.1</v>
      </c>
      <c r="BD236" s="46">
        <v>0.1</v>
      </c>
      <c r="BE236" s="46">
        <v>0.9</v>
      </c>
      <c r="BF236" s="26"/>
      <c r="BG236" s="22">
        <f t="shared" ref="BG236:BH236" si="845">(AY236+BA236+BC236+BE236)</f>
        <v>1</v>
      </c>
      <c r="BH236" s="22">
        <f t="shared" si="845"/>
        <v>0.1</v>
      </c>
      <c r="BI236" s="22">
        <f>BH236/BG236</f>
        <v>0.1</v>
      </c>
      <c r="BJ236" s="23" t="str">
        <f>MIN((BG236 /BG236) * 100, 100) &amp; "%"</f>
        <v>100%</v>
      </c>
      <c r="BK236" s="24">
        <f>IF(BG236=0, 0, BH236/BG236)</f>
        <v>0.1</v>
      </c>
      <c r="BL236" s="22" t="s">
        <v>92</v>
      </c>
      <c r="BM236" s="25" t="s">
        <v>1179</v>
      </c>
      <c r="BN236" s="27">
        <v>51236000</v>
      </c>
      <c r="BO236" s="27">
        <v>15000000</v>
      </c>
      <c r="BP236" s="27">
        <v>200000000</v>
      </c>
      <c r="BQ236" s="27">
        <v>200000000</v>
      </c>
      <c r="BR236" s="27">
        <f t="shared" ref="BR236:BS236" si="846">+BN236+BP236</f>
        <v>251236000</v>
      </c>
      <c r="BS236" s="27">
        <f t="shared" si="846"/>
        <v>215000000</v>
      </c>
      <c r="BT236" s="20">
        <f t="shared" si="13"/>
        <v>0.85576907767995036</v>
      </c>
      <c r="BU236" s="27">
        <v>51236000</v>
      </c>
      <c r="BV236" s="27">
        <v>51236000</v>
      </c>
      <c r="BW236" s="27">
        <v>50000000</v>
      </c>
      <c r="BX236" s="27">
        <v>50000000</v>
      </c>
      <c r="BY236" s="28">
        <f t="shared" si="149"/>
        <v>0.97587633695058162</v>
      </c>
      <c r="BZ236" s="27">
        <v>201290000</v>
      </c>
      <c r="CA236" s="20">
        <v>800000000</v>
      </c>
      <c r="CB236" s="29">
        <v>501422225</v>
      </c>
      <c r="CC236" s="29">
        <v>501479114</v>
      </c>
      <c r="CD236" s="29">
        <v>2004191339</v>
      </c>
    </row>
    <row r="237" spans="1:82" ht="55.5" customHeight="1">
      <c r="A237" s="12" t="s">
        <v>851</v>
      </c>
      <c r="B237" s="13">
        <v>0.432</v>
      </c>
      <c r="C237" s="12"/>
      <c r="D237" s="14">
        <v>43</v>
      </c>
      <c r="E237" s="14">
        <v>4301</v>
      </c>
      <c r="F237" s="65">
        <v>26</v>
      </c>
      <c r="G237" s="65" t="s">
        <v>1149</v>
      </c>
      <c r="H237" s="14"/>
      <c r="I237" s="14">
        <v>26.1</v>
      </c>
      <c r="J237" s="14" t="s">
        <v>1150</v>
      </c>
      <c r="K237" s="14" t="s">
        <v>1151</v>
      </c>
      <c r="L237" s="14" t="s">
        <v>1152</v>
      </c>
      <c r="M237" s="14" t="s">
        <v>1153</v>
      </c>
      <c r="N237" s="14" t="s">
        <v>1154</v>
      </c>
      <c r="O237" s="16">
        <v>4301010</v>
      </c>
      <c r="P237" s="17">
        <v>2024257990034</v>
      </c>
      <c r="Q237" s="14" t="s">
        <v>1155</v>
      </c>
      <c r="R237" s="18">
        <v>236</v>
      </c>
      <c r="S237" s="14" t="s">
        <v>1180</v>
      </c>
      <c r="T237" s="14">
        <v>0</v>
      </c>
      <c r="U237" s="14" t="s">
        <v>88</v>
      </c>
      <c r="V237" s="14" t="s">
        <v>89</v>
      </c>
      <c r="W237" s="14" t="s">
        <v>1181</v>
      </c>
      <c r="X237" s="14" t="s">
        <v>206</v>
      </c>
      <c r="Y237" s="19" t="s">
        <v>124</v>
      </c>
      <c r="Z237" s="18">
        <f t="shared" si="831"/>
        <v>1</v>
      </c>
      <c r="AA237" s="20">
        <f t="shared" si="1"/>
        <v>0</v>
      </c>
      <c r="AB237" s="20">
        <f t="shared" si="2"/>
        <v>0</v>
      </c>
      <c r="AC237" s="21"/>
      <c r="AD237" s="21"/>
      <c r="AE237" s="21">
        <f t="shared" si="3"/>
        <v>0</v>
      </c>
      <c r="AF237" s="22">
        <v>0</v>
      </c>
      <c r="AG237" s="22">
        <v>0</v>
      </c>
      <c r="AH237" s="22">
        <v>1</v>
      </c>
      <c r="AI237" s="22">
        <v>0</v>
      </c>
      <c r="AJ237" s="26"/>
      <c r="AK237" s="26"/>
      <c r="AL237" s="26"/>
      <c r="AM237" s="26"/>
      <c r="AN237" s="34">
        <v>0</v>
      </c>
      <c r="AO237" s="34">
        <v>0</v>
      </c>
      <c r="AP237" s="34">
        <v>0</v>
      </c>
      <c r="AQ237" s="34">
        <v>0</v>
      </c>
      <c r="AR237" s="34">
        <v>0</v>
      </c>
      <c r="AS237" s="34">
        <f>(AK237+AM237+AO237+AQ237)/2</f>
        <v>0</v>
      </c>
      <c r="AT237" s="24">
        <f t="shared" si="844"/>
        <v>0</v>
      </c>
      <c r="AU237" s="23" t="str">
        <f>IF(AR237&gt; 1, IF(AR237 = AS237, "100%", AR237 &amp; "%"), IF(AR237 &lt;= 0.01, "0%", AR237 * 100 &amp; "%"))</f>
        <v>0%</v>
      </c>
      <c r="AV237" s="24">
        <f t="shared" si="808"/>
        <v>0</v>
      </c>
      <c r="AW237" s="26" t="s">
        <v>192</v>
      </c>
      <c r="AX237" s="26"/>
      <c r="AY237" s="31">
        <v>0</v>
      </c>
      <c r="AZ237" s="32"/>
      <c r="BA237" s="31">
        <v>0</v>
      </c>
      <c r="BB237" s="32"/>
      <c r="BC237" s="31">
        <v>0</v>
      </c>
      <c r="BD237" s="31"/>
      <c r="BE237" s="31">
        <v>0</v>
      </c>
      <c r="BF237" s="32"/>
      <c r="BG237" s="22">
        <f t="shared" ref="BG237:BH237" si="847">(AY237+BA237+BC237+BE237)</f>
        <v>0</v>
      </c>
      <c r="BH237" s="22">
        <f t="shared" si="847"/>
        <v>0</v>
      </c>
      <c r="BI237" s="23" t="str">
        <f>IF(BF237&gt; 1, IF(BF237 = BG237, "100%", BF237 &amp; "%"), IF(BF237 &lt;= 0.01, "0%", BF237 * 100 &amp; "%"))</f>
        <v>0%</v>
      </c>
      <c r="BJ237" s="24">
        <f t="shared" ref="BJ237:BK237" si="848">IF(BF237=0, 0, BG237/BF237)</f>
        <v>0</v>
      </c>
      <c r="BK237" s="24">
        <f t="shared" si="848"/>
        <v>0</v>
      </c>
      <c r="BL237" s="26" t="s">
        <v>192</v>
      </c>
      <c r="BM237" s="25" t="s">
        <v>1182</v>
      </c>
      <c r="BN237" s="27">
        <v>0</v>
      </c>
      <c r="BO237" s="27">
        <v>0</v>
      </c>
      <c r="BP237" s="27">
        <v>0</v>
      </c>
      <c r="BQ237" s="27">
        <v>0</v>
      </c>
      <c r="BR237" s="27">
        <f t="shared" ref="BR237:BS237" si="849">+BN237+BP237</f>
        <v>0</v>
      </c>
      <c r="BS237" s="27">
        <f t="shared" si="849"/>
        <v>0</v>
      </c>
      <c r="BT237" s="20" t="str">
        <f t="shared" si="13"/>
        <v/>
      </c>
      <c r="BU237" s="27">
        <v>0</v>
      </c>
      <c r="BV237" s="27">
        <v>0</v>
      </c>
      <c r="BW237" s="27">
        <v>0</v>
      </c>
      <c r="BX237" s="27">
        <v>0</v>
      </c>
      <c r="BY237" s="28" t="str">
        <f t="shared" si="149"/>
        <v/>
      </c>
      <c r="BZ237" s="27">
        <v>0</v>
      </c>
      <c r="CA237" s="20">
        <v>3000000000</v>
      </c>
      <c r="CB237" s="29">
        <v>0</v>
      </c>
      <c r="CC237" s="29">
        <v>0</v>
      </c>
      <c r="CD237" s="29">
        <v>3000000000</v>
      </c>
    </row>
    <row r="238" spans="1:82" ht="42" customHeight="1">
      <c r="A238" s="12" t="s">
        <v>851</v>
      </c>
      <c r="B238" s="13">
        <v>0.432</v>
      </c>
      <c r="C238" s="12"/>
      <c r="D238" s="14">
        <v>43</v>
      </c>
      <c r="E238" s="14">
        <v>4301</v>
      </c>
      <c r="F238" s="65">
        <v>26</v>
      </c>
      <c r="G238" s="65" t="s">
        <v>1149</v>
      </c>
      <c r="H238" s="14"/>
      <c r="I238" s="14">
        <v>26.2</v>
      </c>
      <c r="J238" s="14" t="s">
        <v>1183</v>
      </c>
      <c r="K238" s="14" t="s">
        <v>1184</v>
      </c>
      <c r="L238" s="14" t="s">
        <v>1185</v>
      </c>
      <c r="M238" s="14" t="s">
        <v>1186</v>
      </c>
      <c r="N238" s="20">
        <v>0.62</v>
      </c>
      <c r="O238" s="16">
        <v>4301007</v>
      </c>
      <c r="P238" s="17">
        <v>2024257990035</v>
      </c>
      <c r="Q238" s="14" t="s">
        <v>1187</v>
      </c>
      <c r="R238" s="18">
        <v>237</v>
      </c>
      <c r="S238" s="14" t="s">
        <v>1188</v>
      </c>
      <c r="T238" s="14">
        <v>24</v>
      </c>
      <c r="U238" s="14" t="s">
        <v>88</v>
      </c>
      <c r="V238" s="14" t="s">
        <v>89</v>
      </c>
      <c r="W238" s="14" t="s">
        <v>1189</v>
      </c>
      <c r="X238" s="14" t="s">
        <v>567</v>
      </c>
      <c r="Y238" s="22"/>
      <c r="Z238" s="18">
        <f>SUM(AI238)</f>
        <v>30</v>
      </c>
      <c r="AA238" s="20">
        <f t="shared" si="1"/>
        <v>0.8666666666666667</v>
      </c>
      <c r="AB238" s="20">
        <f t="shared" si="2"/>
        <v>3.3333333333333333E-2</v>
      </c>
      <c r="AC238" s="21"/>
      <c r="AD238" s="21"/>
      <c r="AE238" s="21">
        <f t="shared" si="3"/>
        <v>0.14166666666666666</v>
      </c>
      <c r="AF238" s="22">
        <v>26</v>
      </c>
      <c r="AG238" s="22">
        <v>28</v>
      </c>
      <c r="AH238" s="22">
        <v>29</v>
      </c>
      <c r="AI238" s="22">
        <v>30</v>
      </c>
      <c r="AJ238" s="26"/>
      <c r="AK238" s="26"/>
      <c r="AL238" s="26"/>
      <c r="AM238" s="26"/>
      <c r="AN238" s="26">
        <v>26</v>
      </c>
      <c r="AO238" s="26">
        <v>26</v>
      </c>
      <c r="AP238" s="26">
        <v>0</v>
      </c>
      <c r="AQ238" s="26">
        <v>0</v>
      </c>
      <c r="AR238" s="22">
        <f t="shared" ref="AR238:AS238" si="850">(AJ238+AL238+AN238+AP238)</f>
        <v>26</v>
      </c>
      <c r="AS238" s="22">
        <f t="shared" si="850"/>
        <v>26</v>
      </c>
      <c r="AT238" s="22">
        <f>AS238/AR238</f>
        <v>1</v>
      </c>
      <c r="AU238" s="23" t="str">
        <f>MIN((AR238 /AR238) * 100, 100) &amp; "%"</f>
        <v>100%</v>
      </c>
      <c r="AV238" s="24">
        <f t="shared" si="808"/>
        <v>1</v>
      </c>
      <c r="AW238" s="14" t="s">
        <v>92</v>
      </c>
      <c r="AX238" s="30" t="s">
        <v>1190</v>
      </c>
      <c r="AY238" s="26">
        <v>28</v>
      </c>
      <c r="AZ238" s="26">
        <v>28</v>
      </c>
      <c r="BA238" s="26">
        <v>28</v>
      </c>
      <c r="BB238" s="26">
        <v>28</v>
      </c>
      <c r="BC238" s="26">
        <v>28</v>
      </c>
      <c r="BD238" s="26">
        <v>28</v>
      </c>
      <c r="BE238" s="26">
        <v>28</v>
      </c>
      <c r="BF238" s="26"/>
      <c r="BG238" s="22">
        <f>(AY238+BA238+BC238+BE238)/4</f>
        <v>28</v>
      </c>
      <c r="BH238" s="22">
        <f>(AZ238+BB238+BD238+BF238)/3</f>
        <v>28</v>
      </c>
      <c r="BI238" s="22">
        <f t="shared" ref="BI238:BI262" si="851">BH238/BG238</f>
        <v>1</v>
      </c>
      <c r="BJ238" s="23" t="str">
        <f t="shared" ref="BJ238:BJ262" si="852">MIN((BG238 /BG238) * 100, 100) &amp; "%"</f>
        <v>100%</v>
      </c>
      <c r="BK238" s="24">
        <f t="shared" ref="BK238:BK262" si="853">IF(BG238=0, 0, BH238/BG238)</f>
        <v>1</v>
      </c>
      <c r="BL238" s="22" t="s">
        <v>92</v>
      </c>
      <c r="BM238" s="25" t="s">
        <v>1190</v>
      </c>
      <c r="BN238" s="27">
        <v>2820000000</v>
      </c>
      <c r="BO238" s="27">
        <v>574613200</v>
      </c>
      <c r="BP238" s="27">
        <v>1306122207</v>
      </c>
      <c r="BQ238" s="27">
        <v>1306122207</v>
      </c>
      <c r="BR238" s="27">
        <f t="shared" ref="BR238:BS238" si="854">+BN238+BP238</f>
        <v>4126122207</v>
      </c>
      <c r="BS238" s="27">
        <f t="shared" si="854"/>
        <v>1880735407</v>
      </c>
      <c r="BT238" s="20">
        <f t="shared" si="13"/>
        <v>0.45581185254506446</v>
      </c>
      <c r="BU238" s="27">
        <v>2820000000</v>
      </c>
      <c r="BV238" s="27">
        <v>2820000000</v>
      </c>
      <c r="BW238" s="27">
        <v>2601077810</v>
      </c>
      <c r="BX238" s="27">
        <v>2601077810</v>
      </c>
      <c r="BY238" s="28">
        <f t="shared" si="149"/>
        <v>0.92236801773049648</v>
      </c>
      <c r="BZ238" s="27">
        <v>3000637341</v>
      </c>
      <c r="CA238" s="20">
        <v>2872759712</v>
      </c>
      <c r="CB238" s="29">
        <v>2853533861</v>
      </c>
      <c r="CC238" s="29">
        <v>2949304781</v>
      </c>
      <c r="CD238" s="29">
        <v>11676235695</v>
      </c>
    </row>
    <row r="239" spans="1:82" ht="42" customHeight="1">
      <c r="A239" s="12" t="s">
        <v>851</v>
      </c>
      <c r="B239" s="13">
        <v>0.432</v>
      </c>
      <c r="C239" s="12"/>
      <c r="D239" s="14">
        <v>43</v>
      </c>
      <c r="E239" s="14">
        <v>4301</v>
      </c>
      <c r="F239" s="65">
        <v>26</v>
      </c>
      <c r="G239" s="65" t="s">
        <v>1149</v>
      </c>
      <c r="H239" s="14"/>
      <c r="I239" s="14">
        <v>26.2</v>
      </c>
      <c r="J239" s="14" t="s">
        <v>1183</v>
      </c>
      <c r="K239" s="14" t="s">
        <v>1184</v>
      </c>
      <c r="L239" s="14" t="s">
        <v>1185</v>
      </c>
      <c r="M239" s="14" t="s">
        <v>1186</v>
      </c>
      <c r="N239" s="20">
        <v>0.62</v>
      </c>
      <c r="O239" s="16">
        <v>4301037</v>
      </c>
      <c r="P239" s="17">
        <v>2024257990035</v>
      </c>
      <c r="Q239" s="14" t="s">
        <v>1187</v>
      </c>
      <c r="R239" s="18">
        <v>238</v>
      </c>
      <c r="S239" s="14" t="s">
        <v>1191</v>
      </c>
      <c r="T239" s="20">
        <v>0.33</v>
      </c>
      <c r="U239" s="14" t="s">
        <v>109</v>
      </c>
      <c r="V239" s="14" t="s">
        <v>89</v>
      </c>
      <c r="W239" s="14" t="s">
        <v>1192</v>
      </c>
      <c r="X239" s="14" t="s">
        <v>567</v>
      </c>
      <c r="Y239" s="22"/>
      <c r="Z239" s="20">
        <f>SUM(AF239:AI239)</f>
        <v>0.74999999999999989</v>
      </c>
      <c r="AA239" s="20">
        <f t="shared" si="1"/>
        <v>0</v>
      </c>
      <c r="AB239" s="20">
        <f t="shared" si="2"/>
        <v>1.1111111111111114</v>
      </c>
      <c r="AC239" s="21"/>
      <c r="AD239" s="21"/>
      <c r="AE239" s="21">
        <f t="shared" si="3"/>
        <v>0.38888888888888895</v>
      </c>
      <c r="AF239" s="22">
        <v>0</v>
      </c>
      <c r="AG239" s="24">
        <v>0.35</v>
      </c>
      <c r="AH239" s="24">
        <v>0.3</v>
      </c>
      <c r="AI239" s="24">
        <v>0.1</v>
      </c>
      <c r="AJ239" s="26"/>
      <c r="AK239" s="26"/>
      <c r="AL239" s="26"/>
      <c r="AM239" s="26"/>
      <c r="AN239" s="34">
        <v>0</v>
      </c>
      <c r="AO239" s="34">
        <v>0</v>
      </c>
      <c r="AP239" s="34">
        <v>0</v>
      </c>
      <c r="AQ239" s="34">
        <v>0</v>
      </c>
      <c r="AR239" s="34">
        <v>0</v>
      </c>
      <c r="AS239" s="34">
        <f>(AK239+AM239+AO239+AQ239)/2</f>
        <v>0</v>
      </c>
      <c r="AT239" s="24">
        <f t="shared" ref="AT239:AT242" si="855">IF(AQ239=0, 0, AR239/AQ239)</f>
        <v>0</v>
      </c>
      <c r="AU239" s="23" t="str">
        <f>IF(AR239&gt; 1, IF(AR239 = AS239, "100%", AR239 &amp; "%"), IF(AR239 &lt;= 0.01, "0%", AR239 * 100 &amp; "%"))</f>
        <v>0%</v>
      </c>
      <c r="AV239" s="24">
        <f t="shared" si="808"/>
        <v>0</v>
      </c>
      <c r="AW239" s="26" t="s">
        <v>192</v>
      </c>
      <c r="AX239" s="30" t="s">
        <v>1193</v>
      </c>
      <c r="AY239" s="24">
        <v>0.05</v>
      </c>
      <c r="AZ239" s="24">
        <v>0.05</v>
      </c>
      <c r="BA239" s="24">
        <v>0.05</v>
      </c>
      <c r="BB239" s="24">
        <v>0.05</v>
      </c>
      <c r="BC239" s="24">
        <v>0.15</v>
      </c>
      <c r="BD239" s="24">
        <v>0.15</v>
      </c>
      <c r="BE239" s="24">
        <v>0.05</v>
      </c>
      <c r="BF239" s="26"/>
      <c r="BG239" s="20">
        <f t="shared" ref="BG239:BH239" si="856">(AY239+BA239+BC239+BE239)</f>
        <v>0.3</v>
      </c>
      <c r="BH239" s="20">
        <f t="shared" si="856"/>
        <v>0.25</v>
      </c>
      <c r="BI239" s="20">
        <f t="shared" si="851"/>
        <v>0.83333333333333337</v>
      </c>
      <c r="BJ239" s="23" t="str">
        <f t="shared" si="852"/>
        <v>100%</v>
      </c>
      <c r="BK239" s="24">
        <f t="shared" si="853"/>
        <v>0.83333333333333337</v>
      </c>
      <c r="BL239" s="22" t="s">
        <v>92</v>
      </c>
      <c r="BM239" s="25" t="s">
        <v>1193</v>
      </c>
      <c r="BN239" s="27">
        <v>120000000</v>
      </c>
      <c r="BO239" s="27">
        <v>40000000</v>
      </c>
      <c r="BP239" s="27">
        <v>0</v>
      </c>
      <c r="BQ239" s="27">
        <v>0</v>
      </c>
      <c r="BR239" s="27">
        <f t="shared" ref="BR239:BS239" si="857">+BN239+BP239</f>
        <v>120000000</v>
      </c>
      <c r="BS239" s="27">
        <f t="shared" si="857"/>
        <v>40000000</v>
      </c>
      <c r="BT239" s="20">
        <f t="shared" si="13"/>
        <v>0.33333333333333331</v>
      </c>
      <c r="BU239" s="27">
        <v>120000000</v>
      </c>
      <c r="BV239" s="27">
        <v>120000000</v>
      </c>
      <c r="BW239" s="27">
        <v>120000000</v>
      </c>
      <c r="BX239" s="27">
        <v>120000000</v>
      </c>
      <c r="BY239" s="28">
        <f t="shared" si="149"/>
        <v>1</v>
      </c>
      <c r="BZ239" s="27">
        <v>130000000</v>
      </c>
      <c r="CA239" s="20">
        <v>160000000</v>
      </c>
      <c r="CB239" s="29">
        <v>150000000</v>
      </c>
      <c r="CC239" s="29">
        <v>100000000</v>
      </c>
      <c r="CD239" s="29">
        <v>540000000</v>
      </c>
    </row>
    <row r="240" spans="1:82" ht="42" customHeight="1">
      <c r="A240" s="12" t="s">
        <v>851</v>
      </c>
      <c r="B240" s="13">
        <v>0.432</v>
      </c>
      <c r="C240" s="12"/>
      <c r="D240" s="14">
        <v>43</v>
      </c>
      <c r="E240" s="14">
        <v>4301</v>
      </c>
      <c r="F240" s="65">
        <v>26</v>
      </c>
      <c r="G240" s="65" t="s">
        <v>1149</v>
      </c>
      <c r="H240" s="14"/>
      <c r="I240" s="14">
        <v>26.2</v>
      </c>
      <c r="J240" s="14" t="s">
        <v>1183</v>
      </c>
      <c r="K240" s="14" t="s">
        <v>1184</v>
      </c>
      <c r="L240" s="14" t="s">
        <v>1185</v>
      </c>
      <c r="M240" s="14" t="s">
        <v>1186</v>
      </c>
      <c r="N240" s="20">
        <v>0.62</v>
      </c>
      <c r="O240" s="16">
        <v>4301001</v>
      </c>
      <c r="P240" s="17">
        <v>2024257990035</v>
      </c>
      <c r="Q240" s="14" t="s">
        <v>1187</v>
      </c>
      <c r="R240" s="18">
        <v>239</v>
      </c>
      <c r="S240" s="14" t="s">
        <v>1194</v>
      </c>
      <c r="T240" s="20">
        <v>1</v>
      </c>
      <c r="U240" s="14" t="s">
        <v>109</v>
      </c>
      <c r="V240" s="14" t="s">
        <v>114</v>
      </c>
      <c r="W240" s="14" t="s">
        <v>1195</v>
      </c>
      <c r="X240" s="14" t="s">
        <v>567</v>
      </c>
      <c r="Y240" s="22"/>
      <c r="Z240" s="24">
        <f t="shared" ref="Z240:Z242" si="858">SUM(AF240:AI240)/4</f>
        <v>1</v>
      </c>
      <c r="AA240" s="20">
        <f t="shared" si="1"/>
        <v>1</v>
      </c>
      <c r="AB240" s="20">
        <f t="shared" si="2"/>
        <v>0</v>
      </c>
      <c r="AC240" s="21"/>
      <c r="AD240" s="21"/>
      <c r="AE240" s="21">
        <f t="shared" si="3"/>
        <v>0.15</v>
      </c>
      <c r="AF240" s="20">
        <v>1</v>
      </c>
      <c r="AG240" s="20">
        <v>1</v>
      </c>
      <c r="AH240" s="20">
        <v>1</v>
      </c>
      <c r="AI240" s="20">
        <v>1</v>
      </c>
      <c r="AJ240" s="26"/>
      <c r="AK240" s="26"/>
      <c r="AL240" s="26"/>
      <c r="AM240" s="26"/>
      <c r="AN240" s="44">
        <v>1E-3</v>
      </c>
      <c r="AO240" s="26">
        <v>0</v>
      </c>
      <c r="AP240" s="24">
        <v>1</v>
      </c>
      <c r="AQ240" s="23">
        <v>1</v>
      </c>
      <c r="AR240" s="22">
        <f t="shared" ref="AR240:AS240" si="859">(AJ240+AL240+AN240+AP240)</f>
        <v>1.0009999999999999</v>
      </c>
      <c r="AS240" s="45">
        <f t="shared" si="859"/>
        <v>1</v>
      </c>
      <c r="AT240" s="24">
        <f t="shared" si="855"/>
        <v>1.0009999999999999</v>
      </c>
      <c r="AU240" s="23" t="str">
        <f t="shared" ref="AU240:AU245" si="860">MIN((AR240 /AR240) * 100, 100) &amp; "%"</f>
        <v>100%</v>
      </c>
      <c r="AV240" s="24">
        <f t="shared" si="808"/>
        <v>0.99900099900099915</v>
      </c>
      <c r="AW240" s="14" t="s">
        <v>92</v>
      </c>
      <c r="AX240" s="47" t="s">
        <v>1196</v>
      </c>
      <c r="AY240" s="46">
        <v>0</v>
      </c>
      <c r="AZ240" s="46">
        <v>0</v>
      </c>
      <c r="BA240" s="46">
        <v>0</v>
      </c>
      <c r="BB240" s="46">
        <v>0</v>
      </c>
      <c r="BC240" s="46">
        <v>0</v>
      </c>
      <c r="BD240" s="46">
        <v>0</v>
      </c>
      <c r="BE240" s="24">
        <v>1</v>
      </c>
      <c r="BF240" s="26"/>
      <c r="BG240" s="22">
        <f t="shared" ref="BG240:BH240" si="861">(AY240+BA240+BC240+BE240)</f>
        <v>1</v>
      </c>
      <c r="BH240" s="22">
        <f t="shared" si="861"/>
        <v>0</v>
      </c>
      <c r="BI240" s="22">
        <f t="shared" si="851"/>
        <v>0</v>
      </c>
      <c r="BJ240" s="23" t="str">
        <f t="shared" si="852"/>
        <v>100%</v>
      </c>
      <c r="BK240" s="24">
        <f t="shared" si="853"/>
        <v>0</v>
      </c>
      <c r="BL240" s="22" t="s">
        <v>92</v>
      </c>
      <c r="BM240" s="25" t="s">
        <v>1196</v>
      </c>
      <c r="BN240" s="27">
        <v>80000000</v>
      </c>
      <c r="BO240" s="27">
        <v>20000000</v>
      </c>
      <c r="BP240" s="27">
        <v>26200002</v>
      </c>
      <c r="BQ240" s="27">
        <v>26200002</v>
      </c>
      <c r="BR240" s="27">
        <f t="shared" ref="BR240:BS240" si="862">+BN240+BP240</f>
        <v>106200002</v>
      </c>
      <c r="BS240" s="27">
        <f t="shared" si="862"/>
        <v>46200002</v>
      </c>
      <c r="BT240" s="20">
        <f t="shared" si="13"/>
        <v>0.43502825922733973</v>
      </c>
      <c r="BU240" s="27">
        <v>80000000</v>
      </c>
      <c r="BV240" s="27">
        <v>80000000</v>
      </c>
      <c r="BW240" s="27">
        <v>80000000</v>
      </c>
      <c r="BX240" s="27">
        <v>80000000</v>
      </c>
      <c r="BY240" s="28">
        <f t="shared" si="149"/>
        <v>1</v>
      </c>
      <c r="BZ240" s="27">
        <v>80000000</v>
      </c>
      <c r="CA240" s="20">
        <v>81600000</v>
      </c>
      <c r="CB240" s="29">
        <v>83232000</v>
      </c>
      <c r="CC240" s="29">
        <v>135728960</v>
      </c>
      <c r="CD240" s="29">
        <v>380560960</v>
      </c>
    </row>
    <row r="241" spans="1:82" ht="42" customHeight="1">
      <c r="A241" s="12" t="s">
        <v>851</v>
      </c>
      <c r="B241" s="13">
        <v>0.432</v>
      </c>
      <c r="C241" s="12"/>
      <c r="D241" s="14">
        <v>43</v>
      </c>
      <c r="E241" s="14">
        <v>4301</v>
      </c>
      <c r="F241" s="65">
        <v>26</v>
      </c>
      <c r="G241" s="65" t="s">
        <v>1149</v>
      </c>
      <c r="H241" s="14"/>
      <c r="I241" s="14">
        <v>26.2</v>
      </c>
      <c r="J241" s="14" t="s">
        <v>1183</v>
      </c>
      <c r="K241" s="14" t="s">
        <v>1184</v>
      </c>
      <c r="L241" s="14" t="s">
        <v>1185</v>
      </c>
      <c r="M241" s="14" t="s">
        <v>1186</v>
      </c>
      <c r="N241" s="20">
        <v>0.62</v>
      </c>
      <c r="O241" s="16">
        <v>4301001</v>
      </c>
      <c r="P241" s="17">
        <v>2024257990035</v>
      </c>
      <c r="Q241" s="14" t="s">
        <v>1187</v>
      </c>
      <c r="R241" s="18">
        <v>240</v>
      </c>
      <c r="S241" s="14" t="s">
        <v>1197</v>
      </c>
      <c r="T241" s="14">
        <v>0</v>
      </c>
      <c r="U241" s="14" t="s">
        <v>88</v>
      </c>
      <c r="V241" s="14" t="s">
        <v>89</v>
      </c>
      <c r="W241" s="14" t="s">
        <v>1198</v>
      </c>
      <c r="X241" s="14" t="s">
        <v>567</v>
      </c>
      <c r="Y241" s="22"/>
      <c r="Z241" s="14">
        <f t="shared" si="858"/>
        <v>1</v>
      </c>
      <c r="AA241" s="20">
        <f t="shared" si="1"/>
        <v>1</v>
      </c>
      <c r="AB241" s="20">
        <f t="shared" si="2"/>
        <v>1</v>
      </c>
      <c r="AC241" s="21"/>
      <c r="AD241" s="21"/>
      <c r="AE241" s="21">
        <f t="shared" si="3"/>
        <v>0.5</v>
      </c>
      <c r="AF241" s="29">
        <v>1</v>
      </c>
      <c r="AG241" s="29">
        <v>1</v>
      </c>
      <c r="AH241" s="29">
        <v>1</v>
      </c>
      <c r="AI241" s="29">
        <v>1</v>
      </c>
      <c r="AJ241" s="26"/>
      <c r="AK241" s="26"/>
      <c r="AL241" s="26"/>
      <c r="AM241" s="26"/>
      <c r="AN241" s="44">
        <v>1E-3</v>
      </c>
      <c r="AO241" s="26">
        <v>0</v>
      </c>
      <c r="AP241" s="26">
        <v>1</v>
      </c>
      <c r="AQ241" s="26">
        <v>1</v>
      </c>
      <c r="AR241" s="22">
        <f t="shared" ref="AR241:AS241" si="863">(AJ241+AL241+AN241+AP241)</f>
        <v>1.0009999999999999</v>
      </c>
      <c r="AS241" s="45">
        <f t="shared" si="863"/>
        <v>1</v>
      </c>
      <c r="AT241" s="24">
        <f t="shared" si="855"/>
        <v>1.0009999999999999</v>
      </c>
      <c r="AU241" s="23" t="str">
        <f t="shared" si="860"/>
        <v>100%</v>
      </c>
      <c r="AV241" s="24">
        <f t="shared" si="808"/>
        <v>0.99900099900099915</v>
      </c>
      <c r="AW241" s="14" t="s">
        <v>92</v>
      </c>
      <c r="AX241" s="30" t="s">
        <v>1199</v>
      </c>
      <c r="AY241" s="46">
        <v>1</v>
      </c>
      <c r="AZ241" s="46">
        <v>1</v>
      </c>
      <c r="BA241" s="46">
        <v>1</v>
      </c>
      <c r="BB241" s="46">
        <v>1</v>
      </c>
      <c r="BC241" s="46">
        <v>1</v>
      </c>
      <c r="BD241" s="46">
        <v>1</v>
      </c>
      <c r="BE241" s="46">
        <v>1</v>
      </c>
      <c r="BF241" s="26"/>
      <c r="BG241" s="22">
        <f>(AY241+BA241+BC241+BE241)/4</f>
        <v>1</v>
      </c>
      <c r="BH241" s="22">
        <f>(AZ241+BB241+BD241+BF241)/3</f>
        <v>1</v>
      </c>
      <c r="BI241" s="22">
        <f t="shared" si="851"/>
        <v>1</v>
      </c>
      <c r="BJ241" s="23" t="str">
        <f t="shared" si="852"/>
        <v>100%</v>
      </c>
      <c r="BK241" s="24">
        <f t="shared" si="853"/>
        <v>1</v>
      </c>
      <c r="BL241" s="22" t="s">
        <v>92</v>
      </c>
      <c r="BM241" s="25" t="s">
        <v>1199</v>
      </c>
      <c r="BN241" s="27">
        <v>80000000</v>
      </c>
      <c r="BO241" s="27">
        <v>10000000</v>
      </c>
      <c r="BP241" s="27">
        <v>19000002</v>
      </c>
      <c r="BQ241" s="27">
        <v>19000002</v>
      </c>
      <c r="BR241" s="27">
        <f t="shared" ref="BR241:BS241" si="864">+BN241+BP241</f>
        <v>99000002</v>
      </c>
      <c r="BS241" s="27">
        <f t="shared" si="864"/>
        <v>29000002</v>
      </c>
      <c r="BT241" s="20">
        <f t="shared" si="13"/>
        <v>0.29292930721354937</v>
      </c>
      <c r="BU241" s="27">
        <v>40000000</v>
      </c>
      <c r="BV241" s="27">
        <v>80000000</v>
      </c>
      <c r="BW241" s="27">
        <v>80000000</v>
      </c>
      <c r="BX241" s="27">
        <v>80000000</v>
      </c>
      <c r="BY241" s="28">
        <f t="shared" si="149"/>
        <v>1</v>
      </c>
      <c r="BZ241" s="27">
        <v>50000000</v>
      </c>
      <c r="CA241" s="20">
        <v>50000000</v>
      </c>
      <c r="CB241" s="29">
        <v>50000000</v>
      </c>
      <c r="CC241" s="29">
        <v>50000000</v>
      </c>
      <c r="CD241" s="29">
        <v>200000000</v>
      </c>
    </row>
    <row r="242" spans="1:82" ht="42" customHeight="1">
      <c r="A242" s="12" t="s">
        <v>851</v>
      </c>
      <c r="B242" s="13">
        <v>0.432</v>
      </c>
      <c r="C242" s="12"/>
      <c r="D242" s="14">
        <v>43</v>
      </c>
      <c r="E242" s="14">
        <v>4301</v>
      </c>
      <c r="F242" s="65">
        <v>26</v>
      </c>
      <c r="G242" s="65" t="s">
        <v>1149</v>
      </c>
      <c r="H242" s="14"/>
      <c r="I242" s="14">
        <v>26.2</v>
      </c>
      <c r="J242" s="14" t="s">
        <v>1183</v>
      </c>
      <c r="K242" s="14" t="s">
        <v>1184</v>
      </c>
      <c r="L242" s="14" t="s">
        <v>1185</v>
      </c>
      <c r="M242" s="14" t="s">
        <v>1186</v>
      </c>
      <c r="N242" s="20">
        <v>0.62</v>
      </c>
      <c r="O242" s="16">
        <v>4301007</v>
      </c>
      <c r="P242" s="17">
        <v>2024257990035</v>
      </c>
      <c r="Q242" s="14" t="s">
        <v>1187</v>
      </c>
      <c r="R242" s="18">
        <v>241</v>
      </c>
      <c r="S242" s="14" t="s">
        <v>1200</v>
      </c>
      <c r="T242" s="14">
        <v>16</v>
      </c>
      <c r="U242" s="14" t="s">
        <v>88</v>
      </c>
      <c r="V242" s="14" t="s">
        <v>114</v>
      </c>
      <c r="W242" s="14" t="s">
        <v>1201</v>
      </c>
      <c r="X242" s="14" t="s">
        <v>567</v>
      </c>
      <c r="Y242" s="22"/>
      <c r="Z242" s="14">
        <f t="shared" si="858"/>
        <v>16</v>
      </c>
      <c r="AA242" s="20">
        <f t="shared" si="1"/>
        <v>1</v>
      </c>
      <c r="AB242" s="20">
        <f t="shared" si="2"/>
        <v>6.25E-2</v>
      </c>
      <c r="AC242" s="21"/>
      <c r="AD242" s="21"/>
      <c r="AE242" s="21">
        <f t="shared" si="3"/>
        <v>0.171875</v>
      </c>
      <c r="AF242" s="14">
        <v>16</v>
      </c>
      <c r="AG242" s="14">
        <v>16</v>
      </c>
      <c r="AH242" s="14">
        <v>16</v>
      </c>
      <c r="AI242" s="14">
        <v>16</v>
      </c>
      <c r="AJ242" s="26"/>
      <c r="AK242" s="26"/>
      <c r="AL242" s="26"/>
      <c r="AM242" s="26"/>
      <c r="AN242" s="44">
        <v>1E-3</v>
      </c>
      <c r="AO242" s="26">
        <v>0</v>
      </c>
      <c r="AP242" s="26">
        <v>16</v>
      </c>
      <c r="AQ242" s="26">
        <v>16</v>
      </c>
      <c r="AR242" s="22">
        <f t="shared" ref="AR242:AS242" si="865">(AJ242+AL242+AN242+AP242)</f>
        <v>16.001000000000001</v>
      </c>
      <c r="AS242" s="22">
        <f t="shared" si="865"/>
        <v>16</v>
      </c>
      <c r="AT242" s="24">
        <f t="shared" si="855"/>
        <v>1.0000625000000001</v>
      </c>
      <c r="AU242" s="23" t="str">
        <f t="shared" si="860"/>
        <v>100%</v>
      </c>
      <c r="AV242" s="24">
        <f t="shared" si="808"/>
        <v>0.99993750390600578</v>
      </c>
      <c r="AW242" s="14" t="s">
        <v>92</v>
      </c>
      <c r="AX242" s="30" t="s">
        <v>1202</v>
      </c>
      <c r="AY242" s="26">
        <v>0</v>
      </c>
      <c r="AZ242" s="26">
        <v>0</v>
      </c>
      <c r="BA242" s="26">
        <v>0</v>
      </c>
      <c r="BB242" s="26">
        <v>0</v>
      </c>
      <c r="BC242" s="26">
        <v>16</v>
      </c>
      <c r="BD242" s="26">
        <v>16</v>
      </c>
      <c r="BE242" s="26">
        <v>0</v>
      </c>
      <c r="BF242" s="26"/>
      <c r="BG242" s="22">
        <f t="shared" ref="BG242:BH242" si="866">(AY242+BA242+BC242+BE242)</f>
        <v>16</v>
      </c>
      <c r="BH242" s="22">
        <f t="shared" si="866"/>
        <v>16</v>
      </c>
      <c r="BI242" s="22">
        <f t="shared" si="851"/>
        <v>1</v>
      </c>
      <c r="BJ242" s="23" t="str">
        <f t="shared" si="852"/>
        <v>100%</v>
      </c>
      <c r="BK242" s="24">
        <f t="shared" si="853"/>
        <v>1</v>
      </c>
      <c r="BL242" s="22" t="s">
        <v>92</v>
      </c>
      <c r="BM242" s="25" t="s">
        <v>1202</v>
      </c>
      <c r="BN242" s="27">
        <v>110000000</v>
      </c>
      <c r="BO242" s="27">
        <v>20000000</v>
      </c>
      <c r="BP242" s="27">
        <v>10999998</v>
      </c>
      <c r="BQ242" s="27">
        <v>10999998</v>
      </c>
      <c r="BR242" s="27">
        <f t="shared" ref="BR242:BS242" si="867">+BN242+BP242</f>
        <v>120999998</v>
      </c>
      <c r="BS242" s="27">
        <f t="shared" si="867"/>
        <v>30999998</v>
      </c>
      <c r="BT242" s="20">
        <f t="shared" si="13"/>
        <v>0.25619833481319559</v>
      </c>
      <c r="BU242" s="27">
        <v>40000000</v>
      </c>
      <c r="BV242" s="27">
        <v>110000000</v>
      </c>
      <c r="BW242" s="27">
        <v>110000000</v>
      </c>
      <c r="BX242" s="27">
        <v>110000000</v>
      </c>
      <c r="BY242" s="28">
        <f t="shared" si="149"/>
        <v>1</v>
      </c>
      <c r="BZ242" s="27">
        <v>50000000</v>
      </c>
      <c r="CA242" s="20">
        <v>51000000</v>
      </c>
      <c r="CB242" s="29">
        <v>50000000</v>
      </c>
      <c r="CC242" s="29">
        <v>50000000</v>
      </c>
      <c r="CD242" s="29">
        <v>201000000</v>
      </c>
    </row>
    <row r="243" spans="1:82" ht="42" customHeight="1">
      <c r="A243" s="12" t="s">
        <v>851</v>
      </c>
      <c r="B243" s="13">
        <v>0.432</v>
      </c>
      <c r="C243" s="12"/>
      <c r="D243" s="14">
        <v>43</v>
      </c>
      <c r="E243" s="14">
        <v>4301</v>
      </c>
      <c r="F243" s="65">
        <v>26</v>
      </c>
      <c r="G243" s="65" t="s">
        <v>1149</v>
      </c>
      <c r="H243" s="14"/>
      <c r="I243" s="14">
        <v>26.3</v>
      </c>
      <c r="J243" s="14" t="s">
        <v>1203</v>
      </c>
      <c r="K243" s="14" t="s">
        <v>1204</v>
      </c>
      <c r="L243" s="14" t="s">
        <v>1205</v>
      </c>
      <c r="M243" s="14" t="s">
        <v>1206</v>
      </c>
      <c r="N243" s="14" t="s">
        <v>1207</v>
      </c>
      <c r="O243" s="16">
        <v>4301032</v>
      </c>
      <c r="P243" s="17">
        <v>2024257990035</v>
      </c>
      <c r="Q243" s="14" t="s">
        <v>1187</v>
      </c>
      <c r="R243" s="18">
        <v>242</v>
      </c>
      <c r="S243" s="14" t="s">
        <v>1208</v>
      </c>
      <c r="T243" s="14">
        <v>30</v>
      </c>
      <c r="U243" s="14" t="s">
        <v>88</v>
      </c>
      <c r="V243" s="14" t="s">
        <v>89</v>
      </c>
      <c r="W243" s="14" t="s">
        <v>1209</v>
      </c>
      <c r="X243" s="14" t="s">
        <v>567</v>
      </c>
      <c r="Y243" s="22"/>
      <c r="Z243" s="18">
        <f t="shared" ref="Z243:Z244" si="868">SUM(AF243:AI243)</f>
        <v>300</v>
      </c>
      <c r="AA243" s="20">
        <f t="shared" si="1"/>
        <v>0.28000000000000003</v>
      </c>
      <c r="AB243" s="20">
        <f t="shared" si="2"/>
        <v>5.5111111111111107E-3</v>
      </c>
      <c r="AC243" s="21"/>
      <c r="AD243" s="21"/>
      <c r="AE243" s="21">
        <f t="shared" si="3"/>
        <v>4.3928888888888892E-2</v>
      </c>
      <c r="AF243" s="29">
        <v>75</v>
      </c>
      <c r="AG243" s="29">
        <v>75</v>
      </c>
      <c r="AH243" s="29">
        <v>75</v>
      </c>
      <c r="AI243" s="29">
        <v>75</v>
      </c>
      <c r="AJ243" s="26"/>
      <c r="AK243" s="26"/>
      <c r="AL243" s="26"/>
      <c r="AM243" s="26"/>
      <c r="AN243" s="26">
        <v>75</v>
      </c>
      <c r="AO243" s="26">
        <v>84</v>
      </c>
      <c r="AP243" s="26">
        <v>0</v>
      </c>
      <c r="AQ243" s="26">
        <v>0</v>
      </c>
      <c r="AR243" s="22">
        <f t="shared" ref="AR243:AS243" si="869">(AJ243+AL243+AN243+AP243)</f>
        <v>75</v>
      </c>
      <c r="AS243" s="22">
        <f t="shared" si="869"/>
        <v>84</v>
      </c>
      <c r="AT243" s="22">
        <f t="shared" ref="AT243:AT245" si="870">AS243/AR243</f>
        <v>1.1200000000000001</v>
      </c>
      <c r="AU243" s="23" t="str">
        <f t="shared" si="860"/>
        <v>100%</v>
      </c>
      <c r="AV243" s="24">
        <f t="shared" si="808"/>
        <v>1.1200000000000001</v>
      </c>
      <c r="AW243" s="14" t="s">
        <v>92</v>
      </c>
      <c r="AX243" s="30" t="s">
        <v>1210</v>
      </c>
      <c r="AY243" s="26">
        <v>20</v>
      </c>
      <c r="AZ243" s="26">
        <v>20</v>
      </c>
      <c r="BA243" s="26">
        <v>20</v>
      </c>
      <c r="BB243" s="26">
        <v>59</v>
      </c>
      <c r="BC243" s="26">
        <v>20</v>
      </c>
      <c r="BD243" s="26">
        <v>45</v>
      </c>
      <c r="BE243" s="26">
        <v>15</v>
      </c>
      <c r="BF243" s="26"/>
      <c r="BG243" s="22">
        <f t="shared" ref="BG243:BH243" si="871">(AY243+BA243+BC243+BE243)</f>
        <v>75</v>
      </c>
      <c r="BH243" s="22">
        <f t="shared" si="871"/>
        <v>124</v>
      </c>
      <c r="BI243" s="22">
        <f t="shared" si="851"/>
        <v>1.6533333333333333</v>
      </c>
      <c r="BJ243" s="23" t="str">
        <f t="shared" si="852"/>
        <v>100%</v>
      </c>
      <c r="BK243" s="24">
        <f t="shared" si="853"/>
        <v>1.6533333333333333</v>
      </c>
      <c r="BL243" s="22" t="s">
        <v>92</v>
      </c>
      <c r="BM243" s="25" t="s">
        <v>1210</v>
      </c>
      <c r="BN243" s="27">
        <v>130000000</v>
      </c>
      <c r="BO243" s="27">
        <v>32499999</v>
      </c>
      <c r="BP243" s="27">
        <v>237483000</v>
      </c>
      <c r="BQ243" s="27">
        <v>237483000</v>
      </c>
      <c r="BR243" s="27">
        <f t="shared" ref="BR243:BS243" si="872">+BN243+BP243</f>
        <v>367483000</v>
      </c>
      <c r="BS243" s="27">
        <f t="shared" si="872"/>
        <v>269982999</v>
      </c>
      <c r="BT243" s="20">
        <f t="shared" si="13"/>
        <v>0.73468160159789708</v>
      </c>
      <c r="BU243" s="27">
        <v>130000000</v>
      </c>
      <c r="BV243" s="27">
        <v>130000000</v>
      </c>
      <c r="BW243" s="27">
        <v>130000000</v>
      </c>
      <c r="BX243" s="27">
        <v>130000000</v>
      </c>
      <c r="BY243" s="28">
        <f t="shared" si="149"/>
        <v>1</v>
      </c>
      <c r="BZ243" s="27">
        <v>130000000</v>
      </c>
      <c r="CA243" s="20">
        <v>132600000</v>
      </c>
      <c r="CB243" s="29">
        <v>135252000</v>
      </c>
      <c r="CC243" s="29">
        <v>139309560</v>
      </c>
      <c r="CD243" s="29">
        <v>537161560</v>
      </c>
    </row>
    <row r="244" spans="1:82" ht="42" customHeight="1">
      <c r="A244" s="12" t="s">
        <v>851</v>
      </c>
      <c r="B244" s="13">
        <v>0.432</v>
      </c>
      <c r="C244" s="12"/>
      <c r="D244" s="14">
        <v>43</v>
      </c>
      <c r="E244" s="14">
        <v>4301</v>
      </c>
      <c r="F244" s="65">
        <v>26</v>
      </c>
      <c r="G244" s="65" t="s">
        <v>1149</v>
      </c>
      <c r="H244" s="14"/>
      <c r="I244" s="14">
        <v>26.3</v>
      </c>
      <c r="J244" s="14" t="s">
        <v>1203</v>
      </c>
      <c r="K244" s="14" t="s">
        <v>1204</v>
      </c>
      <c r="L244" s="14" t="s">
        <v>1205</v>
      </c>
      <c r="M244" s="14" t="s">
        <v>1206</v>
      </c>
      <c r="N244" s="14" t="s">
        <v>1207</v>
      </c>
      <c r="O244" s="16">
        <v>4301032</v>
      </c>
      <c r="P244" s="17">
        <v>2024257990035</v>
      </c>
      <c r="Q244" s="14" t="s">
        <v>1187</v>
      </c>
      <c r="R244" s="18">
        <v>243</v>
      </c>
      <c r="S244" s="14" t="s">
        <v>1211</v>
      </c>
      <c r="T244" s="14">
        <v>30</v>
      </c>
      <c r="U244" s="14" t="s">
        <v>88</v>
      </c>
      <c r="V244" s="14" t="s">
        <v>89</v>
      </c>
      <c r="W244" s="14" t="s">
        <v>1212</v>
      </c>
      <c r="X244" s="14" t="s">
        <v>567</v>
      </c>
      <c r="Y244" s="22"/>
      <c r="Z244" s="18">
        <f t="shared" si="868"/>
        <v>200</v>
      </c>
      <c r="AA244" s="20">
        <f t="shared" si="1"/>
        <v>0.48</v>
      </c>
      <c r="AB244" s="20">
        <f t="shared" si="2"/>
        <v>5.5833333333333334E-3</v>
      </c>
      <c r="AC244" s="21"/>
      <c r="AD244" s="21"/>
      <c r="AE244" s="21">
        <f t="shared" si="3"/>
        <v>7.3954166666666654E-2</v>
      </c>
      <c r="AF244" s="29">
        <v>90</v>
      </c>
      <c r="AG244" s="29">
        <v>60</v>
      </c>
      <c r="AH244" s="29">
        <v>25</v>
      </c>
      <c r="AI244" s="29">
        <v>25</v>
      </c>
      <c r="AJ244" s="26"/>
      <c r="AK244" s="26"/>
      <c r="AL244" s="26"/>
      <c r="AM244" s="26"/>
      <c r="AN244" s="26">
        <v>90</v>
      </c>
      <c r="AO244" s="26">
        <v>96</v>
      </c>
      <c r="AP244" s="26">
        <v>0</v>
      </c>
      <c r="AQ244" s="26">
        <v>0</v>
      </c>
      <c r="AR244" s="22">
        <f t="shared" ref="AR244:AS244" si="873">(AJ244+AL244+AN244+AP244)</f>
        <v>90</v>
      </c>
      <c r="AS244" s="22">
        <f t="shared" si="873"/>
        <v>96</v>
      </c>
      <c r="AT244" s="22">
        <f t="shared" si="870"/>
        <v>1.0666666666666667</v>
      </c>
      <c r="AU244" s="23" t="str">
        <f t="shared" si="860"/>
        <v>100%</v>
      </c>
      <c r="AV244" s="24">
        <f t="shared" si="808"/>
        <v>1.0666666666666667</v>
      </c>
      <c r="AW244" s="14" t="s">
        <v>92</v>
      </c>
      <c r="AX244" s="30" t="s">
        <v>1213</v>
      </c>
      <c r="AY244" s="26">
        <v>20</v>
      </c>
      <c r="AZ244" s="26">
        <v>20</v>
      </c>
      <c r="BA244" s="26">
        <v>30</v>
      </c>
      <c r="BB244" s="26">
        <v>40</v>
      </c>
      <c r="BC244" s="26">
        <v>10</v>
      </c>
      <c r="BD244" s="26">
        <v>7</v>
      </c>
      <c r="BE244" s="26">
        <v>0</v>
      </c>
      <c r="BF244" s="26"/>
      <c r="BG244" s="22">
        <f t="shared" ref="BG244:BH244" si="874">(AY244+BA244+BC244+BE244)</f>
        <v>60</v>
      </c>
      <c r="BH244" s="22">
        <f t="shared" si="874"/>
        <v>67</v>
      </c>
      <c r="BI244" s="22">
        <f t="shared" si="851"/>
        <v>1.1166666666666667</v>
      </c>
      <c r="BJ244" s="23" t="str">
        <f t="shared" si="852"/>
        <v>100%</v>
      </c>
      <c r="BK244" s="24">
        <f t="shared" si="853"/>
        <v>1.1166666666666667</v>
      </c>
      <c r="BL244" s="22" t="s">
        <v>92</v>
      </c>
      <c r="BM244" s="25" t="s">
        <v>1213</v>
      </c>
      <c r="BN244" s="27">
        <v>286190911</v>
      </c>
      <c r="BO244" s="27">
        <v>45000000</v>
      </c>
      <c r="BP244" s="27">
        <v>152564203</v>
      </c>
      <c r="BQ244" s="27">
        <v>152564203</v>
      </c>
      <c r="BR244" s="27">
        <f t="shared" ref="BR244:BS244" si="875">+BN244+BP244</f>
        <v>438755114</v>
      </c>
      <c r="BS244" s="27">
        <f t="shared" si="875"/>
        <v>197564203</v>
      </c>
      <c r="BT244" s="20">
        <f t="shared" si="13"/>
        <v>0.45028353333335736</v>
      </c>
      <c r="BU244" s="27">
        <v>180000000</v>
      </c>
      <c r="BV244" s="27">
        <v>315015683</v>
      </c>
      <c r="BW244" s="27">
        <v>277955264</v>
      </c>
      <c r="BX244" s="27">
        <v>277955264</v>
      </c>
      <c r="BY244" s="28">
        <f t="shared" si="149"/>
        <v>0.88235373348062796</v>
      </c>
      <c r="BZ244" s="27">
        <v>130000000</v>
      </c>
      <c r="CA244" s="20">
        <v>132600000</v>
      </c>
      <c r="CB244" s="29">
        <v>135252000</v>
      </c>
      <c r="CC244" s="29">
        <v>139309560</v>
      </c>
      <c r="CD244" s="29">
        <v>537161560</v>
      </c>
    </row>
    <row r="245" spans="1:82" ht="42" customHeight="1">
      <c r="A245" s="12" t="s">
        <v>851</v>
      </c>
      <c r="B245" s="13">
        <v>0.432</v>
      </c>
      <c r="C245" s="12"/>
      <c r="D245" s="14">
        <v>43</v>
      </c>
      <c r="E245" s="14">
        <v>4301</v>
      </c>
      <c r="F245" s="65">
        <v>26</v>
      </c>
      <c r="G245" s="65" t="s">
        <v>1149</v>
      </c>
      <c r="H245" s="14"/>
      <c r="I245" s="14">
        <v>26.3</v>
      </c>
      <c r="J245" s="14" t="s">
        <v>1203</v>
      </c>
      <c r="K245" s="14" t="s">
        <v>1204</v>
      </c>
      <c r="L245" s="14" t="s">
        <v>1205</v>
      </c>
      <c r="M245" s="14" t="s">
        <v>1206</v>
      </c>
      <c r="N245" s="14" t="s">
        <v>1207</v>
      </c>
      <c r="O245" s="16">
        <v>4301007</v>
      </c>
      <c r="P245" s="17">
        <v>2024257990035</v>
      </c>
      <c r="Q245" s="14" t="s">
        <v>1187</v>
      </c>
      <c r="R245" s="18">
        <v>244</v>
      </c>
      <c r="S245" s="14" t="s">
        <v>1214</v>
      </c>
      <c r="T245" s="14">
        <v>10</v>
      </c>
      <c r="U245" s="14" t="s">
        <v>88</v>
      </c>
      <c r="V245" s="14" t="s">
        <v>89</v>
      </c>
      <c r="W245" s="14" t="s">
        <v>1215</v>
      </c>
      <c r="X245" s="14" t="s">
        <v>567</v>
      </c>
      <c r="Y245" s="22"/>
      <c r="Z245" s="14">
        <f>SUM(AF245:AI245)/4</f>
        <v>15</v>
      </c>
      <c r="AA245" s="20">
        <f t="shared" si="1"/>
        <v>2</v>
      </c>
      <c r="AB245" s="20">
        <f t="shared" si="2"/>
        <v>6.6666666666666666E-2</v>
      </c>
      <c r="AC245" s="21"/>
      <c r="AD245" s="21"/>
      <c r="AE245" s="21">
        <f t="shared" si="3"/>
        <v>0.32333333333333331</v>
      </c>
      <c r="AF245" s="29">
        <v>15</v>
      </c>
      <c r="AG245" s="29">
        <v>15</v>
      </c>
      <c r="AH245" s="29">
        <v>15</v>
      </c>
      <c r="AI245" s="29">
        <v>15</v>
      </c>
      <c r="AJ245" s="26"/>
      <c r="AK245" s="26"/>
      <c r="AL245" s="26"/>
      <c r="AM245" s="26"/>
      <c r="AN245" s="26">
        <v>15</v>
      </c>
      <c r="AO245" s="26">
        <v>15</v>
      </c>
      <c r="AP245" s="26">
        <v>15</v>
      </c>
      <c r="AQ245" s="26">
        <v>15</v>
      </c>
      <c r="AR245" s="22">
        <f>(AJ245+AL245+AN245+AP245)/2</f>
        <v>15</v>
      </c>
      <c r="AS245" s="22">
        <f>(AK245+AM245+AO245+AQ245)</f>
        <v>30</v>
      </c>
      <c r="AT245" s="22">
        <f t="shared" si="870"/>
        <v>2</v>
      </c>
      <c r="AU245" s="23" t="str">
        <f t="shared" si="860"/>
        <v>100%</v>
      </c>
      <c r="AV245" s="24">
        <f t="shared" si="808"/>
        <v>2</v>
      </c>
      <c r="AW245" s="14" t="s">
        <v>92</v>
      </c>
      <c r="AX245" s="30" t="s">
        <v>1216</v>
      </c>
      <c r="AY245" s="26">
        <v>15</v>
      </c>
      <c r="AZ245" s="26">
        <v>15</v>
      </c>
      <c r="BA245" s="26">
        <v>15</v>
      </c>
      <c r="BB245" s="26">
        <v>15</v>
      </c>
      <c r="BC245" s="26">
        <v>15</v>
      </c>
      <c r="BD245" s="26">
        <v>15</v>
      </c>
      <c r="BE245" s="26">
        <v>15</v>
      </c>
      <c r="BF245" s="26"/>
      <c r="BG245" s="22">
        <f>(AY245+BA245+BC245+BE245)/4</f>
        <v>15</v>
      </c>
      <c r="BH245" s="22">
        <f>(AZ245+BB245+BD245+BF245)/3</f>
        <v>15</v>
      </c>
      <c r="BI245" s="22">
        <f t="shared" si="851"/>
        <v>1</v>
      </c>
      <c r="BJ245" s="23" t="str">
        <f t="shared" si="852"/>
        <v>100%</v>
      </c>
      <c r="BK245" s="24">
        <f t="shared" si="853"/>
        <v>1</v>
      </c>
      <c r="BL245" s="22" t="s">
        <v>92</v>
      </c>
      <c r="BM245" s="25" t="s">
        <v>1216</v>
      </c>
      <c r="BN245" s="27">
        <v>215000000</v>
      </c>
      <c r="BO245" s="27">
        <v>20000000</v>
      </c>
      <c r="BP245" s="27">
        <v>0</v>
      </c>
      <c r="BQ245" s="27">
        <v>0</v>
      </c>
      <c r="BR245" s="27">
        <f t="shared" ref="BR245:BS245" si="876">+BN245+BP245</f>
        <v>215000000</v>
      </c>
      <c r="BS245" s="27">
        <f t="shared" si="876"/>
        <v>20000000</v>
      </c>
      <c r="BT245" s="20">
        <f t="shared" si="13"/>
        <v>9.3023255813953487E-2</v>
      </c>
      <c r="BU245" s="27">
        <v>90000000</v>
      </c>
      <c r="BV245" s="27">
        <v>215000000</v>
      </c>
      <c r="BW245" s="27">
        <v>215000000</v>
      </c>
      <c r="BX245" s="27">
        <v>215000000</v>
      </c>
      <c r="BY245" s="28">
        <f t="shared" si="149"/>
        <v>1</v>
      </c>
      <c r="BZ245" s="27">
        <v>200000000</v>
      </c>
      <c r="CA245" s="20">
        <v>154000000</v>
      </c>
      <c r="CB245" s="29">
        <v>107080000</v>
      </c>
      <c r="CC245" s="29">
        <v>60292400</v>
      </c>
      <c r="CD245" s="29">
        <v>521372400</v>
      </c>
    </row>
    <row r="246" spans="1:82" ht="42" customHeight="1">
      <c r="A246" s="12" t="s">
        <v>851</v>
      </c>
      <c r="B246" s="13">
        <v>0.432</v>
      </c>
      <c r="C246" s="12"/>
      <c r="D246" s="14">
        <v>43</v>
      </c>
      <c r="E246" s="14">
        <v>4301</v>
      </c>
      <c r="F246" s="65">
        <v>26</v>
      </c>
      <c r="G246" s="65" t="s">
        <v>1149</v>
      </c>
      <c r="H246" s="14"/>
      <c r="I246" s="14">
        <v>26.3</v>
      </c>
      <c r="J246" s="14" t="s">
        <v>1203</v>
      </c>
      <c r="K246" s="14" t="s">
        <v>1204</v>
      </c>
      <c r="L246" s="14" t="s">
        <v>1205</v>
      </c>
      <c r="M246" s="14" t="s">
        <v>1206</v>
      </c>
      <c r="N246" s="14" t="s">
        <v>1207</v>
      </c>
      <c r="O246" s="16">
        <v>4301001</v>
      </c>
      <c r="P246" s="17">
        <v>2024257990035</v>
      </c>
      <c r="Q246" s="14" t="s">
        <v>1187</v>
      </c>
      <c r="R246" s="18">
        <v>245</v>
      </c>
      <c r="S246" s="14" t="s">
        <v>1217</v>
      </c>
      <c r="T246" s="14">
        <v>4</v>
      </c>
      <c r="U246" s="14" t="s">
        <v>88</v>
      </c>
      <c r="V246" s="14" t="s">
        <v>114</v>
      </c>
      <c r="W246" s="14" t="s">
        <v>1218</v>
      </c>
      <c r="X246" s="14" t="s">
        <v>567</v>
      </c>
      <c r="Y246" s="22"/>
      <c r="Z246" s="18">
        <f t="shared" ref="Z246:Z250" si="877">SUM(AF246:AI246)</f>
        <v>16</v>
      </c>
      <c r="AA246" s="20">
        <f t="shared" si="1"/>
        <v>6.25E-2</v>
      </c>
      <c r="AB246" s="20">
        <f t="shared" si="2"/>
        <v>0.125</v>
      </c>
      <c r="AC246" s="21"/>
      <c r="AD246" s="21"/>
      <c r="AE246" s="21">
        <f t="shared" si="3"/>
        <v>5.3124999999999999E-2</v>
      </c>
      <c r="AF246" s="29">
        <v>4</v>
      </c>
      <c r="AG246" s="29">
        <v>4</v>
      </c>
      <c r="AH246" s="29">
        <v>4</v>
      </c>
      <c r="AI246" s="29">
        <v>4</v>
      </c>
      <c r="AJ246" s="26"/>
      <c r="AK246" s="26"/>
      <c r="AL246" s="26"/>
      <c r="AM246" s="26"/>
      <c r="AN246" s="44">
        <v>1E-3</v>
      </c>
      <c r="AO246" s="26">
        <v>0</v>
      </c>
      <c r="AP246" s="26">
        <v>1</v>
      </c>
      <c r="AQ246" s="26">
        <v>1</v>
      </c>
      <c r="AR246" s="22">
        <f t="shared" ref="AR246:AS246" si="878">(AJ246+AL246+AN246+AP246)</f>
        <v>1.0009999999999999</v>
      </c>
      <c r="AS246" s="22">
        <f t="shared" si="878"/>
        <v>1</v>
      </c>
      <c r="AT246" s="24">
        <f t="shared" ref="AT246:AT247" si="879">IF(AQ246=0, 0, AR246/AQ246)</f>
        <v>1.0009999999999999</v>
      </c>
      <c r="AU246" s="23" t="str">
        <f>IF(AR246 = 0, "0%", MIN((AR246 / AS246) * 100, 100) &amp; "%")</f>
        <v>100%</v>
      </c>
      <c r="AV246" s="24">
        <f t="shared" si="808"/>
        <v>0.99900099900099915</v>
      </c>
      <c r="AW246" s="14" t="s">
        <v>92</v>
      </c>
      <c r="AX246" s="30" t="s">
        <v>1219</v>
      </c>
      <c r="AY246" s="46">
        <v>0</v>
      </c>
      <c r="AZ246" s="46">
        <v>0</v>
      </c>
      <c r="BA246" s="46">
        <v>4</v>
      </c>
      <c r="BB246" s="46">
        <v>4</v>
      </c>
      <c r="BC246" s="46">
        <v>4</v>
      </c>
      <c r="BD246" s="46">
        <v>4</v>
      </c>
      <c r="BE246" s="46">
        <v>4</v>
      </c>
      <c r="BF246" s="26"/>
      <c r="BG246" s="22">
        <f>(AY246+BA246+BC246+BE246)/3</f>
        <v>4</v>
      </c>
      <c r="BH246" s="22">
        <f>(AZ246+BB246+BD246+BF246)</f>
        <v>8</v>
      </c>
      <c r="BI246" s="22">
        <f t="shared" si="851"/>
        <v>2</v>
      </c>
      <c r="BJ246" s="23" t="str">
        <f t="shared" si="852"/>
        <v>100%</v>
      </c>
      <c r="BK246" s="24">
        <f t="shared" si="853"/>
        <v>2</v>
      </c>
      <c r="BL246" s="22" t="s">
        <v>92</v>
      </c>
      <c r="BM246" s="25" t="s">
        <v>1219</v>
      </c>
      <c r="BN246" s="27">
        <v>51000000</v>
      </c>
      <c r="BO246" s="27">
        <v>20000000</v>
      </c>
      <c r="BP246" s="27">
        <v>0</v>
      </c>
      <c r="BQ246" s="27">
        <v>0</v>
      </c>
      <c r="BR246" s="27">
        <f t="shared" ref="BR246:BS246" si="880">+BN246+BP246</f>
        <v>51000000</v>
      </c>
      <c r="BS246" s="27">
        <f t="shared" si="880"/>
        <v>20000000</v>
      </c>
      <c r="BT246" s="20">
        <f t="shared" si="13"/>
        <v>0.39215686274509803</v>
      </c>
      <c r="BU246" s="27">
        <v>51000000</v>
      </c>
      <c r="BV246" s="27">
        <v>51000000</v>
      </c>
      <c r="BW246" s="27">
        <v>51000000</v>
      </c>
      <c r="BX246" s="27">
        <v>51000000</v>
      </c>
      <c r="BY246" s="28">
        <f t="shared" si="149"/>
        <v>1</v>
      </c>
      <c r="BZ246" s="27">
        <v>100000000</v>
      </c>
      <c r="CA246" s="20">
        <v>102000000</v>
      </c>
      <c r="CB246" s="29">
        <v>104040000</v>
      </c>
      <c r="CC246" s="29">
        <v>107161200</v>
      </c>
      <c r="CD246" s="29">
        <v>413201200</v>
      </c>
    </row>
    <row r="247" spans="1:82" ht="42" customHeight="1">
      <c r="A247" s="12" t="s">
        <v>851</v>
      </c>
      <c r="B247" s="13">
        <v>0.432</v>
      </c>
      <c r="C247" s="12"/>
      <c r="D247" s="14">
        <v>43</v>
      </c>
      <c r="E247" s="14">
        <v>4301</v>
      </c>
      <c r="F247" s="65">
        <v>26</v>
      </c>
      <c r="G247" s="65" t="s">
        <v>1149</v>
      </c>
      <c r="H247" s="14"/>
      <c r="I247" s="14">
        <v>26.4</v>
      </c>
      <c r="J247" s="14" t="s">
        <v>1220</v>
      </c>
      <c r="K247" s="14" t="s">
        <v>1221</v>
      </c>
      <c r="L247" s="66" t="s">
        <v>1222</v>
      </c>
      <c r="M247" s="14" t="s">
        <v>1223</v>
      </c>
      <c r="N247" s="20">
        <v>0.77</v>
      </c>
      <c r="O247" s="16">
        <v>4301006</v>
      </c>
      <c r="P247" s="17">
        <v>2024257990035</v>
      </c>
      <c r="Q247" s="14" t="s">
        <v>1187</v>
      </c>
      <c r="R247" s="18">
        <v>246</v>
      </c>
      <c r="S247" s="14" t="s">
        <v>1224</v>
      </c>
      <c r="T247" s="14">
        <v>0</v>
      </c>
      <c r="U247" s="14" t="s">
        <v>88</v>
      </c>
      <c r="V247" s="14" t="s">
        <v>89</v>
      </c>
      <c r="W247" s="14" t="s">
        <v>1225</v>
      </c>
      <c r="X247" s="14" t="s">
        <v>567</v>
      </c>
      <c r="Y247" s="22"/>
      <c r="Z247" s="20">
        <f t="shared" si="877"/>
        <v>0.35000000000000003</v>
      </c>
      <c r="AA247" s="20">
        <f t="shared" si="1"/>
        <v>0</v>
      </c>
      <c r="AB247" s="20">
        <f t="shared" si="2"/>
        <v>1.1428571428571426</v>
      </c>
      <c r="AC247" s="21"/>
      <c r="AD247" s="21"/>
      <c r="AE247" s="21">
        <f t="shared" si="3"/>
        <v>0.39999999999999986</v>
      </c>
      <c r="AF247" s="24">
        <v>0</v>
      </c>
      <c r="AG247" s="24">
        <v>0.2</v>
      </c>
      <c r="AH247" s="24">
        <v>0.1</v>
      </c>
      <c r="AI247" s="24">
        <v>0.05</v>
      </c>
      <c r="AJ247" s="26"/>
      <c r="AK247" s="26"/>
      <c r="AL247" s="26"/>
      <c r="AM247" s="26"/>
      <c r="AN247" s="34">
        <v>0</v>
      </c>
      <c r="AO247" s="34">
        <v>0</v>
      </c>
      <c r="AP247" s="34">
        <v>0</v>
      </c>
      <c r="AQ247" s="34">
        <v>0</v>
      </c>
      <c r="AR247" s="34">
        <v>0</v>
      </c>
      <c r="AS247" s="34">
        <f>(AK247+AM247+AO247+AQ247)/2</f>
        <v>0</v>
      </c>
      <c r="AT247" s="24">
        <f t="shared" si="879"/>
        <v>0</v>
      </c>
      <c r="AU247" s="23" t="str">
        <f>IF(AR247&gt; 1, IF(AR247 = AS247, "100%", AR247 &amp; "%"), IF(AR247 &lt;= 0.01, "0%", AR247 * 100 &amp; "%"))</f>
        <v>0%</v>
      </c>
      <c r="AV247" s="24">
        <f t="shared" si="808"/>
        <v>0</v>
      </c>
      <c r="AW247" s="26" t="s">
        <v>192</v>
      </c>
      <c r="AX247" s="30" t="s">
        <v>1226</v>
      </c>
      <c r="AY247" s="24">
        <v>0.02</v>
      </c>
      <c r="AZ247" s="24">
        <v>0.02</v>
      </c>
      <c r="BA247" s="24">
        <v>0.02</v>
      </c>
      <c r="BB247" s="24">
        <v>0.02</v>
      </c>
      <c r="BC247" s="24">
        <v>0.04</v>
      </c>
      <c r="BD247" s="24">
        <v>0.04</v>
      </c>
      <c r="BE247" s="24">
        <v>0.12</v>
      </c>
      <c r="BF247" s="26"/>
      <c r="BG247" s="20">
        <f t="shared" ref="BG247:BH247" si="881">(AY247+BA247+BC247+BE247)</f>
        <v>0.2</v>
      </c>
      <c r="BH247" s="20">
        <f t="shared" si="881"/>
        <v>0.08</v>
      </c>
      <c r="BI247" s="20">
        <f t="shared" si="851"/>
        <v>0.39999999999999997</v>
      </c>
      <c r="BJ247" s="23" t="str">
        <f t="shared" si="852"/>
        <v>100%</v>
      </c>
      <c r="BK247" s="24">
        <f t="shared" si="853"/>
        <v>0.39999999999999997</v>
      </c>
      <c r="BL247" s="22" t="s">
        <v>92</v>
      </c>
      <c r="BM247" s="25" t="s">
        <v>1226</v>
      </c>
      <c r="BN247" s="27">
        <v>80000000</v>
      </c>
      <c r="BO247" s="27">
        <v>20000000</v>
      </c>
      <c r="BP247" s="27">
        <v>0</v>
      </c>
      <c r="BQ247" s="27">
        <v>0</v>
      </c>
      <c r="BR247" s="27">
        <f t="shared" ref="BR247:BS247" si="882">+BN247+BP247</f>
        <v>80000000</v>
      </c>
      <c r="BS247" s="27">
        <f t="shared" si="882"/>
        <v>20000000</v>
      </c>
      <c r="BT247" s="20">
        <f t="shared" si="13"/>
        <v>0.25</v>
      </c>
      <c r="BU247" s="27">
        <v>50000000</v>
      </c>
      <c r="BV247" s="27">
        <v>80000000</v>
      </c>
      <c r="BW247" s="27">
        <v>80000000</v>
      </c>
      <c r="BX247" s="27">
        <v>80000000</v>
      </c>
      <c r="BY247" s="28">
        <f t="shared" si="149"/>
        <v>1</v>
      </c>
      <c r="BZ247" s="27">
        <v>0</v>
      </c>
      <c r="CA247" s="20">
        <v>70000000</v>
      </c>
      <c r="CB247" s="29">
        <v>0</v>
      </c>
      <c r="CC247" s="29">
        <v>0</v>
      </c>
      <c r="CD247" s="29">
        <v>70000000</v>
      </c>
    </row>
    <row r="248" spans="1:82" ht="42" customHeight="1">
      <c r="A248" s="12" t="s">
        <v>851</v>
      </c>
      <c r="B248" s="13">
        <v>0.432</v>
      </c>
      <c r="C248" s="12"/>
      <c r="D248" s="14">
        <v>43</v>
      </c>
      <c r="E248" s="14">
        <v>4301</v>
      </c>
      <c r="F248" s="65">
        <v>26</v>
      </c>
      <c r="G248" s="65" t="s">
        <v>1149</v>
      </c>
      <c r="H248" s="14"/>
      <c r="I248" s="14">
        <v>26.4</v>
      </c>
      <c r="J248" s="14" t="s">
        <v>1220</v>
      </c>
      <c r="K248" s="14" t="s">
        <v>1221</v>
      </c>
      <c r="L248" s="14" t="s">
        <v>1222</v>
      </c>
      <c r="M248" s="14" t="s">
        <v>1223</v>
      </c>
      <c r="N248" s="20">
        <v>0.77</v>
      </c>
      <c r="O248" s="16">
        <v>4301035</v>
      </c>
      <c r="P248" s="17">
        <v>2024257990035</v>
      </c>
      <c r="Q248" s="14" t="s">
        <v>1187</v>
      </c>
      <c r="R248" s="18">
        <v>247</v>
      </c>
      <c r="S248" s="14" t="s">
        <v>1227</v>
      </c>
      <c r="T248" s="14">
        <v>7</v>
      </c>
      <c r="U248" s="14" t="s">
        <v>88</v>
      </c>
      <c r="V248" s="14" t="s">
        <v>114</v>
      </c>
      <c r="W248" s="14" t="s">
        <v>1228</v>
      </c>
      <c r="X248" s="14" t="s">
        <v>567</v>
      </c>
      <c r="Y248" s="22"/>
      <c r="Z248" s="18">
        <f t="shared" si="877"/>
        <v>8</v>
      </c>
      <c r="AA248" s="20">
        <f t="shared" si="1"/>
        <v>6.25E-2</v>
      </c>
      <c r="AB248" s="20">
        <f t="shared" si="2"/>
        <v>6.25E-2</v>
      </c>
      <c r="AC248" s="21"/>
      <c r="AD248" s="21"/>
      <c r="AE248" s="21">
        <f t="shared" si="3"/>
        <v>3.125E-2</v>
      </c>
      <c r="AF248" s="22">
        <v>2</v>
      </c>
      <c r="AG248" s="22">
        <v>2</v>
      </c>
      <c r="AH248" s="22">
        <v>2</v>
      </c>
      <c r="AI248" s="22">
        <v>2</v>
      </c>
      <c r="AJ248" s="26"/>
      <c r="AK248" s="26"/>
      <c r="AL248" s="26"/>
      <c r="AM248" s="26"/>
      <c r="AN248" s="44">
        <v>1E-3</v>
      </c>
      <c r="AO248" s="26">
        <v>0</v>
      </c>
      <c r="AP248" s="26">
        <v>2</v>
      </c>
      <c r="AQ248" s="26">
        <v>1</v>
      </c>
      <c r="AR248" s="22">
        <f t="shared" ref="AR248:AS248" si="883">(AJ248+AL248+AN248+AP248)/2</f>
        <v>1.0004999999999999</v>
      </c>
      <c r="AS248" s="22">
        <f t="shared" si="883"/>
        <v>0.5</v>
      </c>
      <c r="AT248" s="22">
        <f>AS248/AR248</f>
        <v>0.49975012493753124</v>
      </c>
      <c r="AU248" s="23" t="str">
        <f>MIN((AR248 /AR248) * 100, 100) &amp; "%"</f>
        <v>100%</v>
      </c>
      <c r="AV248" s="24">
        <f t="shared" si="808"/>
        <v>0.49975012493753124</v>
      </c>
      <c r="AW248" s="14" t="s">
        <v>92</v>
      </c>
      <c r="AX248" s="30" t="s">
        <v>1229</v>
      </c>
      <c r="AY248" s="26">
        <v>0</v>
      </c>
      <c r="AZ248" s="26">
        <v>0</v>
      </c>
      <c r="BA248" s="26">
        <v>0</v>
      </c>
      <c r="BB248" s="26">
        <v>0</v>
      </c>
      <c r="BC248" s="26">
        <v>1</v>
      </c>
      <c r="BD248" s="26">
        <v>1</v>
      </c>
      <c r="BE248" s="26">
        <v>1</v>
      </c>
      <c r="BF248" s="26"/>
      <c r="BG248" s="22">
        <f t="shared" ref="BG248:BH248" si="884">(AY248+BA248+BC248+BE248)</f>
        <v>2</v>
      </c>
      <c r="BH248" s="22">
        <f t="shared" si="884"/>
        <v>1</v>
      </c>
      <c r="BI248" s="22">
        <f t="shared" si="851"/>
        <v>0.5</v>
      </c>
      <c r="BJ248" s="23" t="str">
        <f t="shared" si="852"/>
        <v>100%</v>
      </c>
      <c r="BK248" s="24">
        <f t="shared" si="853"/>
        <v>0.5</v>
      </c>
      <c r="BL248" s="22" t="s">
        <v>92</v>
      </c>
      <c r="BM248" s="25" t="s">
        <v>1229</v>
      </c>
      <c r="BN248" s="27">
        <v>25000000</v>
      </c>
      <c r="BO248" s="27">
        <v>5000000</v>
      </c>
      <c r="BP248" s="27">
        <v>0</v>
      </c>
      <c r="BQ248" s="27">
        <v>0</v>
      </c>
      <c r="BR248" s="27">
        <f t="shared" ref="BR248:BS248" si="885">+BN248+BP248</f>
        <v>25000000</v>
      </c>
      <c r="BS248" s="27">
        <f t="shared" si="885"/>
        <v>5000000</v>
      </c>
      <c r="BT248" s="20">
        <f t="shared" si="13"/>
        <v>0.2</v>
      </c>
      <c r="BU248" s="27">
        <v>25000000</v>
      </c>
      <c r="BV248" s="27">
        <v>25000000</v>
      </c>
      <c r="BW248" s="27">
        <v>25000000</v>
      </c>
      <c r="BX248" s="27">
        <v>25000000</v>
      </c>
      <c r="BY248" s="28">
        <f t="shared" si="149"/>
        <v>1</v>
      </c>
      <c r="BZ248" s="27">
        <v>25000000</v>
      </c>
      <c r="CA248" s="20">
        <v>25500000</v>
      </c>
      <c r="CB248" s="29">
        <v>26010000</v>
      </c>
      <c r="CC248" s="29">
        <v>26790300</v>
      </c>
      <c r="CD248" s="29">
        <v>103300300</v>
      </c>
    </row>
    <row r="249" spans="1:82" ht="42" customHeight="1">
      <c r="A249" s="12" t="s">
        <v>851</v>
      </c>
      <c r="B249" s="13">
        <v>0.432</v>
      </c>
      <c r="C249" s="12"/>
      <c r="D249" s="14">
        <v>43</v>
      </c>
      <c r="E249" s="14">
        <v>4301</v>
      </c>
      <c r="F249" s="65">
        <v>26</v>
      </c>
      <c r="G249" s="65" t="s">
        <v>1149</v>
      </c>
      <c r="H249" s="14"/>
      <c r="I249" s="14">
        <v>26.4</v>
      </c>
      <c r="J249" s="14" t="s">
        <v>1220</v>
      </c>
      <c r="K249" s="14" t="s">
        <v>1221</v>
      </c>
      <c r="L249" s="14" t="s">
        <v>1222</v>
      </c>
      <c r="M249" s="14" t="s">
        <v>1223</v>
      </c>
      <c r="N249" s="20">
        <v>0.77</v>
      </c>
      <c r="O249" s="16">
        <v>4301006</v>
      </c>
      <c r="P249" s="17">
        <v>2024257990035</v>
      </c>
      <c r="Q249" s="14" t="s">
        <v>1187</v>
      </c>
      <c r="R249" s="18">
        <v>248</v>
      </c>
      <c r="S249" s="14" t="s">
        <v>1230</v>
      </c>
      <c r="T249" s="14">
        <v>0</v>
      </c>
      <c r="U249" s="14" t="s">
        <v>88</v>
      </c>
      <c r="V249" s="14" t="s">
        <v>89</v>
      </c>
      <c r="W249" s="14" t="s">
        <v>350</v>
      </c>
      <c r="X249" s="14" t="s">
        <v>567</v>
      </c>
      <c r="Y249" s="22"/>
      <c r="Z249" s="18">
        <f t="shared" si="877"/>
        <v>1</v>
      </c>
      <c r="AA249" s="20">
        <f t="shared" si="1"/>
        <v>0</v>
      </c>
      <c r="AB249" s="20" t="e">
        <f t="shared" si="2"/>
        <v>#DIV/0!</v>
      </c>
      <c r="AC249" s="21"/>
      <c r="AD249" s="21"/>
      <c r="AE249" s="21" t="e">
        <f t="shared" si="3"/>
        <v>#DIV/0!</v>
      </c>
      <c r="AF249" s="22">
        <v>0</v>
      </c>
      <c r="AG249" s="29">
        <v>1</v>
      </c>
      <c r="AH249" s="22">
        <v>0</v>
      </c>
      <c r="AI249" s="22">
        <v>0</v>
      </c>
      <c r="AJ249" s="26"/>
      <c r="AK249" s="26"/>
      <c r="AL249" s="26"/>
      <c r="AM249" s="26"/>
      <c r="AN249" s="34">
        <v>0</v>
      </c>
      <c r="AO249" s="34">
        <v>0</v>
      </c>
      <c r="AP249" s="34">
        <v>0</v>
      </c>
      <c r="AQ249" s="34">
        <v>0</v>
      </c>
      <c r="AR249" s="34">
        <v>0</v>
      </c>
      <c r="AS249" s="34">
        <f>(AK249+AM249+AO249+AQ249)/2</f>
        <v>0</v>
      </c>
      <c r="AT249" s="24">
        <f>IF(AQ249=0, 0, AR249/AQ249)</f>
        <v>0</v>
      </c>
      <c r="AU249" s="23" t="str">
        <f>IF(AR249&gt; 1, IF(AR249 = AS249, "100%", AR249 &amp; "%"), IF(AR249 &lt;= 0.01, "0%", AR249 * 100 &amp; "%"))</f>
        <v>0%</v>
      </c>
      <c r="AV249" s="24">
        <f t="shared" si="808"/>
        <v>0</v>
      </c>
      <c r="AW249" s="26" t="s">
        <v>192</v>
      </c>
      <c r="AX249" s="47" t="s">
        <v>1231</v>
      </c>
      <c r="AY249" s="46">
        <v>0</v>
      </c>
      <c r="AZ249" s="26">
        <v>0</v>
      </c>
      <c r="BA249" s="26">
        <v>0</v>
      </c>
      <c r="BB249" s="26">
        <v>0</v>
      </c>
      <c r="BC249" s="26">
        <v>0</v>
      </c>
      <c r="BD249" s="26">
        <v>0</v>
      </c>
      <c r="BE249" s="26">
        <v>0</v>
      </c>
      <c r="BF249" s="26"/>
      <c r="BG249" s="22">
        <f t="shared" ref="BG249:BH249" si="886">(AY249+BA249+BC249+BE249)</f>
        <v>0</v>
      </c>
      <c r="BH249" s="22">
        <f t="shared" si="886"/>
        <v>0</v>
      </c>
      <c r="BI249" s="22" t="e">
        <f t="shared" si="851"/>
        <v>#DIV/0!</v>
      </c>
      <c r="BJ249" s="23" t="e">
        <f t="shared" si="852"/>
        <v>#DIV/0!</v>
      </c>
      <c r="BK249" s="24">
        <f t="shared" si="853"/>
        <v>0</v>
      </c>
      <c r="BL249" s="22" t="s">
        <v>192</v>
      </c>
      <c r="BM249" s="25" t="s">
        <v>1231</v>
      </c>
      <c r="BN249" s="27">
        <v>80000000</v>
      </c>
      <c r="BO249" s="27">
        <v>20000000</v>
      </c>
      <c r="BP249" s="27">
        <v>0</v>
      </c>
      <c r="BQ249" s="27">
        <v>0</v>
      </c>
      <c r="BR249" s="27">
        <f t="shared" ref="BR249:BS249" si="887">+BN249+BP249</f>
        <v>80000000</v>
      </c>
      <c r="BS249" s="27">
        <f t="shared" si="887"/>
        <v>20000000</v>
      </c>
      <c r="BT249" s="20">
        <f t="shared" si="13"/>
        <v>0.25</v>
      </c>
      <c r="BU249" s="27">
        <v>50000000</v>
      </c>
      <c r="BV249" s="27">
        <v>80000000</v>
      </c>
      <c r="BW249" s="27">
        <v>80000000</v>
      </c>
      <c r="BX249" s="27">
        <v>80000000</v>
      </c>
      <c r="BY249" s="28">
        <f t="shared" si="149"/>
        <v>1</v>
      </c>
      <c r="BZ249" s="27">
        <v>0</v>
      </c>
      <c r="CA249" s="20">
        <v>70000000</v>
      </c>
      <c r="CB249" s="29">
        <v>0</v>
      </c>
      <c r="CC249" s="29">
        <v>0</v>
      </c>
      <c r="CD249" s="29">
        <v>70000000</v>
      </c>
    </row>
    <row r="250" spans="1:82" ht="45" customHeight="1">
      <c r="A250" s="12" t="s">
        <v>851</v>
      </c>
      <c r="B250" s="13">
        <v>0.432</v>
      </c>
      <c r="C250" s="12"/>
      <c r="D250" s="14">
        <v>41</v>
      </c>
      <c r="E250" s="14">
        <v>4102</v>
      </c>
      <c r="F250" s="65">
        <v>27</v>
      </c>
      <c r="G250" s="14" t="s">
        <v>1232</v>
      </c>
      <c r="H250" s="14"/>
      <c r="I250" s="14">
        <v>27.1</v>
      </c>
      <c r="J250" s="14" t="s">
        <v>1233</v>
      </c>
      <c r="K250" s="14" t="s">
        <v>1234</v>
      </c>
      <c r="L250" s="14" t="s">
        <v>1235</v>
      </c>
      <c r="M250" s="14" t="s">
        <v>1236</v>
      </c>
      <c r="N250" s="14" t="s">
        <v>1237</v>
      </c>
      <c r="O250" s="16">
        <v>4102051</v>
      </c>
      <c r="P250" s="17">
        <v>2024257990036</v>
      </c>
      <c r="Q250" s="14" t="s">
        <v>1238</v>
      </c>
      <c r="R250" s="18">
        <v>249</v>
      </c>
      <c r="S250" s="14" t="s">
        <v>1239</v>
      </c>
      <c r="T250" s="20">
        <v>0.2</v>
      </c>
      <c r="U250" s="14" t="s">
        <v>109</v>
      </c>
      <c r="V250" s="14" t="s">
        <v>89</v>
      </c>
      <c r="W250" s="14" t="s">
        <v>1240</v>
      </c>
      <c r="X250" s="14" t="s">
        <v>584</v>
      </c>
      <c r="Y250" s="22" t="s">
        <v>124</v>
      </c>
      <c r="Z250" s="20">
        <f t="shared" si="877"/>
        <v>0.45</v>
      </c>
      <c r="AA250" s="20">
        <f t="shared" si="1"/>
        <v>7.2222222222222229E-2</v>
      </c>
      <c r="AB250" s="20">
        <f t="shared" si="2"/>
        <v>1.8803418803418803</v>
      </c>
      <c r="AC250" s="21"/>
      <c r="AD250" s="21"/>
      <c r="AE250" s="21">
        <f t="shared" si="3"/>
        <v>0.66895299145299147</v>
      </c>
      <c r="AF250" s="20">
        <v>7.0000000000000007E-2</v>
      </c>
      <c r="AG250" s="20">
        <v>0.13</v>
      </c>
      <c r="AH250" s="20">
        <v>0.13</v>
      </c>
      <c r="AI250" s="20">
        <v>0.12</v>
      </c>
      <c r="AJ250" s="26"/>
      <c r="AK250" s="26"/>
      <c r="AL250" s="26"/>
      <c r="AM250" s="26"/>
      <c r="AN250" s="24">
        <v>0.05</v>
      </c>
      <c r="AO250" s="24">
        <v>0.05</v>
      </c>
      <c r="AP250" s="24">
        <v>0.02</v>
      </c>
      <c r="AQ250" s="24">
        <v>1.4999999999999999E-2</v>
      </c>
      <c r="AR250" s="24">
        <f t="shared" ref="AR250:AS250" si="888">(AJ250+AL250+AN250+AP250)/2</f>
        <v>3.5000000000000003E-2</v>
      </c>
      <c r="AS250" s="24">
        <f t="shared" si="888"/>
        <v>3.2500000000000001E-2</v>
      </c>
      <c r="AT250" s="22">
        <f t="shared" ref="AT250:AT257" si="889">AS250/AR250</f>
        <v>0.92857142857142849</v>
      </c>
      <c r="AU250" s="23" t="str">
        <f t="shared" ref="AU250:AU257" si="890">MIN((AR250 /AR250) * 100, 100) &amp; "%"</f>
        <v>100%</v>
      </c>
      <c r="AV250" s="24">
        <f t="shared" si="808"/>
        <v>0.92857142857142849</v>
      </c>
      <c r="AW250" s="14" t="s">
        <v>92</v>
      </c>
      <c r="AX250" s="30" t="s">
        <v>1241</v>
      </c>
      <c r="AY250" s="24">
        <v>0.02</v>
      </c>
      <c r="AZ250" s="24">
        <v>0.02</v>
      </c>
      <c r="BA250" s="24">
        <v>0.03</v>
      </c>
      <c r="BB250" s="24">
        <v>0.03</v>
      </c>
      <c r="BC250" s="24">
        <v>0.06</v>
      </c>
      <c r="BD250" s="24">
        <v>0.06</v>
      </c>
      <c r="BE250" s="24">
        <v>0.02</v>
      </c>
      <c r="BF250" s="26"/>
      <c r="BG250" s="20">
        <f t="shared" ref="BG250:BH250" si="891">(AY250+BA250+BC250+BE250)</f>
        <v>0.13</v>
      </c>
      <c r="BH250" s="20">
        <f t="shared" si="891"/>
        <v>0.11</v>
      </c>
      <c r="BI250" s="20">
        <f t="shared" si="851"/>
        <v>0.84615384615384615</v>
      </c>
      <c r="BJ250" s="23" t="str">
        <f t="shared" si="852"/>
        <v>100%</v>
      </c>
      <c r="BK250" s="24">
        <f t="shared" si="853"/>
        <v>0.84615384615384615</v>
      </c>
      <c r="BL250" s="22" t="s">
        <v>92</v>
      </c>
      <c r="BM250" s="25" t="s">
        <v>1241</v>
      </c>
      <c r="BN250" s="27">
        <v>149000000</v>
      </c>
      <c r="BO250" s="27">
        <v>69200000</v>
      </c>
      <c r="BP250" s="27">
        <v>69039005</v>
      </c>
      <c r="BQ250" s="27">
        <v>69039005</v>
      </c>
      <c r="BR250" s="27">
        <f t="shared" ref="BR250:BS250" si="892">+BN250+BP250</f>
        <v>218039005</v>
      </c>
      <c r="BS250" s="27">
        <f t="shared" si="892"/>
        <v>138239005</v>
      </c>
      <c r="BT250" s="20">
        <f t="shared" si="13"/>
        <v>0.63401043771961807</v>
      </c>
      <c r="BU250" s="27">
        <v>149000000</v>
      </c>
      <c r="BV250" s="27">
        <v>114200000</v>
      </c>
      <c r="BW250" s="27">
        <v>74200000</v>
      </c>
      <c r="BX250" s="27">
        <v>37733333</v>
      </c>
      <c r="BY250" s="28">
        <f t="shared" si="149"/>
        <v>0.64973730297723298</v>
      </c>
      <c r="BZ250" s="27">
        <v>133000000</v>
      </c>
      <c r="CA250" s="20">
        <v>135660000</v>
      </c>
      <c r="CB250" s="29">
        <v>138373200</v>
      </c>
      <c r="CC250" s="29">
        <v>142524396</v>
      </c>
      <c r="CD250" s="29">
        <v>549557596</v>
      </c>
    </row>
    <row r="251" spans="1:82" ht="45" customHeight="1">
      <c r="A251" s="12" t="s">
        <v>851</v>
      </c>
      <c r="B251" s="13">
        <v>0.432</v>
      </c>
      <c r="C251" s="12"/>
      <c r="D251" s="14">
        <v>41</v>
      </c>
      <c r="E251" s="14">
        <v>4102</v>
      </c>
      <c r="F251" s="65">
        <v>27</v>
      </c>
      <c r="G251" s="14" t="s">
        <v>1232</v>
      </c>
      <c r="H251" s="14"/>
      <c r="I251" s="14">
        <v>27.1</v>
      </c>
      <c r="J251" s="14" t="s">
        <v>1233</v>
      </c>
      <c r="K251" s="14" t="s">
        <v>1234</v>
      </c>
      <c r="L251" s="14" t="s">
        <v>1235</v>
      </c>
      <c r="M251" s="14" t="s">
        <v>1236</v>
      </c>
      <c r="N251" s="14" t="s">
        <v>1237</v>
      </c>
      <c r="O251" s="16">
        <v>4102001</v>
      </c>
      <c r="P251" s="17">
        <v>2024257990036</v>
      </c>
      <c r="Q251" s="14" t="s">
        <v>1238</v>
      </c>
      <c r="R251" s="18">
        <v>250</v>
      </c>
      <c r="S251" s="14" t="s">
        <v>1242</v>
      </c>
      <c r="T251" s="20">
        <v>1</v>
      </c>
      <c r="U251" s="14" t="s">
        <v>109</v>
      </c>
      <c r="V251" s="14" t="s">
        <v>114</v>
      </c>
      <c r="W251" s="14" t="s">
        <v>1243</v>
      </c>
      <c r="X251" s="14" t="s">
        <v>584</v>
      </c>
      <c r="Y251" s="22" t="s">
        <v>124</v>
      </c>
      <c r="Z251" s="24">
        <f t="shared" ref="Z251:Z254" si="893">SUM(AF251:AI251)/4</f>
        <v>1</v>
      </c>
      <c r="AA251" s="20">
        <f t="shared" si="1"/>
        <v>0.48499999999999999</v>
      </c>
      <c r="AB251" s="20">
        <f t="shared" si="2"/>
        <v>0.8</v>
      </c>
      <c r="AC251" s="21"/>
      <c r="AD251" s="21"/>
      <c r="AE251" s="21">
        <f t="shared" si="3"/>
        <v>0.35274999999999995</v>
      </c>
      <c r="AF251" s="20">
        <v>1</v>
      </c>
      <c r="AG251" s="20">
        <v>1</v>
      </c>
      <c r="AH251" s="20">
        <v>1</v>
      </c>
      <c r="AI251" s="20">
        <v>1</v>
      </c>
      <c r="AJ251" s="26"/>
      <c r="AK251" s="26"/>
      <c r="AL251" s="26"/>
      <c r="AM251" s="26"/>
      <c r="AN251" s="24">
        <v>0.7</v>
      </c>
      <c r="AO251" s="24">
        <v>0.7</v>
      </c>
      <c r="AP251" s="24">
        <v>0.3</v>
      </c>
      <c r="AQ251" s="24">
        <v>0.27</v>
      </c>
      <c r="AR251" s="24">
        <f t="shared" ref="AR251:AS251" si="894">(AJ251+AL251+AN251+AP251)/2</f>
        <v>0.5</v>
      </c>
      <c r="AS251" s="24">
        <f t="shared" si="894"/>
        <v>0.48499999999999999</v>
      </c>
      <c r="AT251" s="24">
        <f t="shared" si="889"/>
        <v>0.97</v>
      </c>
      <c r="AU251" s="23" t="str">
        <f t="shared" si="890"/>
        <v>100%</v>
      </c>
      <c r="AV251" s="24">
        <f t="shared" si="808"/>
        <v>0.97</v>
      </c>
      <c r="AW251" s="14" t="s">
        <v>92</v>
      </c>
      <c r="AX251" s="30" t="s">
        <v>1244</v>
      </c>
      <c r="AY251" s="24">
        <v>0.1</v>
      </c>
      <c r="AZ251" s="24">
        <v>0.1</v>
      </c>
      <c r="BA251" s="24">
        <v>0.3</v>
      </c>
      <c r="BB251" s="24">
        <v>0.3</v>
      </c>
      <c r="BC251" s="24">
        <v>0.4</v>
      </c>
      <c r="BD251" s="24">
        <v>0.4</v>
      </c>
      <c r="BE251" s="24">
        <v>0.2</v>
      </c>
      <c r="BF251" s="26"/>
      <c r="BG251" s="20">
        <f t="shared" ref="BG251:BH251" si="895">(AY251+BA251+BC251+BE251)</f>
        <v>1</v>
      </c>
      <c r="BH251" s="20">
        <f t="shared" si="895"/>
        <v>0.8</v>
      </c>
      <c r="BI251" s="20">
        <f t="shared" si="851"/>
        <v>0.8</v>
      </c>
      <c r="BJ251" s="23" t="str">
        <f t="shared" si="852"/>
        <v>100%</v>
      </c>
      <c r="BK251" s="24">
        <f t="shared" si="853"/>
        <v>0.8</v>
      </c>
      <c r="BL251" s="22" t="s">
        <v>92</v>
      </c>
      <c r="BM251" s="25" t="s">
        <v>1244</v>
      </c>
      <c r="BN251" s="27">
        <v>320000000</v>
      </c>
      <c r="BO251" s="27">
        <v>215388332</v>
      </c>
      <c r="BP251" s="27">
        <v>65929101</v>
      </c>
      <c r="BQ251" s="27">
        <v>65929101</v>
      </c>
      <c r="BR251" s="27">
        <f t="shared" ref="BR251:BS251" si="896">+BN251+BP251</f>
        <v>385929101</v>
      </c>
      <c r="BS251" s="27">
        <f t="shared" si="896"/>
        <v>281317433</v>
      </c>
      <c r="BT251" s="20">
        <f t="shared" si="13"/>
        <v>0.72893552797926997</v>
      </c>
      <c r="BU251" s="27">
        <v>320000000</v>
      </c>
      <c r="BV251" s="27">
        <v>276800000</v>
      </c>
      <c r="BW251" s="27">
        <v>225738332</v>
      </c>
      <c r="BX251" s="27">
        <v>154931664</v>
      </c>
      <c r="BY251" s="28">
        <f t="shared" si="149"/>
        <v>0.8155286560693642</v>
      </c>
      <c r="BZ251" s="27">
        <v>225000000</v>
      </c>
      <c r="CA251" s="20">
        <v>229500000</v>
      </c>
      <c r="CB251" s="29">
        <v>234090000</v>
      </c>
      <c r="CC251" s="29">
        <v>241112700</v>
      </c>
      <c r="CD251" s="29">
        <v>929702700</v>
      </c>
    </row>
    <row r="252" spans="1:82" ht="45" customHeight="1">
      <c r="A252" s="12" t="s">
        <v>851</v>
      </c>
      <c r="B252" s="13">
        <v>0.432</v>
      </c>
      <c r="C252" s="12"/>
      <c r="D252" s="14">
        <v>41</v>
      </c>
      <c r="E252" s="14">
        <v>4102</v>
      </c>
      <c r="F252" s="65">
        <v>27</v>
      </c>
      <c r="G252" s="14" t="s">
        <v>1232</v>
      </c>
      <c r="H252" s="14"/>
      <c r="I252" s="14">
        <v>27.1</v>
      </c>
      <c r="J252" s="14" t="s">
        <v>1233</v>
      </c>
      <c r="K252" s="14" t="s">
        <v>1234</v>
      </c>
      <c r="L252" s="14" t="s">
        <v>1235</v>
      </c>
      <c r="M252" s="14" t="s">
        <v>1236</v>
      </c>
      <c r="N252" s="14" t="s">
        <v>1237</v>
      </c>
      <c r="O252" s="16">
        <v>4102001</v>
      </c>
      <c r="P252" s="17">
        <v>2024257990036</v>
      </c>
      <c r="Q252" s="14" t="s">
        <v>1238</v>
      </c>
      <c r="R252" s="18">
        <v>251</v>
      </c>
      <c r="S252" s="14" t="s">
        <v>1245</v>
      </c>
      <c r="T252" s="20">
        <v>1</v>
      </c>
      <c r="U252" s="14" t="s">
        <v>109</v>
      </c>
      <c r="V252" s="14" t="s">
        <v>114</v>
      </c>
      <c r="W252" s="14" t="s">
        <v>1246</v>
      </c>
      <c r="X252" s="14" t="s">
        <v>584</v>
      </c>
      <c r="Y252" s="22"/>
      <c r="Z252" s="24">
        <f t="shared" si="893"/>
        <v>1</v>
      </c>
      <c r="AA252" s="20">
        <f t="shared" si="1"/>
        <v>0.49</v>
      </c>
      <c r="AB252" s="20">
        <f t="shared" si="2"/>
        <v>0.48</v>
      </c>
      <c r="AC252" s="21"/>
      <c r="AD252" s="21"/>
      <c r="AE252" s="21">
        <f t="shared" si="3"/>
        <v>0.24149999999999999</v>
      </c>
      <c r="AF252" s="20">
        <v>1</v>
      </c>
      <c r="AG252" s="20">
        <v>1</v>
      </c>
      <c r="AH252" s="20">
        <v>1</v>
      </c>
      <c r="AI252" s="20">
        <v>1</v>
      </c>
      <c r="AJ252" s="26"/>
      <c r="AK252" s="26"/>
      <c r="AL252" s="26"/>
      <c r="AM252" s="26"/>
      <c r="AN252" s="24">
        <v>0.7</v>
      </c>
      <c r="AO252" s="24">
        <v>0.7</v>
      </c>
      <c r="AP252" s="24">
        <v>0.3</v>
      </c>
      <c r="AQ252" s="24">
        <v>0.28000000000000003</v>
      </c>
      <c r="AR252" s="24">
        <f t="shared" ref="AR252:AS252" si="897">(AJ252+AL252+AN252+AP252)/2</f>
        <v>0.5</v>
      </c>
      <c r="AS252" s="24">
        <f t="shared" si="897"/>
        <v>0.49</v>
      </c>
      <c r="AT252" s="24">
        <f t="shared" si="889"/>
        <v>0.98</v>
      </c>
      <c r="AU252" s="23" t="str">
        <f t="shared" si="890"/>
        <v>100%</v>
      </c>
      <c r="AV252" s="24">
        <f t="shared" si="808"/>
        <v>0.98</v>
      </c>
      <c r="AW252" s="14" t="s">
        <v>92</v>
      </c>
      <c r="AX252" s="30" t="s">
        <v>1247</v>
      </c>
      <c r="AY252" s="24">
        <v>0.18</v>
      </c>
      <c r="AZ252" s="24">
        <v>0.18</v>
      </c>
      <c r="BA252" s="24">
        <v>0.3</v>
      </c>
      <c r="BB252" s="24">
        <v>0.3</v>
      </c>
      <c r="BC252" s="24">
        <v>0.3</v>
      </c>
      <c r="BD252" s="26"/>
      <c r="BE252" s="24">
        <v>0.22</v>
      </c>
      <c r="BF252" s="26"/>
      <c r="BG252" s="20">
        <f t="shared" ref="BG252:BH252" si="898">(AY252+BA252+BC252+BE252)</f>
        <v>1</v>
      </c>
      <c r="BH252" s="20">
        <f t="shared" si="898"/>
        <v>0.48</v>
      </c>
      <c r="BI252" s="20">
        <f t="shared" si="851"/>
        <v>0.48</v>
      </c>
      <c r="BJ252" s="23" t="str">
        <f t="shared" si="852"/>
        <v>100%</v>
      </c>
      <c r="BK252" s="24">
        <f t="shared" si="853"/>
        <v>0.48</v>
      </c>
      <c r="BL252" s="22" t="s">
        <v>92</v>
      </c>
      <c r="BM252" s="25" t="s">
        <v>1247</v>
      </c>
      <c r="BN252" s="27">
        <v>103000000</v>
      </c>
      <c r="BO252" s="27">
        <v>55160000</v>
      </c>
      <c r="BP252" s="27">
        <v>41157728</v>
      </c>
      <c r="BQ252" s="27">
        <v>41157728</v>
      </c>
      <c r="BR252" s="27">
        <f t="shared" ref="BR252:BS252" si="899">+BN252+BP252</f>
        <v>144157728</v>
      </c>
      <c r="BS252" s="27">
        <f t="shared" si="899"/>
        <v>96317728</v>
      </c>
      <c r="BT252" s="20">
        <f t="shared" si="13"/>
        <v>0.66814127370264886</v>
      </c>
      <c r="BU252" s="27">
        <v>103000000</v>
      </c>
      <c r="BV252" s="27">
        <v>98100000</v>
      </c>
      <c r="BW252" s="27">
        <v>78072559</v>
      </c>
      <c r="BX252" s="27">
        <v>56499226</v>
      </c>
      <c r="BY252" s="28">
        <f t="shared" si="149"/>
        <v>0.7958466768603466</v>
      </c>
      <c r="BZ252" s="27">
        <v>64000000</v>
      </c>
      <c r="CA252" s="20">
        <v>65280000</v>
      </c>
      <c r="CB252" s="29">
        <v>66585600</v>
      </c>
      <c r="CC252" s="29">
        <v>68583168</v>
      </c>
      <c r="CD252" s="29">
        <v>264448768</v>
      </c>
    </row>
    <row r="253" spans="1:82" ht="45" customHeight="1">
      <c r="A253" s="12" t="s">
        <v>851</v>
      </c>
      <c r="B253" s="13">
        <v>0.432</v>
      </c>
      <c r="C253" s="12"/>
      <c r="D253" s="14">
        <v>41</v>
      </c>
      <c r="E253" s="14">
        <v>4102</v>
      </c>
      <c r="F253" s="65">
        <v>27</v>
      </c>
      <c r="G253" s="14" t="s">
        <v>1232</v>
      </c>
      <c r="H253" s="14"/>
      <c r="I253" s="14">
        <v>27.1</v>
      </c>
      <c r="J253" s="14" t="s">
        <v>1233</v>
      </c>
      <c r="K253" s="14" t="s">
        <v>1234</v>
      </c>
      <c r="L253" s="14" t="s">
        <v>1235</v>
      </c>
      <c r="M253" s="14" t="s">
        <v>1236</v>
      </c>
      <c r="N253" s="14" t="s">
        <v>1237</v>
      </c>
      <c r="O253" s="16">
        <v>4102001</v>
      </c>
      <c r="P253" s="17">
        <v>2024257990036</v>
      </c>
      <c r="Q253" s="14" t="s">
        <v>1238</v>
      </c>
      <c r="R253" s="18">
        <v>252</v>
      </c>
      <c r="S253" s="14" t="s">
        <v>1248</v>
      </c>
      <c r="T253" s="20">
        <v>1</v>
      </c>
      <c r="U253" s="14" t="s">
        <v>109</v>
      </c>
      <c r="V253" s="14" t="s">
        <v>114</v>
      </c>
      <c r="W253" s="14" t="s">
        <v>1246</v>
      </c>
      <c r="X253" s="14" t="s">
        <v>584</v>
      </c>
      <c r="Y253" s="22" t="s">
        <v>124</v>
      </c>
      <c r="Z253" s="24">
        <f t="shared" si="893"/>
        <v>1</v>
      </c>
      <c r="AA253" s="20">
        <f t="shared" si="1"/>
        <v>0.495</v>
      </c>
      <c r="AB253" s="20">
        <f t="shared" si="2"/>
        <v>0.83</v>
      </c>
      <c r="AC253" s="21"/>
      <c r="AD253" s="21"/>
      <c r="AE253" s="21">
        <f t="shared" si="3"/>
        <v>0.36474999999999996</v>
      </c>
      <c r="AF253" s="20">
        <v>1</v>
      </c>
      <c r="AG253" s="20">
        <v>1</v>
      </c>
      <c r="AH253" s="20">
        <v>1</v>
      </c>
      <c r="AI253" s="20">
        <v>1</v>
      </c>
      <c r="AJ253" s="26"/>
      <c r="AK253" s="26"/>
      <c r="AL253" s="26"/>
      <c r="AM253" s="26"/>
      <c r="AN253" s="24">
        <v>0.7</v>
      </c>
      <c r="AO253" s="24">
        <v>0.7</v>
      </c>
      <c r="AP253" s="24">
        <v>0.3</v>
      </c>
      <c r="AQ253" s="24">
        <v>0.28999999999999998</v>
      </c>
      <c r="AR253" s="24">
        <f t="shared" ref="AR253:AS253" si="900">(AJ253+AL253+AN253+AP253)/2</f>
        <v>0.5</v>
      </c>
      <c r="AS253" s="24">
        <f t="shared" si="900"/>
        <v>0.495</v>
      </c>
      <c r="AT253" s="24">
        <f t="shared" si="889"/>
        <v>0.99</v>
      </c>
      <c r="AU253" s="23" t="str">
        <f t="shared" si="890"/>
        <v>100%</v>
      </c>
      <c r="AV253" s="24">
        <f t="shared" si="808"/>
        <v>0.99</v>
      </c>
      <c r="AW253" s="14" t="s">
        <v>92</v>
      </c>
      <c r="AX253" s="30" t="s">
        <v>1249</v>
      </c>
      <c r="AY253" s="24">
        <v>0.21</v>
      </c>
      <c r="AZ253" s="24">
        <v>0.21</v>
      </c>
      <c r="BA253" s="24">
        <v>0.26</v>
      </c>
      <c r="BB253" s="24">
        <v>0.26</v>
      </c>
      <c r="BC253" s="24">
        <v>0.36</v>
      </c>
      <c r="BD253" s="24">
        <v>0.36</v>
      </c>
      <c r="BE253" s="24">
        <v>0.17</v>
      </c>
      <c r="BF253" s="26"/>
      <c r="BG253" s="20">
        <f t="shared" ref="BG253:BH253" si="901">(AY253+BA253+BC253+BE253)</f>
        <v>1</v>
      </c>
      <c r="BH253" s="20">
        <f t="shared" si="901"/>
        <v>0.83</v>
      </c>
      <c r="BI253" s="20">
        <f t="shared" si="851"/>
        <v>0.83</v>
      </c>
      <c r="BJ253" s="23" t="str">
        <f t="shared" si="852"/>
        <v>100%</v>
      </c>
      <c r="BK253" s="24">
        <f t="shared" si="853"/>
        <v>0.83</v>
      </c>
      <c r="BL253" s="22" t="s">
        <v>92</v>
      </c>
      <c r="BM253" s="25" t="s">
        <v>1249</v>
      </c>
      <c r="BN253" s="27">
        <v>2501611121</v>
      </c>
      <c r="BO253" s="27">
        <v>2029694979</v>
      </c>
      <c r="BP253" s="27">
        <v>81109417</v>
      </c>
      <c r="BQ253" s="27">
        <v>81109417</v>
      </c>
      <c r="BR253" s="27">
        <f t="shared" ref="BR253:BS253" si="902">+BN253+BP253</f>
        <v>2582720538</v>
      </c>
      <c r="BS253" s="27">
        <f t="shared" si="902"/>
        <v>2110804396</v>
      </c>
      <c r="BT253" s="20">
        <f t="shared" si="13"/>
        <v>0.81727944039758904</v>
      </c>
      <c r="BU253" s="27">
        <v>2451611121</v>
      </c>
      <c r="BV253" s="27">
        <v>2521611121</v>
      </c>
      <c r="BW253" s="27">
        <v>2331021983</v>
      </c>
      <c r="BX253" s="27">
        <v>1931740205</v>
      </c>
      <c r="BY253" s="28">
        <f t="shared" si="149"/>
        <v>0.92441771198866785</v>
      </c>
      <c r="BZ253" s="27">
        <v>2200000000</v>
      </c>
      <c r="CA253" s="20">
        <v>2244000000</v>
      </c>
      <c r="CB253" s="29">
        <v>2288880000</v>
      </c>
      <c r="CC253" s="29">
        <v>2357546400</v>
      </c>
      <c r="CD253" s="29">
        <v>9090426400</v>
      </c>
    </row>
    <row r="254" spans="1:82" ht="45" customHeight="1">
      <c r="A254" s="12" t="s">
        <v>851</v>
      </c>
      <c r="B254" s="13">
        <v>0.432</v>
      </c>
      <c r="C254" s="12"/>
      <c r="D254" s="14">
        <v>41</v>
      </c>
      <c r="E254" s="14">
        <v>4102</v>
      </c>
      <c r="F254" s="65">
        <v>27</v>
      </c>
      <c r="G254" s="14" t="s">
        <v>1232</v>
      </c>
      <c r="H254" s="14"/>
      <c r="I254" s="14">
        <v>27.1</v>
      </c>
      <c r="J254" s="14" t="s">
        <v>1233</v>
      </c>
      <c r="K254" s="14" t="s">
        <v>1234</v>
      </c>
      <c r="L254" s="14" t="s">
        <v>1235</v>
      </c>
      <c r="M254" s="14" t="s">
        <v>1236</v>
      </c>
      <c r="N254" s="14" t="s">
        <v>1237</v>
      </c>
      <c r="O254" s="16">
        <v>4102038</v>
      </c>
      <c r="P254" s="17">
        <v>2024257990036</v>
      </c>
      <c r="Q254" s="14" t="s">
        <v>1238</v>
      </c>
      <c r="R254" s="18">
        <v>253</v>
      </c>
      <c r="S254" s="14" t="s">
        <v>1250</v>
      </c>
      <c r="T254" s="14">
        <v>1</v>
      </c>
      <c r="U254" s="14" t="s">
        <v>88</v>
      </c>
      <c r="V254" s="14" t="s">
        <v>114</v>
      </c>
      <c r="W254" s="14" t="s">
        <v>1251</v>
      </c>
      <c r="X254" s="14" t="s">
        <v>584</v>
      </c>
      <c r="Y254" s="22" t="s">
        <v>124</v>
      </c>
      <c r="Z254" s="14">
        <f t="shared" si="893"/>
        <v>2</v>
      </c>
      <c r="AA254" s="20">
        <f t="shared" si="1"/>
        <v>0.25</v>
      </c>
      <c r="AB254" s="20">
        <f t="shared" si="2"/>
        <v>0.4</v>
      </c>
      <c r="AC254" s="21"/>
      <c r="AD254" s="21"/>
      <c r="AE254" s="21">
        <f t="shared" si="3"/>
        <v>0.17749999999999999</v>
      </c>
      <c r="AF254" s="67">
        <v>2</v>
      </c>
      <c r="AG254" s="67">
        <v>2</v>
      </c>
      <c r="AH254" s="67">
        <v>2</v>
      </c>
      <c r="AI254" s="67">
        <v>2</v>
      </c>
      <c r="AJ254" s="26"/>
      <c r="AK254" s="26"/>
      <c r="AL254" s="26"/>
      <c r="AM254" s="26"/>
      <c r="AN254" s="24">
        <v>0.7</v>
      </c>
      <c r="AO254" s="24">
        <v>0.7</v>
      </c>
      <c r="AP254" s="24">
        <v>0.3</v>
      </c>
      <c r="AQ254" s="24">
        <v>0.3</v>
      </c>
      <c r="AR254" s="24">
        <f t="shared" ref="AR254:AS254" si="903">(AJ254+AL254+AN254+AP254)/2</f>
        <v>0.5</v>
      </c>
      <c r="AS254" s="24">
        <f t="shared" si="903"/>
        <v>0.5</v>
      </c>
      <c r="AT254" s="24">
        <f t="shared" si="889"/>
        <v>1</v>
      </c>
      <c r="AU254" s="23" t="str">
        <f t="shared" si="890"/>
        <v>100%</v>
      </c>
      <c r="AV254" s="24">
        <f t="shared" si="808"/>
        <v>1</v>
      </c>
      <c r="AW254" s="14" t="s">
        <v>92</v>
      </c>
      <c r="AX254" s="30" t="s">
        <v>1252</v>
      </c>
      <c r="AY254" s="26">
        <v>0</v>
      </c>
      <c r="AZ254" s="26">
        <v>0</v>
      </c>
      <c r="BA254" s="26">
        <v>0.7</v>
      </c>
      <c r="BB254" s="26">
        <v>0.7</v>
      </c>
      <c r="BC254" s="26">
        <v>0.9</v>
      </c>
      <c r="BD254" s="26">
        <v>0.9</v>
      </c>
      <c r="BE254" s="26">
        <v>0.4</v>
      </c>
      <c r="BF254" s="26"/>
      <c r="BG254" s="22">
        <f t="shared" ref="BG254:BH254" si="904">(AY254+BA254+BC254+BE254)</f>
        <v>2</v>
      </c>
      <c r="BH254" s="22">
        <f t="shared" si="904"/>
        <v>1.6</v>
      </c>
      <c r="BI254" s="22">
        <f t="shared" si="851"/>
        <v>0.8</v>
      </c>
      <c r="BJ254" s="23" t="str">
        <f t="shared" si="852"/>
        <v>100%</v>
      </c>
      <c r="BK254" s="24">
        <f t="shared" si="853"/>
        <v>0.8</v>
      </c>
      <c r="BL254" s="22" t="s">
        <v>92</v>
      </c>
      <c r="BM254" s="25" t="s">
        <v>1252</v>
      </c>
      <c r="BN254" s="27">
        <v>120000000</v>
      </c>
      <c r="BO254" s="27">
        <v>0</v>
      </c>
      <c r="BP254" s="27">
        <v>80124262</v>
      </c>
      <c r="BQ254" s="27">
        <v>80124262</v>
      </c>
      <c r="BR254" s="27">
        <f t="shared" ref="BR254:BS254" si="905">+BN254+BP254</f>
        <v>200124262</v>
      </c>
      <c r="BS254" s="27">
        <f t="shared" si="905"/>
        <v>80124262</v>
      </c>
      <c r="BT254" s="20">
        <f t="shared" si="13"/>
        <v>0.40037255452814613</v>
      </c>
      <c r="BU254" s="27">
        <v>120000000</v>
      </c>
      <c r="BV254" s="27">
        <v>120000000</v>
      </c>
      <c r="BW254" s="27">
        <v>119998990</v>
      </c>
      <c r="BX254" s="27">
        <v>75655920</v>
      </c>
      <c r="BY254" s="28">
        <f t="shared" si="149"/>
        <v>0.99999158333333338</v>
      </c>
      <c r="BZ254" s="27">
        <v>120000000</v>
      </c>
      <c r="CA254" s="20">
        <v>122400000</v>
      </c>
      <c r="CB254" s="29">
        <v>124848000</v>
      </c>
      <c r="CC254" s="29">
        <v>128593440</v>
      </c>
      <c r="CD254" s="29">
        <v>495841440</v>
      </c>
    </row>
    <row r="255" spans="1:82" ht="45" customHeight="1">
      <c r="A255" s="12" t="s">
        <v>851</v>
      </c>
      <c r="B255" s="13">
        <v>0.432</v>
      </c>
      <c r="C255" s="12"/>
      <c r="D255" s="14">
        <v>41</v>
      </c>
      <c r="E255" s="14">
        <v>4102</v>
      </c>
      <c r="F255" s="65">
        <v>27</v>
      </c>
      <c r="G255" s="14" t="s">
        <v>1232</v>
      </c>
      <c r="H255" s="14"/>
      <c r="I255" s="14">
        <v>27.1</v>
      </c>
      <c r="J255" s="14" t="s">
        <v>1233</v>
      </c>
      <c r="K255" s="14" t="s">
        <v>1234</v>
      </c>
      <c r="L255" s="14" t="s">
        <v>1235</v>
      </c>
      <c r="M255" s="14" t="s">
        <v>1236</v>
      </c>
      <c r="N255" s="14" t="s">
        <v>1237</v>
      </c>
      <c r="O255" s="16">
        <v>4102035</v>
      </c>
      <c r="P255" s="17">
        <v>2024257990036</v>
      </c>
      <c r="Q255" s="14" t="s">
        <v>1238</v>
      </c>
      <c r="R255" s="18">
        <v>254</v>
      </c>
      <c r="S255" s="14" t="s">
        <v>1253</v>
      </c>
      <c r="T255" s="20">
        <v>0.11</v>
      </c>
      <c r="U255" s="14" t="s">
        <v>109</v>
      </c>
      <c r="V255" s="14" t="s">
        <v>89</v>
      </c>
      <c r="W255" s="14" t="s">
        <v>1254</v>
      </c>
      <c r="X255" s="14" t="s">
        <v>417</v>
      </c>
      <c r="Y255" s="22"/>
      <c r="Z255" s="20">
        <f>SUM(AF255:AI255)</f>
        <v>0.5</v>
      </c>
      <c r="AA255" s="20">
        <f t="shared" si="1"/>
        <v>0.1</v>
      </c>
      <c r="AB255" s="20">
        <f t="shared" si="2"/>
        <v>1.7</v>
      </c>
      <c r="AC255" s="21"/>
      <c r="AD255" s="21"/>
      <c r="AE255" s="21">
        <f t="shared" si="3"/>
        <v>0.61</v>
      </c>
      <c r="AF255" s="20">
        <v>0.05</v>
      </c>
      <c r="AG255" s="20">
        <v>0.2</v>
      </c>
      <c r="AH255" s="20">
        <v>0.2</v>
      </c>
      <c r="AI255" s="20">
        <v>0.05</v>
      </c>
      <c r="AJ255" s="26"/>
      <c r="AK255" s="26"/>
      <c r="AL255" s="26"/>
      <c r="AM255" s="26"/>
      <c r="AN255" s="26">
        <v>0.03</v>
      </c>
      <c r="AO255" s="26">
        <v>0.03</v>
      </c>
      <c r="AP255" s="26">
        <v>0.02</v>
      </c>
      <c r="AQ255" s="26">
        <v>0.02</v>
      </c>
      <c r="AR255" s="22">
        <f t="shared" ref="AR255:AS255" si="906">(AJ255+AL255+AN255+AP255)</f>
        <v>0.05</v>
      </c>
      <c r="AS255" s="22">
        <f t="shared" si="906"/>
        <v>0.05</v>
      </c>
      <c r="AT255" s="22">
        <f t="shared" si="889"/>
        <v>1</v>
      </c>
      <c r="AU255" s="23" t="str">
        <f t="shared" si="890"/>
        <v>100%</v>
      </c>
      <c r="AV255" s="24">
        <f t="shared" si="808"/>
        <v>1</v>
      </c>
      <c r="AW255" s="14" t="s">
        <v>92</v>
      </c>
      <c r="AX255" s="30" t="s">
        <v>1255</v>
      </c>
      <c r="AY255" s="24">
        <v>0.05</v>
      </c>
      <c r="AZ255" s="24">
        <v>0.05</v>
      </c>
      <c r="BA255" s="24">
        <v>0.05</v>
      </c>
      <c r="BB255" s="24">
        <v>0.05</v>
      </c>
      <c r="BC255" s="24">
        <v>7.0000000000000007E-2</v>
      </c>
      <c r="BD255" s="24">
        <v>7.0000000000000007E-2</v>
      </c>
      <c r="BE255" s="24">
        <v>0.03</v>
      </c>
      <c r="BF255" s="26"/>
      <c r="BG255" s="20">
        <f t="shared" ref="BG255:BH255" si="907">(AY255+BA255+BC255+BE255)</f>
        <v>0.2</v>
      </c>
      <c r="BH255" s="20">
        <f t="shared" si="907"/>
        <v>0.17</v>
      </c>
      <c r="BI255" s="20">
        <f t="shared" si="851"/>
        <v>0.85</v>
      </c>
      <c r="BJ255" s="23" t="str">
        <f t="shared" si="852"/>
        <v>100%</v>
      </c>
      <c r="BK255" s="24">
        <f t="shared" si="853"/>
        <v>0.85</v>
      </c>
      <c r="BL255" s="22" t="s">
        <v>92</v>
      </c>
      <c r="BM255" s="25" t="s">
        <v>1255</v>
      </c>
      <c r="BN255" s="27">
        <v>0</v>
      </c>
      <c r="BO255" s="27">
        <v>0</v>
      </c>
      <c r="BP255" s="27">
        <v>35000000</v>
      </c>
      <c r="BQ255" s="27">
        <v>35000000</v>
      </c>
      <c r="BR255" s="27">
        <f t="shared" ref="BR255:BS255" si="908">+BN255+BP255</f>
        <v>35000000</v>
      </c>
      <c r="BS255" s="27">
        <f t="shared" si="908"/>
        <v>35000000</v>
      </c>
      <c r="BT255" s="20">
        <f t="shared" si="13"/>
        <v>1</v>
      </c>
      <c r="BU255" s="27">
        <v>0</v>
      </c>
      <c r="BV255" s="27">
        <v>25000000</v>
      </c>
      <c r="BW255" s="27">
        <v>0</v>
      </c>
      <c r="BX255" s="27">
        <v>0</v>
      </c>
      <c r="BY255" s="28">
        <f t="shared" si="149"/>
        <v>0</v>
      </c>
      <c r="BZ255" s="27">
        <v>50000000</v>
      </c>
      <c r="CA255" s="20">
        <v>51000000</v>
      </c>
      <c r="CB255" s="29">
        <v>52020000</v>
      </c>
      <c r="CC255" s="29">
        <v>53580600</v>
      </c>
      <c r="CD255" s="29">
        <v>206600600</v>
      </c>
    </row>
    <row r="256" spans="1:82" ht="45" customHeight="1">
      <c r="A256" s="12" t="s">
        <v>851</v>
      </c>
      <c r="B256" s="13">
        <v>0.432</v>
      </c>
      <c r="C256" s="12"/>
      <c r="D256" s="14">
        <v>41</v>
      </c>
      <c r="E256" s="14">
        <v>4102</v>
      </c>
      <c r="F256" s="65">
        <v>27</v>
      </c>
      <c r="G256" s="14" t="s">
        <v>1232</v>
      </c>
      <c r="H256" s="14"/>
      <c r="I256" s="14">
        <v>27.2</v>
      </c>
      <c r="J256" s="14" t="s">
        <v>1256</v>
      </c>
      <c r="K256" s="14" t="s">
        <v>1234</v>
      </c>
      <c r="L256" s="14" t="s">
        <v>1235</v>
      </c>
      <c r="M256" s="14" t="s">
        <v>1236</v>
      </c>
      <c r="N256" s="14" t="s">
        <v>1237</v>
      </c>
      <c r="O256" s="16">
        <v>4102043</v>
      </c>
      <c r="P256" s="17">
        <v>2024257990036</v>
      </c>
      <c r="Q256" s="14" t="s">
        <v>1238</v>
      </c>
      <c r="R256" s="18">
        <v>255</v>
      </c>
      <c r="S256" s="14" t="s">
        <v>1257</v>
      </c>
      <c r="T256" s="14">
        <v>1</v>
      </c>
      <c r="U256" s="14" t="s">
        <v>88</v>
      </c>
      <c r="V256" s="14" t="s">
        <v>114</v>
      </c>
      <c r="W256" s="14" t="s">
        <v>1258</v>
      </c>
      <c r="X256" s="14" t="s">
        <v>584</v>
      </c>
      <c r="Y256" s="22" t="s">
        <v>124</v>
      </c>
      <c r="Z256" s="14">
        <f>SUM(AF256:AI256)/4</f>
        <v>3</v>
      </c>
      <c r="AA256" s="20">
        <f t="shared" si="1"/>
        <v>1</v>
      </c>
      <c r="AB256" s="20">
        <f t="shared" si="2"/>
        <v>0.22222222222222221</v>
      </c>
      <c r="AC256" s="21"/>
      <c r="AD256" s="21"/>
      <c r="AE256" s="21">
        <f t="shared" si="3"/>
        <v>0.22777777777777775</v>
      </c>
      <c r="AF256" s="14">
        <v>3</v>
      </c>
      <c r="AG256" s="14">
        <v>3</v>
      </c>
      <c r="AH256" s="14">
        <v>3</v>
      </c>
      <c r="AI256" s="14">
        <v>3</v>
      </c>
      <c r="AJ256" s="26"/>
      <c r="AK256" s="26"/>
      <c r="AL256" s="26"/>
      <c r="AM256" s="26"/>
      <c r="AN256" s="44">
        <v>1E-3</v>
      </c>
      <c r="AO256" s="26">
        <v>0</v>
      </c>
      <c r="AP256" s="26">
        <v>3</v>
      </c>
      <c r="AQ256" s="26">
        <v>3</v>
      </c>
      <c r="AR256" s="22">
        <f t="shared" ref="AR256:AS256" si="909">(AJ256+AL256+AN256+AP256)</f>
        <v>3.0009999999999999</v>
      </c>
      <c r="AS256" s="22">
        <f t="shared" si="909"/>
        <v>3</v>
      </c>
      <c r="AT256" s="22">
        <f t="shared" si="889"/>
        <v>0.99966677774075308</v>
      </c>
      <c r="AU256" s="23" t="str">
        <f t="shared" si="890"/>
        <v>100%</v>
      </c>
      <c r="AV256" s="24">
        <f t="shared" si="808"/>
        <v>0.99966677774075308</v>
      </c>
      <c r="AW256" s="14" t="s">
        <v>92</v>
      </c>
      <c r="AX256" s="30" t="s">
        <v>1259</v>
      </c>
      <c r="AY256" s="26">
        <v>0</v>
      </c>
      <c r="AZ256" s="26">
        <v>0</v>
      </c>
      <c r="BA256" s="26">
        <v>1</v>
      </c>
      <c r="BB256" s="26">
        <v>1</v>
      </c>
      <c r="BC256" s="26">
        <v>1</v>
      </c>
      <c r="BD256" s="26">
        <v>1</v>
      </c>
      <c r="BE256" s="26">
        <v>1</v>
      </c>
      <c r="BF256" s="26"/>
      <c r="BG256" s="22">
        <f t="shared" ref="BG256:BH256" si="910">(AY256+BA256+BC256+BE256)</f>
        <v>3</v>
      </c>
      <c r="BH256" s="22">
        <f t="shared" si="910"/>
        <v>2</v>
      </c>
      <c r="BI256" s="22">
        <f t="shared" si="851"/>
        <v>0.66666666666666663</v>
      </c>
      <c r="BJ256" s="23" t="str">
        <f t="shared" si="852"/>
        <v>100%</v>
      </c>
      <c r="BK256" s="24">
        <f t="shared" si="853"/>
        <v>0.66666666666666663</v>
      </c>
      <c r="BL256" s="22" t="s">
        <v>92</v>
      </c>
      <c r="BM256" s="25" t="s">
        <v>1259</v>
      </c>
      <c r="BN256" s="27">
        <v>500000000</v>
      </c>
      <c r="BO256" s="27">
        <v>0</v>
      </c>
      <c r="BP256" s="27">
        <v>499146900</v>
      </c>
      <c r="BQ256" s="27">
        <v>499146900</v>
      </c>
      <c r="BR256" s="27">
        <f t="shared" ref="BR256:BS256" si="911">+BN256+BP256</f>
        <v>999146900</v>
      </c>
      <c r="BS256" s="27">
        <f t="shared" si="911"/>
        <v>499146900</v>
      </c>
      <c r="BT256" s="20">
        <f t="shared" si="13"/>
        <v>0.49957308579949555</v>
      </c>
      <c r="BU256" s="27">
        <v>500000000</v>
      </c>
      <c r="BV256" s="27">
        <v>499170166</v>
      </c>
      <c r="BW256" s="27">
        <v>499170166</v>
      </c>
      <c r="BX256" s="27">
        <v>0</v>
      </c>
      <c r="BY256" s="28">
        <f t="shared" si="149"/>
        <v>1</v>
      </c>
      <c r="BZ256" s="27">
        <v>450000000</v>
      </c>
      <c r="CA256" s="20">
        <v>459000000</v>
      </c>
      <c r="CB256" s="29">
        <v>468180000</v>
      </c>
      <c r="CC256" s="29">
        <v>482225400</v>
      </c>
      <c r="CD256" s="29">
        <v>1859405400</v>
      </c>
    </row>
    <row r="257" spans="1:82" ht="45" customHeight="1">
      <c r="A257" s="12" t="s">
        <v>851</v>
      </c>
      <c r="B257" s="13">
        <v>0.432</v>
      </c>
      <c r="C257" s="12"/>
      <c r="D257" s="14">
        <v>41</v>
      </c>
      <c r="E257" s="14">
        <v>4102</v>
      </c>
      <c r="F257" s="14">
        <v>27</v>
      </c>
      <c r="G257" s="14" t="s">
        <v>1232</v>
      </c>
      <c r="H257" s="14"/>
      <c r="I257" s="14">
        <v>27.2</v>
      </c>
      <c r="J257" s="14" t="s">
        <v>1256</v>
      </c>
      <c r="K257" s="14" t="s">
        <v>1234</v>
      </c>
      <c r="L257" s="14" t="s">
        <v>1235</v>
      </c>
      <c r="M257" s="14" t="s">
        <v>1236</v>
      </c>
      <c r="N257" s="14" t="s">
        <v>1237</v>
      </c>
      <c r="O257" s="16">
        <v>4102043</v>
      </c>
      <c r="P257" s="17">
        <v>2024257990036</v>
      </c>
      <c r="Q257" s="14" t="s">
        <v>1238</v>
      </c>
      <c r="R257" s="18">
        <v>256</v>
      </c>
      <c r="S257" s="14" t="s">
        <v>1260</v>
      </c>
      <c r="T257" s="14">
        <v>0</v>
      </c>
      <c r="U257" s="14" t="s">
        <v>88</v>
      </c>
      <c r="V257" s="14" t="s">
        <v>89</v>
      </c>
      <c r="W257" s="14" t="s">
        <v>1261</v>
      </c>
      <c r="X257" s="14" t="s">
        <v>837</v>
      </c>
      <c r="Y257" s="22" t="s">
        <v>124</v>
      </c>
      <c r="Z257" s="18">
        <f t="shared" ref="Z257:Z259" si="912">SUM(AF257:AI257)</f>
        <v>4</v>
      </c>
      <c r="AA257" s="20">
        <f t="shared" ref="AA257:AA332" si="913">AS257/Z257</f>
        <v>0</v>
      </c>
      <c r="AB257" s="20">
        <f t="shared" ref="AB257:AB332" si="914">BI257/Z257</f>
        <v>0</v>
      </c>
      <c r="AC257" s="21"/>
      <c r="AD257" s="21"/>
      <c r="AE257" s="21">
        <f t="shared" ref="AE257:AE332" si="915">SUMPRODUCT(AA257:AD257, {0.15,0.35,0.35,0.15})</f>
        <v>0</v>
      </c>
      <c r="AF257" s="29">
        <v>1</v>
      </c>
      <c r="AG257" s="29">
        <v>1</v>
      </c>
      <c r="AH257" s="29">
        <v>1</v>
      </c>
      <c r="AI257" s="29">
        <v>1</v>
      </c>
      <c r="AJ257" s="26"/>
      <c r="AK257" s="26"/>
      <c r="AL257" s="26"/>
      <c r="AM257" s="26"/>
      <c r="AN257" s="44">
        <v>1E-3</v>
      </c>
      <c r="AO257" s="26">
        <v>0</v>
      </c>
      <c r="AP257" s="26">
        <v>1</v>
      </c>
      <c r="AQ257" s="26">
        <v>0</v>
      </c>
      <c r="AR257" s="22">
        <f t="shared" ref="AR257:AS257" si="916">(AJ257+AL257+AN257+AP257)</f>
        <v>1.0009999999999999</v>
      </c>
      <c r="AS257" s="22">
        <f t="shared" si="916"/>
        <v>0</v>
      </c>
      <c r="AT257" s="22">
        <f t="shared" si="889"/>
        <v>0</v>
      </c>
      <c r="AU257" s="23" t="str">
        <f t="shared" si="890"/>
        <v>100%</v>
      </c>
      <c r="AV257" s="24">
        <f t="shared" si="808"/>
        <v>0</v>
      </c>
      <c r="AW257" s="14" t="s">
        <v>92</v>
      </c>
      <c r="AX257" s="30" t="s">
        <v>1262</v>
      </c>
      <c r="AY257" s="46">
        <v>0</v>
      </c>
      <c r="AZ257" s="26">
        <v>0</v>
      </c>
      <c r="BA257" s="46">
        <v>0</v>
      </c>
      <c r="BB257" s="46">
        <v>0</v>
      </c>
      <c r="BC257" s="46">
        <v>0</v>
      </c>
      <c r="BD257" s="46">
        <v>0</v>
      </c>
      <c r="BE257" s="46">
        <v>1</v>
      </c>
      <c r="BF257" s="26"/>
      <c r="BG257" s="22">
        <f t="shared" ref="BG257:BH257" si="917">(AY257+BA257+BC257+BE257)</f>
        <v>1</v>
      </c>
      <c r="BH257" s="22">
        <f t="shared" si="917"/>
        <v>0</v>
      </c>
      <c r="BI257" s="22">
        <f t="shared" si="851"/>
        <v>0</v>
      </c>
      <c r="BJ257" s="23" t="str">
        <f t="shared" si="852"/>
        <v>100%</v>
      </c>
      <c r="BK257" s="24">
        <f t="shared" si="853"/>
        <v>0</v>
      </c>
      <c r="BL257" s="22" t="s">
        <v>192</v>
      </c>
      <c r="BM257" s="25" t="s">
        <v>1262</v>
      </c>
      <c r="BN257" s="27">
        <v>0</v>
      </c>
      <c r="BO257" s="27">
        <v>0</v>
      </c>
      <c r="BP257" s="27">
        <v>0</v>
      </c>
      <c r="BQ257" s="27">
        <v>0</v>
      </c>
      <c r="BR257" s="27">
        <f t="shared" ref="BR257:BS257" si="918">+BN257+BP257</f>
        <v>0</v>
      </c>
      <c r="BS257" s="27">
        <f t="shared" si="918"/>
        <v>0</v>
      </c>
      <c r="BT257" s="20" t="str">
        <f t="shared" ref="BT257:BT333" si="919">IFERROR(BS257/BR257, "")</f>
        <v/>
      </c>
      <c r="BU257" s="27"/>
      <c r="BV257" s="27"/>
      <c r="BW257" s="27"/>
      <c r="BX257" s="27"/>
      <c r="BY257" s="28" t="str">
        <f t="shared" si="149"/>
        <v/>
      </c>
      <c r="BZ257" s="27">
        <v>20000000</v>
      </c>
      <c r="CA257" s="20">
        <v>20400000</v>
      </c>
      <c r="CB257" s="29">
        <v>20808000</v>
      </c>
      <c r="CC257" s="29">
        <v>21432240</v>
      </c>
      <c r="CD257" s="29">
        <v>82640240</v>
      </c>
    </row>
    <row r="258" spans="1:82" ht="48.75" customHeight="1">
      <c r="A258" s="12" t="s">
        <v>851</v>
      </c>
      <c r="B258" s="13">
        <v>0.432</v>
      </c>
      <c r="C258" s="12"/>
      <c r="D258" s="14">
        <v>41</v>
      </c>
      <c r="E258" s="14">
        <v>4102</v>
      </c>
      <c r="F258" s="14">
        <v>27</v>
      </c>
      <c r="G258" s="14" t="s">
        <v>1232</v>
      </c>
      <c r="H258" s="14"/>
      <c r="I258" s="14">
        <v>27.2</v>
      </c>
      <c r="J258" s="14" t="s">
        <v>1256</v>
      </c>
      <c r="K258" s="14" t="s">
        <v>1234</v>
      </c>
      <c r="L258" s="14" t="s">
        <v>1235</v>
      </c>
      <c r="M258" s="14" t="s">
        <v>1236</v>
      </c>
      <c r="N258" s="14" t="s">
        <v>1237</v>
      </c>
      <c r="O258" s="16">
        <v>4102043</v>
      </c>
      <c r="P258" s="17">
        <v>2024257990036</v>
      </c>
      <c r="Q258" s="14" t="s">
        <v>1238</v>
      </c>
      <c r="R258" s="18">
        <v>257</v>
      </c>
      <c r="S258" s="14" t="s">
        <v>1263</v>
      </c>
      <c r="T258" s="14">
        <v>0</v>
      </c>
      <c r="U258" s="14" t="s">
        <v>88</v>
      </c>
      <c r="V258" s="14" t="s">
        <v>89</v>
      </c>
      <c r="W258" s="14" t="s">
        <v>1264</v>
      </c>
      <c r="X258" s="14" t="s">
        <v>91</v>
      </c>
      <c r="Y258" s="19" t="s">
        <v>124</v>
      </c>
      <c r="Z258" s="18">
        <f t="shared" si="912"/>
        <v>2</v>
      </c>
      <c r="AA258" s="20">
        <f t="shared" si="913"/>
        <v>0</v>
      </c>
      <c r="AB258" s="20">
        <f t="shared" si="914"/>
        <v>0.5</v>
      </c>
      <c r="AC258" s="21"/>
      <c r="AD258" s="21"/>
      <c r="AE258" s="21">
        <f t="shared" si="915"/>
        <v>0.17499999999999999</v>
      </c>
      <c r="AF258" s="29">
        <v>0</v>
      </c>
      <c r="AG258" s="29">
        <v>1</v>
      </c>
      <c r="AH258" s="29">
        <v>0</v>
      </c>
      <c r="AI258" s="29">
        <v>1</v>
      </c>
      <c r="AJ258" s="26"/>
      <c r="AK258" s="26"/>
      <c r="AL258" s="26"/>
      <c r="AM258" s="26"/>
      <c r="AN258" s="24">
        <v>0.01</v>
      </c>
      <c r="AO258" s="24">
        <f t="shared" ref="AO258:AP258" si="920">IF(AL258=0, 0, AM258/AL258)</f>
        <v>0</v>
      </c>
      <c r="AP258" s="24">
        <f t="shared" si="920"/>
        <v>0</v>
      </c>
      <c r="AQ258" s="26"/>
      <c r="AR258" s="24">
        <f t="shared" ref="AR258:AT258" si="921">IF(AO258=0, 0, AP258/AO258)</f>
        <v>0</v>
      </c>
      <c r="AS258" s="24">
        <f t="shared" si="921"/>
        <v>0</v>
      </c>
      <c r="AT258" s="24">
        <f t="shared" si="921"/>
        <v>0</v>
      </c>
      <c r="AU258" s="23" t="str">
        <f>IF(AR258&gt; 1, IF(AR258 = AS258, "100%", AR258 &amp; "%"), IF(AR258 &lt;= 0.01, "0%", AR258 * 100 &amp; "%"))</f>
        <v>0%</v>
      </c>
      <c r="AV258" s="24">
        <f t="shared" si="808"/>
        <v>0</v>
      </c>
      <c r="AW258" s="26" t="s">
        <v>192</v>
      </c>
      <c r="AX258" s="26"/>
      <c r="AY258" s="46">
        <v>0.1</v>
      </c>
      <c r="AZ258" s="46">
        <v>0.1</v>
      </c>
      <c r="BA258" s="46">
        <v>0.3</v>
      </c>
      <c r="BB258" s="46">
        <v>0.3</v>
      </c>
      <c r="BC258" s="46">
        <v>0.6</v>
      </c>
      <c r="BD258" s="46">
        <v>0.6</v>
      </c>
      <c r="BE258" s="46">
        <v>0</v>
      </c>
      <c r="BF258" s="26"/>
      <c r="BG258" s="22">
        <f t="shared" ref="BG258:BH258" si="922">(AY258+BA258+BC258+BE258)</f>
        <v>1</v>
      </c>
      <c r="BH258" s="22">
        <f t="shared" si="922"/>
        <v>1</v>
      </c>
      <c r="BI258" s="22">
        <f t="shared" si="851"/>
        <v>1</v>
      </c>
      <c r="BJ258" s="23" t="str">
        <f t="shared" si="852"/>
        <v>100%</v>
      </c>
      <c r="BK258" s="24">
        <f t="shared" si="853"/>
        <v>1</v>
      </c>
      <c r="BL258" s="22" t="s">
        <v>192</v>
      </c>
      <c r="BM258" s="25" t="s">
        <v>1265</v>
      </c>
      <c r="BN258" s="27">
        <v>0</v>
      </c>
      <c r="BO258" s="27">
        <v>0</v>
      </c>
      <c r="BP258" s="27">
        <v>0</v>
      </c>
      <c r="BQ258" s="27">
        <v>0</v>
      </c>
      <c r="BR258" s="27">
        <f t="shared" ref="BR258:BS258" si="923">+BN258+BP258</f>
        <v>0</v>
      </c>
      <c r="BS258" s="27">
        <f t="shared" si="923"/>
        <v>0</v>
      </c>
      <c r="BT258" s="20" t="str">
        <f t="shared" si="919"/>
        <v/>
      </c>
      <c r="BU258" s="27">
        <v>0</v>
      </c>
      <c r="BV258" s="27">
        <v>0</v>
      </c>
      <c r="BW258" s="27">
        <v>0</v>
      </c>
      <c r="BX258" s="27">
        <v>0</v>
      </c>
      <c r="BY258" s="28" t="str">
        <f t="shared" si="149"/>
        <v/>
      </c>
      <c r="BZ258" s="27">
        <v>0</v>
      </c>
      <c r="CA258" s="20">
        <v>110000000</v>
      </c>
      <c r="CB258" s="29">
        <v>112200000</v>
      </c>
      <c r="CC258" s="29">
        <v>0</v>
      </c>
      <c r="CD258" s="29">
        <v>222200000</v>
      </c>
    </row>
    <row r="259" spans="1:82" ht="45" customHeight="1">
      <c r="A259" s="12" t="s">
        <v>851</v>
      </c>
      <c r="B259" s="13">
        <v>0.432</v>
      </c>
      <c r="C259" s="12"/>
      <c r="D259" s="14">
        <v>41</v>
      </c>
      <c r="E259" s="14">
        <v>4102</v>
      </c>
      <c r="F259" s="14">
        <v>27</v>
      </c>
      <c r="G259" s="14" t="s">
        <v>1232</v>
      </c>
      <c r="H259" s="14"/>
      <c r="I259" s="14">
        <v>27.3</v>
      </c>
      <c r="J259" s="14" t="s">
        <v>1266</v>
      </c>
      <c r="K259" s="14" t="s">
        <v>1234</v>
      </c>
      <c r="L259" s="14" t="s">
        <v>1235</v>
      </c>
      <c r="M259" s="14" t="s">
        <v>1236</v>
      </c>
      <c r="N259" s="14" t="s">
        <v>1237</v>
      </c>
      <c r="O259" s="16">
        <v>4102038</v>
      </c>
      <c r="P259" s="17">
        <v>2024257990036</v>
      </c>
      <c r="Q259" s="14" t="s">
        <v>1238</v>
      </c>
      <c r="R259" s="18">
        <v>258</v>
      </c>
      <c r="S259" s="14" t="s">
        <v>1267</v>
      </c>
      <c r="T259" s="14">
        <v>3</v>
      </c>
      <c r="U259" s="14" t="s">
        <v>88</v>
      </c>
      <c r="V259" s="14" t="s">
        <v>89</v>
      </c>
      <c r="W259" s="14" t="s">
        <v>1264</v>
      </c>
      <c r="X259" s="14" t="s">
        <v>567</v>
      </c>
      <c r="Y259" s="22" t="s">
        <v>124</v>
      </c>
      <c r="Z259" s="18">
        <f t="shared" si="912"/>
        <v>4</v>
      </c>
      <c r="AA259" s="20">
        <f t="shared" si="913"/>
        <v>1</v>
      </c>
      <c r="AB259" s="20">
        <f t="shared" si="914"/>
        <v>0.22500000000000001</v>
      </c>
      <c r="AC259" s="21"/>
      <c r="AD259" s="21"/>
      <c r="AE259" s="21">
        <f t="shared" si="915"/>
        <v>0.22875000000000001</v>
      </c>
      <c r="AF259" s="22">
        <v>1</v>
      </c>
      <c r="AG259" s="22">
        <v>1</v>
      </c>
      <c r="AH259" s="22">
        <v>1</v>
      </c>
      <c r="AI259" s="22">
        <v>1</v>
      </c>
      <c r="AJ259" s="26"/>
      <c r="AK259" s="26"/>
      <c r="AL259" s="26"/>
      <c r="AM259" s="26"/>
      <c r="AN259" s="26">
        <v>1</v>
      </c>
      <c r="AO259" s="26">
        <v>1</v>
      </c>
      <c r="AP259" s="26">
        <v>3</v>
      </c>
      <c r="AQ259" s="26">
        <v>3</v>
      </c>
      <c r="AR259" s="22">
        <f t="shared" ref="AR259:AS259" si="924">(AJ259+AL259+AN259+AP259)</f>
        <v>4</v>
      </c>
      <c r="AS259" s="22">
        <f t="shared" si="924"/>
        <v>4</v>
      </c>
      <c r="AT259" s="22">
        <f t="shared" ref="AT259:AT261" si="925">AS259/AR259</f>
        <v>1</v>
      </c>
      <c r="AU259" s="23" t="str">
        <f t="shared" ref="AU259:AU261" si="926">MIN((AR259 /AR259) * 100, 100) &amp; "%"</f>
        <v>100%</v>
      </c>
      <c r="AV259" s="24">
        <f t="shared" si="808"/>
        <v>1</v>
      </c>
      <c r="AW259" s="14" t="s">
        <v>92</v>
      </c>
      <c r="AX259" s="30" t="s">
        <v>1268</v>
      </c>
      <c r="AY259" s="46">
        <v>0</v>
      </c>
      <c r="AZ259" s="26">
        <v>0</v>
      </c>
      <c r="BA259" s="46">
        <v>0.3</v>
      </c>
      <c r="BB259" s="46">
        <v>0.3</v>
      </c>
      <c r="BC259" s="46">
        <v>0.6</v>
      </c>
      <c r="BD259" s="46">
        <v>0.6</v>
      </c>
      <c r="BE259" s="46">
        <v>0.1</v>
      </c>
      <c r="BF259" s="26"/>
      <c r="BG259" s="22">
        <f t="shared" ref="BG259:BH259" si="927">(AY259+BA259+BC259+BE259)</f>
        <v>0.99999999999999989</v>
      </c>
      <c r="BH259" s="22">
        <f t="shared" si="927"/>
        <v>0.89999999999999991</v>
      </c>
      <c r="BI259" s="22">
        <f t="shared" si="851"/>
        <v>0.9</v>
      </c>
      <c r="BJ259" s="23" t="str">
        <f t="shared" si="852"/>
        <v>100%</v>
      </c>
      <c r="BK259" s="24">
        <f t="shared" si="853"/>
        <v>0.9</v>
      </c>
      <c r="BL259" s="22" t="s">
        <v>92</v>
      </c>
      <c r="BM259" s="25" t="s">
        <v>1268</v>
      </c>
      <c r="BN259" s="27">
        <v>45000000</v>
      </c>
      <c r="BO259" s="27">
        <v>20000000</v>
      </c>
      <c r="BP259" s="27">
        <v>20499998</v>
      </c>
      <c r="BQ259" s="27">
        <v>20499998</v>
      </c>
      <c r="BR259" s="27">
        <f t="shared" ref="BR259:BS259" si="928">+BN259+BP259</f>
        <v>65499998</v>
      </c>
      <c r="BS259" s="27">
        <f t="shared" si="928"/>
        <v>40499998</v>
      </c>
      <c r="BT259" s="20">
        <f t="shared" si="919"/>
        <v>0.6183205990326901</v>
      </c>
      <c r="BU259" s="27">
        <v>45000000</v>
      </c>
      <c r="BV259" s="27">
        <v>45000000</v>
      </c>
      <c r="BW259" s="27">
        <v>45000000</v>
      </c>
      <c r="BX259" s="27">
        <v>45000000</v>
      </c>
      <c r="BY259" s="28">
        <f t="shared" si="149"/>
        <v>1</v>
      </c>
      <c r="BZ259" s="27">
        <v>50000000</v>
      </c>
      <c r="CA259" s="20">
        <v>51000000</v>
      </c>
      <c r="CB259" s="29">
        <v>52020000</v>
      </c>
      <c r="CC259" s="29">
        <v>53580600</v>
      </c>
      <c r="CD259" s="29">
        <v>206600600</v>
      </c>
    </row>
    <row r="260" spans="1:82" ht="45" customHeight="1">
      <c r="A260" s="12" t="s">
        <v>851</v>
      </c>
      <c r="B260" s="13">
        <v>0.432</v>
      </c>
      <c r="C260" s="12"/>
      <c r="D260" s="14">
        <v>41</v>
      </c>
      <c r="E260" s="14">
        <v>4102</v>
      </c>
      <c r="F260" s="14">
        <v>27</v>
      </c>
      <c r="G260" s="14" t="s">
        <v>1232</v>
      </c>
      <c r="H260" s="14"/>
      <c r="I260" s="14">
        <v>27.3</v>
      </c>
      <c r="J260" s="14" t="s">
        <v>1266</v>
      </c>
      <c r="K260" s="14" t="s">
        <v>1234</v>
      </c>
      <c r="L260" s="14" t="s">
        <v>1235</v>
      </c>
      <c r="M260" s="14" t="s">
        <v>1236</v>
      </c>
      <c r="N260" s="14" t="s">
        <v>1237</v>
      </c>
      <c r="O260" s="16">
        <v>4102038</v>
      </c>
      <c r="P260" s="17">
        <v>2024257990036</v>
      </c>
      <c r="Q260" s="14" t="s">
        <v>1238</v>
      </c>
      <c r="R260" s="18">
        <v>259</v>
      </c>
      <c r="S260" s="14" t="s">
        <v>1269</v>
      </c>
      <c r="T260" s="14">
        <v>1</v>
      </c>
      <c r="U260" s="14" t="s">
        <v>88</v>
      </c>
      <c r="V260" s="14" t="s">
        <v>114</v>
      </c>
      <c r="W260" s="14" t="s">
        <v>1270</v>
      </c>
      <c r="X260" s="14" t="s">
        <v>567</v>
      </c>
      <c r="Y260" s="22" t="s">
        <v>124</v>
      </c>
      <c r="Z260" s="14">
        <f>SUM(AF260:AI260)/4</f>
        <v>2</v>
      </c>
      <c r="AA260" s="20">
        <f t="shared" si="913"/>
        <v>1</v>
      </c>
      <c r="AB260" s="20">
        <f t="shared" si="914"/>
        <v>0.5</v>
      </c>
      <c r="AC260" s="21"/>
      <c r="AD260" s="21"/>
      <c r="AE260" s="21">
        <f t="shared" si="915"/>
        <v>0.32499999999999996</v>
      </c>
      <c r="AF260" s="22">
        <v>2</v>
      </c>
      <c r="AG260" s="22">
        <v>2</v>
      </c>
      <c r="AH260" s="22">
        <v>2</v>
      </c>
      <c r="AI260" s="22">
        <v>2</v>
      </c>
      <c r="AJ260" s="26"/>
      <c r="AK260" s="26"/>
      <c r="AL260" s="26"/>
      <c r="AM260" s="26"/>
      <c r="AN260" s="26">
        <v>2</v>
      </c>
      <c r="AO260" s="26">
        <v>2</v>
      </c>
      <c r="AP260" s="26">
        <v>0</v>
      </c>
      <c r="AQ260" s="26">
        <v>0</v>
      </c>
      <c r="AR260" s="22">
        <f t="shared" ref="AR260:AS260" si="929">(AJ260+AL260+AN260+AP260)</f>
        <v>2</v>
      </c>
      <c r="AS260" s="22">
        <f t="shared" si="929"/>
        <v>2</v>
      </c>
      <c r="AT260" s="22">
        <f t="shared" si="925"/>
        <v>1</v>
      </c>
      <c r="AU260" s="23" t="str">
        <f t="shared" si="926"/>
        <v>100%</v>
      </c>
      <c r="AV260" s="24">
        <f t="shared" si="808"/>
        <v>1</v>
      </c>
      <c r="AW260" s="14" t="s">
        <v>92</v>
      </c>
      <c r="AX260" s="30" t="s">
        <v>1271</v>
      </c>
      <c r="AY260" s="26">
        <v>2</v>
      </c>
      <c r="AZ260" s="26">
        <v>2</v>
      </c>
      <c r="BA260" s="26">
        <v>2</v>
      </c>
      <c r="BB260" s="26">
        <v>2</v>
      </c>
      <c r="BC260" s="26">
        <v>2</v>
      </c>
      <c r="BD260" s="26">
        <v>2</v>
      </c>
      <c r="BE260" s="26">
        <v>2</v>
      </c>
      <c r="BF260" s="26"/>
      <c r="BG260" s="22">
        <f>(AY260+BA260+BC260+BE260)/4</f>
        <v>2</v>
      </c>
      <c r="BH260" s="22">
        <f>(AZ260+BB260+BD260+BF260)/3</f>
        <v>2</v>
      </c>
      <c r="BI260" s="22">
        <f t="shared" si="851"/>
        <v>1</v>
      </c>
      <c r="BJ260" s="23" t="str">
        <f t="shared" si="852"/>
        <v>100%</v>
      </c>
      <c r="BK260" s="24">
        <f t="shared" si="853"/>
        <v>1</v>
      </c>
      <c r="BL260" s="22" t="s">
        <v>92</v>
      </c>
      <c r="BM260" s="25" t="s">
        <v>1271</v>
      </c>
      <c r="BN260" s="27">
        <v>60000000</v>
      </c>
      <c r="BO260" s="27">
        <v>30000000</v>
      </c>
      <c r="BP260" s="27">
        <v>29190000</v>
      </c>
      <c r="BQ260" s="27">
        <v>29190000</v>
      </c>
      <c r="BR260" s="27">
        <f t="shared" ref="BR260:BS260" si="930">+BN260+BP260</f>
        <v>89190000</v>
      </c>
      <c r="BS260" s="27">
        <f t="shared" si="930"/>
        <v>59190000</v>
      </c>
      <c r="BT260" s="20">
        <f t="shared" si="919"/>
        <v>0.66363942145980492</v>
      </c>
      <c r="BU260" s="27">
        <v>60000000</v>
      </c>
      <c r="BV260" s="27">
        <v>60000000</v>
      </c>
      <c r="BW260" s="27">
        <v>60000000</v>
      </c>
      <c r="BX260" s="27">
        <v>60000000</v>
      </c>
      <c r="BY260" s="28">
        <f t="shared" si="149"/>
        <v>1</v>
      </c>
      <c r="BZ260" s="27">
        <v>70000000</v>
      </c>
      <c r="CA260" s="20">
        <v>71400000</v>
      </c>
      <c r="CB260" s="29">
        <v>72828000</v>
      </c>
      <c r="CC260" s="29">
        <v>75012840</v>
      </c>
      <c r="CD260" s="29">
        <v>289240840</v>
      </c>
    </row>
    <row r="261" spans="1:82" ht="45" customHeight="1">
      <c r="A261" s="12" t="s">
        <v>851</v>
      </c>
      <c r="B261" s="13">
        <v>0.432</v>
      </c>
      <c r="C261" s="68"/>
      <c r="D261" s="16">
        <v>41</v>
      </c>
      <c r="E261" s="14">
        <v>4102</v>
      </c>
      <c r="F261" s="14">
        <v>27</v>
      </c>
      <c r="G261" s="14" t="s">
        <v>1232</v>
      </c>
      <c r="H261" s="14"/>
      <c r="I261" s="14">
        <v>27.4</v>
      </c>
      <c r="J261" s="14" t="s">
        <v>1272</v>
      </c>
      <c r="K261" s="14" t="s">
        <v>1234</v>
      </c>
      <c r="L261" s="14" t="s">
        <v>1235</v>
      </c>
      <c r="M261" s="14" t="s">
        <v>1236</v>
      </c>
      <c r="N261" s="14" t="s">
        <v>1237</v>
      </c>
      <c r="O261" s="16">
        <v>4102038</v>
      </c>
      <c r="P261" s="17">
        <v>2024257990036</v>
      </c>
      <c r="Q261" s="14" t="s">
        <v>1238</v>
      </c>
      <c r="R261" s="18">
        <v>260</v>
      </c>
      <c r="S261" s="14" t="s">
        <v>1273</v>
      </c>
      <c r="T261" s="14" t="s">
        <v>167</v>
      </c>
      <c r="U261" s="14" t="s">
        <v>109</v>
      </c>
      <c r="V261" s="14" t="s">
        <v>114</v>
      </c>
      <c r="W261" s="14" t="s">
        <v>1274</v>
      </c>
      <c r="X261" s="14" t="s">
        <v>91</v>
      </c>
      <c r="Y261" s="22" t="s">
        <v>124</v>
      </c>
      <c r="Z261" s="20">
        <f t="shared" ref="Z261:Z263" si="931">SUM(AF261:AI261)</f>
        <v>1</v>
      </c>
      <c r="AA261" s="20">
        <f t="shared" si="913"/>
        <v>8.0200000000000007E-2</v>
      </c>
      <c r="AB261" s="20">
        <f t="shared" si="914"/>
        <v>0.875</v>
      </c>
      <c r="AC261" s="21"/>
      <c r="AD261" s="21"/>
      <c r="AE261" s="21">
        <f t="shared" si="915"/>
        <v>0.31827999999999995</v>
      </c>
      <c r="AF261" s="24">
        <v>0.1</v>
      </c>
      <c r="AG261" s="24">
        <v>0.4</v>
      </c>
      <c r="AH261" s="24">
        <v>0.4</v>
      </c>
      <c r="AI261" s="24">
        <v>0.1</v>
      </c>
      <c r="AJ261" s="26"/>
      <c r="AK261" s="26"/>
      <c r="AL261" s="26"/>
      <c r="AM261" s="26"/>
      <c r="AN261" s="24">
        <v>0.08</v>
      </c>
      <c r="AO261" s="24">
        <v>0.08</v>
      </c>
      <c r="AP261" s="24">
        <v>0.02</v>
      </c>
      <c r="AQ261" s="23">
        <v>2.0000000000000001E-4</v>
      </c>
      <c r="AR261" s="24">
        <f t="shared" ref="AR261:AS261" si="932">(AJ261+AL261+AN261+AP261)</f>
        <v>0.1</v>
      </c>
      <c r="AS261" s="24">
        <f t="shared" si="932"/>
        <v>8.0200000000000007E-2</v>
      </c>
      <c r="AT261" s="24">
        <f t="shared" si="925"/>
        <v>0.80200000000000005</v>
      </c>
      <c r="AU261" s="23" t="str">
        <f t="shared" si="926"/>
        <v>100%</v>
      </c>
      <c r="AV261" s="24">
        <f t="shared" si="808"/>
        <v>0.80200000000000005</v>
      </c>
      <c r="AW261" s="14" t="s">
        <v>92</v>
      </c>
      <c r="AX261" s="30" t="s">
        <v>1275</v>
      </c>
      <c r="AY261" s="24">
        <v>0.05</v>
      </c>
      <c r="AZ261" s="24">
        <v>0.05</v>
      </c>
      <c r="BA261" s="24">
        <v>0.1</v>
      </c>
      <c r="BB261" s="24">
        <v>0.1</v>
      </c>
      <c r="BC261" s="24">
        <v>0.2</v>
      </c>
      <c r="BD261" s="24">
        <v>0.2</v>
      </c>
      <c r="BE261" s="24">
        <v>0.05</v>
      </c>
      <c r="BF261" s="26"/>
      <c r="BG261" s="20">
        <f t="shared" ref="BG261:BH261" si="933">(AY261+BA261+BC261+BE261)</f>
        <v>0.4</v>
      </c>
      <c r="BH261" s="20">
        <f t="shared" si="933"/>
        <v>0.35000000000000003</v>
      </c>
      <c r="BI261" s="20">
        <f t="shared" si="851"/>
        <v>0.875</v>
      </c>
      <c r="BJ261" s="23" t="str">
        <f t="shared" si="852"/>
        <v>100%</v>
      </c>
      <c r="BK261" s="24">
        <f t="shared" si="853"/>
        <v>0.875</v>
      </c>
      <c r="BL261" s="22" t="s">
        <v>92</v>
      </c>
      <c r="BM261" s="25" t="s">
        <v>1276</v>
      </c>
      <c r="BN261" s="27">
        <v>15000000</v>
      </c>
      <c r="BO261" s="27">
        <v>0</v>
      </c>
      <c r="BP261" s="27">
        <v>12491155</v>
      </c>
      <c r="BQ261" s="27">
        <v>12491155</v>
      </c>
      <c r="BR261" s="27">
        <f t="shared" ref="BR261:BS261" si="934">+BN261+BP261</f>
        <v>27491155</v>
      </c>
      <c r="BS261" s="27">
        <f t="shared" si="934"/>
        <v>12491155</v>
      </c>
      <c r="BT261" s="20">
        <f t="shared" si="919"/>
        <v>0.45436996008352504</v>
      </c>
      <c r="BU261" s="27">
        <v>15000000</v>
      </c>
      <c r="BV261" s="27">
        <v>15000000</v>
      </c>
      <c r="BW261" s="27">
        <v>0</v>
      </c>
      <c r="BX261" s="27">
        <v>0</v>
      </c>
      <c r="BY261" s="28">
        <f t="shared" si="149"/>
        <v>0</v>
      </c>
      <c r="BZ261" s="27">
        <v>25000000</v>
      </c>
      <c r="CA261" s="20">
        <v>25500000</v>
      </c>
      <c r="CB261" s="29">
        <v>26010000</v>
      </c>
      <c r="CC261" s="29">
        <v>26790300</v>
      </c>
      <c r="CD261" s="29">
        <v>103300300</v>
      </c>
    </row>
    <row r="262" spans="1:82" ht="55.5" customHeight="1">
      <c r="A262" s="12" t="s">
        <v>851</v>
      </c>
      <c r="B262" s="13">
        <v>0.432</v>
      </c>
      <c r="C262" s="68"/>
      <c r="D262" s="16">
        <v>41</v>
      </c>
      <c r="E262" s="14">
        <v>4102</v>
      </c>
      <c r="F262" s="14">
        <v>27</v>
      </c>
      <c r="G262" s="14" t="s">
        <v>1232</v>
      </c>
      <c r="H262" s="14"/>
      <c r="I262" s="14">
        <v>27.5</v>
      </c>
      <c r="J262" s="14" t="s">
        <v>1277</v>
      </c>
      <c r="K262" s="14" t="s">
        <v>1234</v>
      </c>
      <c r="L262" s="14" t="s">
        <v>1235</v>
      </c>
      <c r="M262" s="14" t="s">
        <v>1236</v>
      </c>
      <c r="N262" s="14" t="s">
        <v>1237</v>
      </c>
      <c r="O262" s="16">
        <v>4102052</v>
      </c>
      <c r="P262" s="17">
        <v>2024257990036</v>
      </c>
      <c r="Q262" s="14" t="s">
        <v>1238</v>
      </c>
      <c r="R262" s="18">
        <v>261</v>
      </c>
      <c r="S262" s="14" t="s">
        <v>1278</v>
      </c>
      <c r="T262" s="14">
        <v>1</v>
      </c>
      <c r="U262" s="14" t="s">
        <v>88</v>
      </c>
      <c r="V262" s="14" t="s">
        <v>114</v>
      </c>
      <c r="W262" s="14" t="s">
        <v>1279</v>
      </c>
      <c r="X262" s="14" t="s">
        <v>417</v>
      </c>
      <c r="Y262" s="22" t="s">
        <v>124</v>
      </c>
      <c r="Z262" s="14">
        <f t="shared" si="931"/>
        <v>1</v>
      </c>
      <c r="AA262" s="20">
        <f t="shared" si="913"/>
        <v>0</v>
      </c>
      <c r="AB262" s="20">
        <f t="shared" si="914"/>
        <v>0.81818181818181801</v>
      </c>
      <c r="AC262" s="21"/>
      <c r="AD262" s="21"/>
      <c r="AE262" s="21">
        <f t="shared" si="915"/>
        <v>0.28636363636363626</v>
      </c>
      <c r="AF262" s="14">
        <v>0</v>
      </c>
      <c r="AG262" s="14">
        <v>1</v>
      </c>
      <c r="AH262" s="14">
        <v>0</v>
      </c>
      <c r="AI262" s="14">
        <v>0</v>
      </c>
      <c r="AJ262" s="26"/>
      <c r="AK262" s="26"/>
      <c r="AL262" s="26"/>
      <c r="AM262" s="26"/>
      <c r="AN262" s="34">
        <v>0</v>
      </c>
      <c r="AO262" s="34">
        <v>0</v>
      </c>
      <c r="AP262" s="34">
        <v>0</v>
      </c>
      <c r="AQ262" s="34">
        <v>0</v>
      </c>
      <c r="AR262" s="34">
        <v>0</v>
      </c>
      <c r="AS262" s="34">
        <f t="shared" ref="AS262:AS263" si="935">(AK262+AM262+AO262+AQ262)/2</f>
        <v>0</v>
      </c>
      <c r="AT262" s="24">
        <f t="shared" ref="AT262:AT263" si="936">IF(AQ262=0, 0, AR262/AQ262)</f>
        <v>0</v>
      </c>
      <c r="AU262" s="23" t="str">
        <f t="shared" ref="AU262:AU263" si="937">IF(AR262&gt; 1, IF(AR262 = AS262, "100%", AR262 &amp; "%"), IF(AR262 &lt;= 0.01, "0%", AR262 * 100 &amp; "%"))</f>
        <v>0%</v>
      </c>
      <c r="AV262" s="24">
        <f t="shared" si="808"/>
        <v>0</v>
      </c>
      <c r="AW262" s="26" t="s">
        <v>192</v>
      </c>
      <c r="AX262" s="30" t="s">
        <v>1280</v>
      </c>
      <c r="AY262" s="46">
        <v>0.1</v>
      </c>
      <c r="AZ262" s="57"/>
      <c r="BA262" s="46">
        <v>0.3</v>
      </c>
      <c r="BB262" s="46">
        <v>0.3</v>
      </c>
      <c r="BC262" s="46">
        <v>0.6</v>
      </c>
      <c r="BD262" s="46">
        <v>0.6</v>
      </c>
      <c r="BE262" s="46">
        <v>0.1</v>
      </c>
      <c r="BF262" s="26"/>
      <c r="BG262" s="22">
        <f t="shared" ref="BG262:BH262" si="938">(AY262+BA262+BC262+BE262)</f>
        <v>1.1000000000000001</v>
      </c>
      <c r="BH262" s="22">
        <f t="shared" si="938"/>
        <v>0.89999999999999991</v>
      </c>
      <c r="BI262" s="22">
        <f t="shared" si="851"/>
        <v>0.81818181818181801</v>
      </c>
      <c r="BJ262" s="23" t="str">
        <f t="shared" si="852"/>
        <v>100%</v>
      </c>
      <c r="BK262" s="24">
        <f t="shared" si="853"/>
        <v>0.81818181818181801</v>
      </c>
      <c r="BL262" s="26" t="s">
        <v>92</v>
      </c>
      <c r="BM262" s="25" t="s">
        <v>1280</v>
      </c>
      <c r="BN262" s="27">
        <v>70000000</v>
      </c>
      <c r="BO262" s="27">
        <v>0</v>
      </c>
      <c r="BP262" s="27">
        <v>0</v>
      </c>
      <c r="BQ262" s="27">
        <v>0</v>
      </c>
      <c r="BR262" s="27">
        <f t="shared" ref="BR262:BS262" si="939">+BN262+BP262</f>
        <v>70000000</v>
      </c>
      <c r="BS262" s="27">
        <f t="shared" si="939"/>
        <v>0</v>
      </c>
      <c r="BT262" s="20">
        <f t="shared" si="919"/>
        <v>0</v>
      </c>
      <c r="BU262" s="27">
        <v>0</v>
      </c>
      <c r="BV262" s="27">
        <v>85900000</v>
      </c>
      <c r="BW262" s="27">
        <v>0</v>
      </c>
      <c r="BX262" s="27">
        <v>0</v>
      </c>
      <c r="BY262" s="28">
        <f t="shared" si="149"/>
        <v>0</v>
      </c>
      <c r="BZ262" s="27">
        <v>100000000</v>
      </c>
      <c r="CA262" s="20">
        <v>102000000</v>
      </c>
      <c r="CB262" s="29">
        <v>104040000</v>
      </c>
      <c r="CC262" s="29">
        <v>107161200</v>
      </c>
      <c r="CD262" s="29">
        <v>413201200</v>
      </c>
    </row>
    <row r="263" spans="1:82" ht="54.75" customHeight="1">
      <c r="A263" s="12" t="s">
        <v>851</v>
      </c>
      <c r="B263" s="13">
        <v>0.432</v>
      </c>
      <c r="C263" s="68"/>
      <c r="D263" s="16">
        <v>41</v>
      </c>
      <c r="E263" s="14">
        <v>4102</v>
      </c>
      <c r="F263" s="14">
        <v>27</v>
      </c>
      <c r="G263" s="14" t="s">
        <v>1232</v>
      </c>
      <c r="H263" s="14"/>
      <c r="I263" s="14">
        <v>27.5</v>
      </c>
      <c r="J263" s="14" t="s">
        <v>1277</v>
      </c>
      <c r="K263" s="14" t="s">
        <v>1234</v>
      </c>
      <c r="L263" s="14" t="s">
        <v>1235</v>
      </c>
      <c r="M263" s="14" t="s">
        <v>1236</v>
      </c>
      <c r="N263" s="14" t="s">
        <v>1237</v>
      </c>
      <c r="O263" s="16">
        <v>4102051</v>
      </c>
      <c r="P263" s="17">
        <v>2024257990036</v>
      </c>
      <c r="Q263" s="14" t="s">
        <v>1238</v>
      </c>
      <c r="R263" s="18">
        <v>262</v>
      </c>
      <c r="S263" s="14" t="s">
        <v>1281</v>
      </c>
      <c r="T263" s="14">
        <v>1</v>
      </c>
      <c r="U263" s="14" t="s">
        <v>88</v>
      </c>
      <c r="V263" s="14" t="s">
        <v>114</v>
      </c>
      <c r="W263" s="14" t="s">
        <v>1282</v>
      </c>
      <c r="X263" s="14" t="s">
        <v>584</v>
      </c>
      <c r="Y263" s="22"/>
      <c r="Z263" s="14">
        <f t="shared" si="931"/>
        <v>1</v>
      </c>
      <c r="AA263" s="20">
        <f t="shared" si="913"/>
        <v>0</v>
      </c>
      <c r="AB263" s="20">
        <f t="shared" si="914"/>
        <v>0</v>
      </c>
      <c r="AC263" s="21"/>
      <c r="AD263" s="21"/>
      <c r="AE263" s="21">
        <f t="shared" si="915"/>
        <v>0</v>
      </c>
      <c r="AF263" s="14">
        <v>0</v>
      </c>
      <c r="AG263" s="14">
        <v>0</v>
      </c>
      <c r="AH263" s="14">
        <v>0</v>
      </c>
      <c r="AI263" s="14">
        <v>1</v>
      </c>
      <c r="AJ263" s="26"/>
      <c r="AK263" s="26"/>
      <c r="AL263" s="26"/>
      <c r="AM263" s="26"/>
      <c r="AN263" s="34">
        <v>0</v>
      </c>
      <c r="AO263" s="34">
        <v>0</v>
      </c>
      <c r="AP263" s="34">
        <v>0</v>
      </c>
      <c r="AQ263" s="34">
        <v>0</v>
      </c>
      <c r="AR263" s="34">
        <v>0</v>
      </c>
      <c r="AS263" s="34">
        <f t="shared" si="935"/>
        <v>0</v>
      </c>
      <c r="AT263" s="24">
        <f t="shared" si="936"/>
        <v>0</v>
      </c>
      <c r="AU263" s="23" t="str">
        <f t="shared" si="937"/>
        <v>0%</v>
      </c>
      <c r="AV263" s="24">
        <f t="shared" si="808"/>
        <v>0</v>
      </c>
      <c r="AW263" s="26" t="s">
        <v>192</v>
      </c>
      <c r="AX263" s="26"/>
      <c r="AY263" s="51">
        <v>0</v>
      </c>
      <c r="AZ263" s="52"/>
      <c r="BA263" s="51">
        <v>0</v>
      </c>
      <c r="BB263" s="52"/>
      <c r="BC263" s="51">
        <v>0</v>
      </c>
      <c r="BD263" s="52"/>
      <c r="BE263" s="51">
        <v>0</v>
      </c>
      <c r="BF263" s="32"/>
      <c r="BG263" s="22">
        <f t="shared" ref="BG263:BH263" si="940">(AY263+BA263+BC263+BE263)</f>
        <v>0</v>
      </c>
      <c r="BH263" s="22">
        <f t="shared" si="940"/>
        <v>0</v>
      </c>
      <c r="BI263" s="23" t="str">
        <f>IF(BF263&gt; 1, IF(BF263 = BG263, "100%", BF263 &amp; "%"), IF(BF263 &lt;= 0.01, "0%", BF263 * 100 &amp; "%"))</f>
        <v>0%</v>
      </c>
      <c r="BJ263" s="24">
        <f t="shared" ref="BJ263:BK263" si="941">IF(BF263=0, 0, BG263/BF263)</f>
        <v>0</v>
      </c>
      <c r="BK263" s="24">
        <f t="shared" si="941"/>
        <v>0</v>
      </c>
      <c r="BL263" s="26" t="s">
        <v>192</v>
      </c>
      <c r="BM263" s="25" t="s">
        <v>1283</v>
      </c>
      <c r="BN263" s="27">
        <v>0</v>
      </c>
      <c r="BO263" s="27">
        <v>0</v>
      </c>
      <c r="BP263" s="27">
        <v>0</v>
      </c>
      <c r="BQ263" s="27">
        <v>0</v>
      </c>
      <c r="BR263" s="27">
        <f t="shared" ref="BR263:BS263" si="942">+BN263+BP263</f>
        <v>0</v>
      </c>
      <c r="BS263" s="27">
        <f t="shared" si="942"/>
        <v>0</v>
      </c>
      <c r="BT263" s="20" t="str">
        <f t="shared" si="919"/>
        <v/>
      </c>
      <c r="BU263" s="27">
        <v>0</v>
      </c>
      <c r="BV263" s="27">
        <v>0</v>
      </c>
      <c r="BW263" s="27">
        <v>0</v>
      </c>
      <c r="BX263" s="27">
        <v>0</v>
      </c>
      <c r="BY263" s="28" t="str">
        <f t="shared" si="149"/>
        <v/>
      </c>
      <c r="BZ263" s="27"/>
      <c r="CA263" s="20"/>
      <c r="CB263" s="29"/>
      <c r="CC263" s="29"/>
      <c r="CD263" s="29">
        <v>20000000</v>
      </c>
    </row>
    <row r="264" spans="1:82" ht="94.5" customHeight="1">
      <c r="A264" s="12" t="s">
        <v>851</v>
      </c>
      <c r="B264" s="13">
        <v>0.432</v>
      </c>
      <c r="C264" s="12"/>
      <c r="D264" s="14">
        <v>45</v>
      </c>
      <c r="E264" s="14">
        <v>4502</v>
      </c>
      <c r="F264" s="14">
        <v>28</v>
      </c>
      <c r="G264" s="14" t="s">
        <v>1284</v>
      </c>
      <c r="H264" s="14"/>
      <c r="I264" s="14">
        <v>28.1</v>
      </c>
      <c r="J264" s="14" t="s">
        <v>1285</v>
      </c>
      <c r="K264" s="14" t="s">
        <v>1286</v>
      </c>
      <c r="L264" s="14" t="s">
        <v>1287</v>
      </c>
      <c r="M264" s="14" t="s">
        <v>1288</v>
      </c>
      <c r="N264" s="14">
        <v>0</v>
      </c>
      <c r="O264" s="16">
        <v>4502026</v>
      </c>
      <c r="P264" s="17">
        <v>2024257990037</v>
      </c>
      <c r="Q264" s="14" t="s">
        <v>1289</v>
      </c>
      <c r="R264" s="18">
        <v>263</v>
      </c>
      <c r="S264" s="14" t="s">
        <v>1290</v>
      </c>
      <c r="T264" s="14">
        <v>0</v>
      </c>
      <c r="U264" s="14" t="s">
        <v>88</v>
      </c>
      <c r="V264" s="14" t="s">
        <v>89</v>
      </c>
      <c r="W264" s="14" t="s">
        <v>1291</v>
      </c>
      <c r="X264" s="14" t="s">
        <v>1292</v>
      </c>
      <c r="Y264" s="19"/>
      <c r="Z264" s="14">
        <f t="shared" ref="Z264:Z266" si="943">SUM(AF264:AI264)/4</f>
        <v>1</v>
      </c>
      <c r="AA264" s="20">
        <f t="shared" si="913"/>
        <v>1</v>
      </c>
      <c r="AB264" s="20">
        <f t="shared" si="914"/>
        <v>0.9</v>
      </c>
      <c r="AC264" s="21"/>
      <c r="AD264" s="21"/>
      <c r="AE264" s="21">
        <f t="shared" si="915"/>
        <v>0.46499999999999997</v>
      </c>
      <c r="AF264" s="14">
        <v>1</v>
      </c>
      <c r="AG264" s="14">
        <v>1</v>
      </c>
      <c r="AH264" s="14">
        <v>1</v>
      </c>
      <c r="AI264" s="14">
        <v>1</v>
      </c>
      <c r="AJ264" s="26"/>
      <c r="AK264" s="26"/>
      <c r="AL264" s="26"/>
      <c r="AM264" s="26"/>
      <c r="AN264" s="26">
        <v>0.5</v>
      </c>
      <c r="AO264" s="26">
        <v>0.5</v>
      </c>
      <c r="AP264" s="26">
        <v>0.5</v>
      </c>
      <c r="AQ264" s="26">
        <v>0.5</v>
      </c>
      <c r="AR264" s="22">
        <f t="shared" ref="AR264:AS264" si="944">(AJ264+AL264+AN264+AP264)</f>
        <v>1</v>
      </c>
      <c r="AS264" s="22">
        <f t="shared" si="944"/>
        <v>1</v>
      </c>
      <c r="AT264" s="22">
        <f t="shared" ref="AT264:AT266" si="945">AS264/AR264</f>
        <v>1</v>
      </c>
      <c r="AU264" s="23" t="str">
        <f t="shared" ref="AU264:AU266" si="946">MIN((AR264 /AR264) * 100, 100) &amp; "%"</f>
        <v>100%</v>
      </c>
      <c r="AV264" s="24">
        <f t="shared" si="808"/>
        <v>1</v>
      </c>
      <c r="AW264" s="14" t="s">
        <v>92</v>
      </c>
      <c r="AX264" s="30" t="s">
        <v>1293</v>
      </c>
      <c r="AY264" s="46">
        <v>0.1</v>
      </c>
      <c r="AZ264" s="46">
        <v>0.1</v>
      </c>
      <c r="BA264" s="46">
        <v>0.3</v>
      </c>
      <c r="BB264" s="46">
        <v>0.3</v>
      </c>
      <c r="BC264" s="46">
        <v>0.5</v>
      </c>
      <c r="BD264" s="46">
        <v>0.5</v>
      </c>
      <c r="BE264" s="46">
        <v>0.1</v>
      </c>
      <c r="BF264" s="26"/>
      <c r="BG264" s="22">
        <f t="shared" ref="BG264:BH264" si="947">(AY264+BA264+BC264+BE264)</f>
        <v>1</v>
      </c>
      <c r="BH264" s="22">
        <f t="shared" si="947"/>
        <v>0.9</v>
      </c>
      <c r="BI264" s="22">
        <f t="shared" ref="BI264:BI289" si="948">BH264/BG264</f>
        <v>0.9</v>
      </c>
      <c r="BJ264" s="23" t="str">
        <f t="shared" ref="BJ264:BJ289" si="949">MIN((BG264 /BG264) * 100, 100) &amp; "%"</f>
        <v>100%</v>
      </c>
      <c r="BK264" s="24">
        <f t="shared" ref="BK264:BK289" si="950">IF(BG264=0, 0, BH264/BG264)</f>
        <v>0.9</v>
      </c>
      <c r="BL264" s="22" t="s">
        <v>92</v>
      </c>
      <c r="BM264" s="25" t="s">
        <v>1293</v>
      </c>
      <c r="BN264" s="27">
        <v>44308000</v>
      </c>
      <c r="BO264" s="27">
        <v>41340000</v>
      </c>
      <c r="BP264" s="27">
        <v>10766667</v>
      </c>
      <c r="BQ264" s="27">
        <v>10766667</v>
      </c>
      <c r="BR264" s="27">
        <f t="shared" ref="BR264:BS264" si="951">+BN264+BP264</f>
        <v>55074667</v>
      </c>
      <c r="BS264" s="27">
        <f t="shared" si="951"/>
        <v>52106667</v>
      </c>
      <c r="BT264" s="20">
        <f t="shared" si="919"/>
        <v>0.94610952436625717</v>
      </c>
      <c r="BU264" s="27">
        <v>44308000</v>
      </c>
      <c r="BV264" s="27">
        <v>44308000</v>
      </c>
      <c r="BW264" s="27">
        <v>44308000</v>
      </c>
      <c r="BX264" s="27">
        <v>28470000</v>
      </c>
      <c r="BY264" s="28">
        <f t="shared" si="149"/>
        <v>1</v>
      </c>
      <c r="BZ264" s="27">
        <v>11400000</v>
      </c>
      <c r="CA264" s="20">
        <v>85980000</v>
      </c>
      <c r="CB264" s="29">
        <v>94578000</v>
      </c>
      <c r="CC264" s="29">
        <v>104042000</v>
      </c>
      <c r="CD264" s="29">
        <v>296000000</v>
      </c>
    </row>
    <row r="265" spans="1:82" ht="78" customHeight="1">
      <c r="A265" s="12" t="s">
        <v>851</v>
      </c>
      <c r="B265" s="13">
        <v>0.432</v>
      </c>
      <c r="C265" s="12"/>
      <c r="D265" s="14">
        <v>45</v>
      </c>
      <c r="E265" s="14">
        <v>4502</v>
      </c>
      <c r="F265" s="14">
        <v>28</v>
      </c>
      <c r="G265" s="14" t="s">
        <v>1284</v>
      </c>
      <c r="H265" s="14"/>
      <c r="I265" s="14">
        <v>28.1</v>
      </c>
      <c r="J265" s="14" t="s">
        <v>1285</v>
      </c>
      <c r="K265" s="14" t="s">
        <v>1286</v>
      </c>
      <c r="L265" s="14" t="s">
        <v>1287</v>
      </c>
      <c r="M265" s="14" t="s">
        <v>1288</v>
      </c>
      <c r="N265" s="14">
        <v>0</v>
      </c>
      <c r="O265" s="16">
        <v>4502039</v>
      </c>
      <c r="P265" s="17">
        <v>2024257990037</v>
      </c>
      <c r="Q265" s="14" t="s">
        <v>1289</v>
      </c>
      <c r="R265" s="18">
        <v>264</v>
      </c>
      <c r="S265" s="14" t="s">
        <v>1294</v>
      </c>
      <c r="T265" s="14" t="s">
        <v>1295</v>
      </c>
      <c r="U265" s="14" t="s">
        <v>88</v>
      </c>
      <c r="V265" s="14" t="s">
        <v>89</v>
      </c>
      <c r="W265" s="14" t="s">
        <v>190</v>
      </c>
      <c r="X265" s="14" t="s">
        <v>1292</v>
      </c>
      <c r="Y265" s="19"/>
      <c r="Z265" s="14">
        <f t="shared" si="943"/>
        <v>1</v>
      </c>
      <c r="AA265" s="20">
        <f t="shared" si="913"/>
        <v>1</v>
      </c>
      <c r="AB265" s="20">
        <f t="shared" si="914"/>
        <v>1</v>
      </c>
      <c r="AC265" s="21"/>
      <c r="AD265" s="21"/>
      <c r="AE265" s="21">
        <f t="shared" si="915"/>
        <v>0.5</v>
      </c>
      <c r="AF265" s="14">
        <v>1</v>
      </c>
      <c r="AG265" s="14">
        <v>1</v>
      </c>
      <c r="AH265" s="14">
        <v>1</v>
      </c>
      <c r="AI265" s="14">
        <v>1</v>
      </c>
      <c r="AJ265" s="26"/>
      <c r="AK265" s="26"/>
      <c r="AL265" s="26"/>
      <c r="AM265" s="26"/>
      <c r="AN265" s="26">
        <v>0.5</v>
      </c>
      <c r="AO265" s="26">
        <v>0.5</v>
      </c>
      <c r="AP265" s="26">
        <v>0.5</v>
      </c>
      <c r="AQ265" s="26">
        <v>0.5</v>
      </c>
      <c r="AR265" s="22">
        <f t="shared" ref="AR265:AS265" si="952">(AJ265+AL265+AN265+AP265)</f>
        <v>1</v>
      </c>
      <c r="AS265" s="22">
        <f t="shared" si="952"/>
        <v>1</v>
      </c>
      <c r="AT265" s="22">
        <f t="shared" si="945"/>
        <v>1</v>
      </c>
      <c r="AU265" s="23" t="str">
        <f t="shared" si="946"/>
        <v>100%</v>
      </c>
      <c r="AV265" s="24">
        <f t="shared" si="808"/>
        <v>1</v>
      </c>
      <c r="AW265" s="14" t="s">
        <v>92</v>
      </c>
      <c r="AX265" s="69" t="s">
        <v>1296</v>
      </c>
      <c r="AY265" s="46">
        <v>0.1</v>
      </c>
      <c r="AZ265" s="46">
        <v>0.1</v>
      </c>
      <c r="BA265" s="46">
        <v>0.3</v>
      </c>
      <c r="BB265" s="46">
        <v>0.3</v>
      </c>
      <c r="BC265" s="46">
        <v>0.6</v>
      </c>
      <c r="BD265" s="46">
        <v>0.6</v>
      </c>
      <c r="BE265" s="46">
        <v>0</v>
      </c>
      <c r="BF265" s="26"/>
      <c r="BG265" s="22">
        <f t="shared" ref="BG265:BH265" si="953">(AY265+BA265+BC265+BE265)</f>
        <v>1</v>
      </c>
      <c r="BH265" s="22">
        <f t="shared" si="953"/>
        <v>1</v>
      </c>
      <c r="BI265" s="22">
        <f t="shared" si="948"/>
        <v>1</v>
      </c>
      <c r="BJ265" s="23" t="str">
        <f t="shared" si="949"/>
        <v>100%</v>
      </c>
      <c r="BK265" s="24">
        <f t="shared" si="950"/>
        <v>1</v>
      </c>
      <c r="BL265" s="22" t="s">
        <v>92</v>
      </c>
      <c r="BM265" s="25" t="s">
        <v>1296</v>
      </c>
      <c r="BN265" s="27">
        <v>63443000</v>
      </c>
      <c r="BO265" s="27">
        <v>37333333</v>
      </c>
      <c r="BP265" s="27">
        <v>39000000</v>
      </c>
      <c r="BQ265" s="27">
        <v>39000000</v>
      </c>
      <c r="BR265" s="27">
        <f t="shared" ref="BR265:BS265" si="954">+BN265+BP265</f>
        <v>102443000</v>
      </c>
      <c r="BS265" s="27">
        <f t="shared" si="954"/>
        <v>76333333</v>
      </c>
      <c r="BT265" s="20">
        <f t="shared" si="919"/>
        <v>0.7451298087717072</v>
      </c>
      <c r="BU265" s="27">
        <v>63443000</v>
      </c>
      <c r="BV265" s="27">
        <v>63443000</v>
      </c>
      <c r="BW265" s="27">
        <v>37333333</v>
      </c>
      <c r="BX265" s="27">
        <v>27066667</v>
      </c>
      <c r="BY265" s="28">
        <f t="shared" si="149"/>
        <v>0.5884547231373044</v>
      </c>
      <c r="BZ265" s="27">
        <v>19000000</v>
      </c>
      <c r="CA265" s="20">
        <v>95980000</v>
      </c>
      <c r="CB265" s="29">
        <v>105578000</v>
      </c>
      <c r="CC265" s="29">
        <v>116135800</v>
      </c>
      <c r="CD265" s="29">
        <v>336693800</v>
      </c>
    </row>
    <row r="266" spans="1:82" ht="77.25" customHeight="1">
      <c r="A266" s="12" t="s">
        <v>851</v>
      </c>
      <c r="B266" s="13">
        <v>0.432</v>
      </c>
      <c r="C266" s="12"/>
      <c r="D266" s="14">
        <v>45</v>
      </c>
      <c r="E266" s="14">
        <v>4502</v>
      </c>
      <c r="F266" s="14">
        <v>28</v>
      </c>
      <c r="G266" s="14" t="s">
        <v>1284</v>
      </c>
      <c r="H266" s="14"/>
      <c r="I266" s="14">
        <v>28.2</v>
      </c>
      <c r="J266" s="14" t="s">
        <v>1297</v>
      </c>
      <c r="K266" s="14" t="s">
        <v>1298</v>
      </c>
      <c r="L266" s="14" t="s">
        <v>1299</v>
      </c>
      <c r="M266" s="14" t="s">
        <v>1300</v>
      </c>
      <c r="N266" s="20">
        <v>0.25</v>
      </c>
      <c r="O266" s="16">
        <v>4502026</v>
      </c>
      <c r="P266" s="17">
        <v>2024257990037</v>
      </c>
      <c r="Q266" s="14" t="s">
        <v>1289</v>
      </c>
      <c r="R266" s="18">
        <v>265</v>
      </c>
      <c r="S266" s="14" t="s">
        <v>1301</v>
      </c>
      <c r="T266" s="14">
        <v>0</v>
      </c>
      <c r="U266" s="14" t="s">
        <v>88</v>
      </c>
      <c r="V266" s="14" t="s">
        <v>89</v>
      </c>
      <c r="W266" s="14" t="s">
        <v>1302</v>
      </c>
      <c r="X266" s="14" t="s">
        <v>1292</v>
      </c>
      <c r="Y266" s="19" t="s">
        <v>124</v>
      </c>
      <c r="Z266" s="14">
        <f t="shared" si="943"/>
        <v>7</v>
      </c>
      <c r="AA266" s="20">
        <f t="shared" si="913"/>
        <v>9.9999999999999992E-2</v>
      </c>
      <c r="AB266" s="20">
        <f t="shared" si="914"/>
        <v>0.14285714285714285</v>
      </c>
      <c r="AC266" s="21"/>
      <c r="AD266" s="21"/>
      <c r="AE266" s="21">
        <f t="shared" si="915"/>
        <v>6.4999999999999988E-2</v>
      </c>
      <c r="AF266" s="29">
        <v>7</v>
      </c>
      <c r="AG266" s="29">
        <v>7</v>
      </c>
      <c r="AH266" s="29">
        <v>7</v>
      </c>
      <c r="AI266" s="29">
        <v>7</v>
      </c>
      <c r="AJ266" s="26"/>
      <c r="AK266" s="26"/>
      <c r="AL266" s="26"/>
      <c r="AM266" s="26"/>
      <c r="AN266" s="26">
        <v>0.7</v>
      </c>
      <c r="AO266" s="26">
        <v>0.7</v>
      </c>
      <c r="AP266" s="26">
        <v>0.7</v>
      </c>
      <c r="AQ266" s="26">
        <v>0.7</v>
      </c>
      <c r="AR266" s="22">
        <f t="shared" ref="AR266:AS266" si="955">(AJ266+AL266+AN266+AP266)/2</f>
        <v>0.7</v>
      </c>
      <c r="AS266" s="22">
        <f t="shared" si="955"/>
        <v>0.7</v>
      </c>
      <c r="AT266" s="22">
        <f t="shared" si="945"/>
        <v>1</v>
      </c>
      <c r="AU266" s="23" t="str">
        <f t="shared" si="946"/>
        <v>100%</v>
      </c>
      <c r="AV266" s="24">
        <f t="shared" si="808"/>
        <v>1</v>
      </c>
      <c r="AW266" s="14" t="s">
        <v>92</v>
      </c>
      <c r="AX266" s="69" t="s">
        <v>1303</v>
      </c>
      <c r="AY266" s="26">
        <v>1</v>
      </c>
      <c r="AZ266" s="26">
        <v>1</v>
      </c>
      <c r="BA266" s="26">
        <v>2</v>
      </c>
      <c r="BB266" s="26">
        <v>2</v>
      </c>
      <c r="BC266" s="26">
        <v>4</v>
      </c>
      <c r="BD266" s="26">
        <v>4</v>
      </c>
      <c r="BE266" s="26">
        <v>0</v>
      </c>
      <c r="BF266" s="26"/>
      <c r="BG266" s="22">
        <f t="shared" ref="BG266:BH266" si="956">(AY266+BA266+BC266+BE266)</f>
        <v>7</v>
      </c>
      <c r="BH266" s="22">
        <f t="shared" si="956"/>
        <v>7</v>
      </c>
      <c r="BI266" s="22">
        <f t="shared" si="948"/>
        <v>1</v>
      </c>
      <c r="BJ266" s="23" t="str">
        <f t="shared" si="949"/>
        <v>100%</v>
      </c>
      <c r="BK266" s="24">
        <f t="shared" si="950"/>
        <v>1</v>
      </c>
      <c r="BL266" s="22" t="s">
        <v>92</v>
      </c>
      <c r="BM266" s="25" t="s">
        <v>1303</v>
      </c>
      <c r="BN266" s="27">
        <v>40000000</v>
      </c>
      <c r="BO266" s="27">
        <v>0</v>
      </c>
      <c r="BP266" s="27">
        <v>37940000</v>
      </c>
      <c r="BQ266" s="27">
        <v>37940000</v>
      </c>
      <c r="BR266" s="27">
        <f t="shared" ref="BR266:BS266" si="957">+BN266+BP266</f>
        <v>77940000</v>
      </c>
      <c r="BS266" s="27">
        <f t="shared" si="957"/>
        <v>37940000</v>
      </c>
      <c r="BT266" s="20">
        <f t="shared" si="919"/>
        <v>0.4867847061842443</v>
      </c>
      <c r="BU266" s="27">
        <v>20000000</v>
      </c>
      <c r="BV266" s="27">
        <v>40000000</v>
      </c>
      <c r="BW266" s="27">
        <v>40000000</v>
      </c>
      <c r="BX266" s="27">
        <v>0</v>
      </c>
      <c r="BY266" s="28">
        <f t="shared" si="149"/>
        <v>1</v>
      </c>
      <c r="BZ266" s="27">
        <v>31300000</v>
      </c>
      <c r="CA266" s="20">
        <v>119960000</v>
      </c>
      <c r="CB266" s="29">
        <v>131956000</v>
      </c>
      <c r="CC266" s="29">
        <v>145151600</v>
      </c>
      <c r="CD266" s="29">
        <v>428367600</v>
      </c>
    </row>
    <row r="267" spans="1:82" ht="57.75" customHeight="1">
      <c r="A267" s="12" t="s">
        <v>851</v>
      </c>
      <c r="B267" s="13">
        <v>0.432</v>
      </c>
      <c r="C267" s="12"/>
      <c r="D267" s="14">
        <v>45</v>
      </c>
      <c r="E267" s="14">
        <v>4502</v>
      </c>
      <c r="F267" s="14">
        <v>28</v>
      </c>
      <c r="G267" s="14" t="s">
        <v>1284</v>
      </c>
      <c r="H267" s="14"/>
      <c r="I267" s="14">
        <v>28.2</v>
      </c>
      <c r="J267" s="14" t="s">
        <v>1297</v>
      </c>
      <c r="K267" s="14" t="s">
        <v>1298</v>
      </c>
      <c r="L267" s="14" t="s">
        <v>1299</v>
      </c>
      <c r="M267" s="14" t="s">
        <v>1300</v>
      </c>
      <c r="N267" s="20">
        <v>0.25</v>
      </c>
      <c r="O267" s="16">
        <v>4502026</v>
      </c>
      <c r="P267" s="17">
        <v>2024257990037</v>
      </c>
      <c r="Q267" s="14" t="s">
        <v>1289</v>
      </c>
      <c r="R267" s="18">
        <v>266</v>
      </c>
      <c r="S267" s="14" t="s">
        <v>1304</v>
      </c>
      <c r="T267" s="14">
        <v>0</v>
      </c>
      <c r="U267" s="14" t="s">
        <v>88</v>
      </c>
      <c r="V267" s="14" t="s">
        <v>89</v>
      </c>
      <c r="W267" s="14" t="s">
        <v>1305</v>
      </c>
      <c r="X267" s="14" t="s">
        <v>1292</v>
      </c>
      <c r="Y267" s="19" t="s">
        <v>124</v>
      </c>
      <c r="Z267" s="14">
        <f>SUM(AF267:AI267)/3</f>
        <v>1</v>
      </c>
      <c r="AA267" s="20">
        <f t="shared" si="913"/>
        <v>0</v>
      </c>
      <c r="AB267" s="20">
        <f t="shared" si="914"/>
        <v>0.9</v>
      </c>
      <c r="AC267" s="21"/>
      <c r="AD267" s="21"/>
      <c r="AE267" s="21">
        <f t="shared" si="915"/>
        <v>0.315</v>
      </c>
      <c r="AF267" s="14">
        <v>0</v>
      </c>
      <c r="AG267" s="14">
        <v>1</v>
      </c>
      <c r="AH267" s="14">
        <v>1</v>
      </c>
      <c r="AI267" s="14">
        <v>1</v>
      </c>
      <c r="AJ267" s="26"/>
      <c r="AK267" s="26"/>
      <c r="AL267" s="26"/>
      <c r="AM267" s="26"/>
      <c r="AN267" s="34">
        <v>0</v>
      </c>
      <c r="AO267" s="34">
        <v>0</v>
      </c>
      <c r="AP267" s="34">
        <v>0</v>
      </c>
      <c r="AQ267" s="34">
        <v>0</v>
      </c>
      <c r="AR267" s="34">
        <v>0</v>
      </c>
      <c r="AS267" s="34">
        <f>(AK267+AM267+AO267+AQ267)/2</f>
        <v>0</v>
      </c>
      <c r="AT267" s="24">
        <f>IF(AQ267=0, 0, AR267/AQ267)</f>
        <v>0</v>
      </c>
      <c r="AU267" s="23" t="str">
        <f>IF(AR267&gt; 1, IF(AR267 = AS267, "100%", AR267 &amp; "%"), IF(AR267 &lt;= 0.01, "0%", AR267 * 100 &amp; "%"))</f>
        <v>0%</v>
      </c>
      <c r="AV267" s="24">
        <f t="shared" si="808"/>
        <v>0</v>
      </c>
      <c r="AW267" s="26" t="s">
        <v>192</v>
      </c>
      <c r="AX267" s="69" t="s">
        <v>1306</v>
      </c>
      <c r="AY267" s="46">
        <v>0.1</v>
      </c>
      <c r="AZ267" s="46">
        <v>0.1</v>
      </c>
      <c r="BA267" s="46">
        <v>0.3</v>
      </c>
      <c r="BB267" s="46">
        <v>0.3</v>
      </c>
      <c r="BC267" s="46">
        <v>0.5</v>
      </c>
      <c r="BD267" s="46">
        <v>0.5</v>
      </c>
      <c r="BE267" s="46">
        <v>0.1</v>
      </c>
      <c r="BF267" s="26"/>
      <c r="BG267" s="22">
        <f t="shared" ref="BG267:BH267" si="958">(AY267+BA267+BC267+BE267)</f>
        <v>1</v>
      </c>
      <c r="BH267" s="22">
        <f t="shared" si="958"/>
        <v>0.9</v>
      </c>
      <c r="BI267" s="22">
        <f t="shared" si="948"/>
        <v>0.9</v>
      </c>
      <c r="BJ267" s="23" t="str">
        <f t="shared" si="949"/>
        <v>100%</v>
      </c>
      <c r="BK267" s="24">
        <f t="shared" si="950"/>
        <v>0.9</v>
      </c>
      <c r="BL267" s="22" t="s">
        <v>92</v>
      </c>
      <c r="BM267" s="25" t="s">
        <v>1306</v>
      </c>
      <c r="BN267" s="27">
        <v>55000000</v>
      </c>
      <c r="BO267" s="27">
        <v>50000000</v>
      </c>
      <c r="BP267" s="27">
        <v>0</v>
      </c>
      <c r="BQ267" s="27">
        <v>0</v>
      </c>
      <c r="BR267" s="27">
        <f t="shared" ref="BR267:BS267" si="959">+BN267+BP267</f>
        <v>55000000</v>
      </c>
      <c r="BS267" s="27">
        <f t="shared" si="959"/>
        <v>50000000</v>
      </c>
      <c r="BT267" s="20">
        <f t="shared" si="919"/>
        <v>0.90909090909090906</v>
      </c>
      <c r="BU267" s="27">
        <v>55000000</v>
      </c>
      <c r="BV267" s="27">
        <v>55000000</v>
      </c>
      <c r="BW267" s="27">
        <v>50000000</v>
      </c>
      <c r="BX267" s="27">
        <v>0</v>
      </c>
      <c r="BY267" s="28">
        <f t="shared" si="149"/>
        <v>0.90909090909090906</v>
      </c>
      <c r="BZ267" s="27">
        <v>11400000</v>
      </c>
      <c r="CA267" s="20">
        <v>60000000</v>
      </c>
      <c r="CB267" s="29">
        <v>66000000</v>
      </c>
      <c r="CC267" s="29">
        <v>72600000</v>
      </c>
      <c r="CD267" s="29">
        <v>210000000</v>
      </c>
    </row>
    <row r="268" spans="1:82" ht="42" customHeight="1">
      <c r="A268" s="12" t="s">
        <v>851</v>
      </c>
      <c r="B268" s="13">
        <v>0.432</v>
      </c>
      <c r="C268" s="12"/>
      <c r="D268" s="14">
        <v>45</v>
      </c>
      <c r="E268" s="14">
        <v>4502</v>
      </c>
      <c r="F268" s="14">
        <v>28</v>
      </c>
      <c r="G268" s="14" t="s">
        <v>1284</v>
      </c>
      <c r="H268" s="14"/>
      <c r="I268" s="14">
        <v>28.2</v>
      </c>
      <c r="J268" s="14" t="s">
        <v>1297</v>
      </c>
      <c r="K268" s="14" t="s">
        <v>1298</v>
      </c>
      <c r="L268" s="14" t="s">
        <v>1299</v>
      </c>
      <c r="M268" s="14" t="s">
        <v>1300</v>
      </c>
      <c r="N268" s="20">
        <v>0.25</v>
      </c>
      <c r="O268" s="16">
        <v>4502001</v>
      </c>
      <c r="P268" s="17">
        <v>2024257990037</v>
      </c>
      <c r="Q268" s="14" t="s">
        <v>1289</v>
      </c>
      <c r="R268" s="18">
        <v>267</v>
      </c>
      <c r="S268" s="14" t="s">
        <v>1307</v>
      </c>
      <c r="T268" s="14">
        <v>1</v>
      </c>
      <c r="U268" s="14" t="s">
        <v>88</v>
      </c>
      <c r="V268" s="14" t="s">
        <v>114</v>
      </c>
      <c r="W268" s="14" t="s">
        <v>1264</v>
      </c>
      <c r="X268" s="14" t="s">
        <v>567</v>
      </c>
      <c r="Y268" s="22"/>
      <c r="Z268" s="14">
        <f>SUM(AF268:AI268)</f>
        <v>4</v>
      </c>
      <c r="AA268" s="20">
        <f t="shared" si="913"/>
        <v>0.25</v>
      </c>
      <c r="AB268" s="20">
        <f t="shared" si="914"/>
        <v>0.25</v>
      </c>
      <c r="AC268" s="21"/>
      <c r="AD268" s="21"/>
      <c r="AE268" s="21">
        <f t="shared" si="915"/>
        <v>0.125</v>
      </c>
      <c r="AF268" s="14">
        <v>1</v>
      </c>
      <c r="AG268" s="14">
        <v>1</v>
      </c>
      <c r="AH268" s="14">
        <v>1</v>
      </c>
      <c r="AI268" s="14">
        <v>1</v>
      </c>
      <c r="AJ268" s="26"/>
      <c r="AK268" s="26"/>
      <c r="AL268" s="26"/>
      <c r="AM268" s="26"/>
      <c r="AN268" s="26">
        <v>1</v>
      </c>
      <c r="AO268" s="26">
        <v>1</v>
      </c>
      <c r="AP268" s="26">
        <v>0</v>
      </c>
      <c r="AQ268" s="26">
        <v>0</v>
      </c>
      <c r="AR268" s="22">
        <f t="shared" ref="AR268:AS268" si="960">(AJ268+AL268+AN268+AP268)</f>
        <v>1</v>
      </c>
      <c r="AS268" s="22">
        <f t="shared" si="960"/>
        <v>1</v>
      </c>
      <c r="AT268" s="22">
        <f t="shared" ref="AT268:AT271" si="961">AS268/AR268</f>
        <v>1</v>
      </c>
      <c r="AU268" s="23" t="str">
        <f t="shared" ref="AU268:AU271" si="962">MIN((AR268 /AR268) * 100, 100) &amp; "%"</f>
        <v>100%</v>
      </c>
      <c r="AV268" s="24">
        <f t="shared" si="808"/>
        <v>1</v>
      </c>
      <c r="AW268" s="14" t="s">
        <v>92</v>
      </c>
      <c r="AX268" s="30" t="s">
        <v>1308</v>
      </c>
      <c r="AY268" s="46">
        <v>1</v>
      </c>
      <c r="AZ268" s="26">
        <v>1</v>
      </c>
      <c r="BA268" s="26">
        <v>0</v>
      </c>
      <c r="BB268" s="26">
        <v>0</v>
      </c>
      <c r="BC268" s="26">
        <v>0</v>
      </c>
      <c r="BD268" s="26">
        <v>0</v>
      </c>
      <c r="BE268" s="26">
        <v>0</v>
      </c>
      <c r="BF268" s="26">
        <v>0</v>
      </c>
      <c r="BG268" s="22">
        <f t="shared" ref="BG268:BH268" si="963">(AY268+BA268+BC268+BE268)</f>
        <v>1</v>
      </c>
      <c r="BH268" s="22">
        <f t="shared" si="963"/>
        <v>1</v>
      </c>
      <c r="BI268" s="22">
        <f t="shared" si="948"/>
        <v>1</v>
      </c>
      <c r="BJ268" s="23" t="str">
        <f t="shared" si="949"/>
        <v>100%</v>
      </c>
      <c r="BK268" s="24">
        <f t="shared" si="950"/>
        <v>1</v>
      </c>
      <c r="BL268" s="22" t="s">
        <v>92</v>
      </c>
      <c r="BM268" s="25" t="s">
        <v>1308</v>
      </c>
      <c r="BN268" s="27">
        <v>120000000</v>
      </c>
      <c r="BO268" s="27">
        <v>120000000</v>
      </c>
      <c r="BP268" s="27">
        <v>25000002</v>
      </c>
      <c r="BQ268" s="27">
        <v>25000002</v>
      </c>
      <c r="BR268" s="27">
        <f t="shared" ref="BR268:BS268" si="964">+BN268+BP268</f>
        <v>145000002</v>
      </c>
      <c r="BS268" s="27">
        <f t="shared" si="964"/>
        <v>145000002</v>
      </c>
      <c r="BT268" s="20">
        <f t="shared" si="919"/>
        <v>1</v>
      </c>
      <c r="BU268" s="27">
        <v>120000000</v>
      </c>
      <c r="BV268" s="27">
        <v>120000000</v>
      </c>
      <c r="BW268" s="27">
        <v>120000000</v>
      </c>
      <c r="BX268" s="27">
        <v>120000000</v>
      </c>
      <c r="BY268" s="28">
        <f t="shared" si="149"/>
        <v>1</v>
      </c>
      <c r="BZ268" s="27">
        <v>80000000</v>
      </c>
      <c r="CA268" s="20">
        <v>82400000</v>
      </c>
      <c r="CB268" s="29">
        <v>84872000</v>
      </c>
      <c r="CC268" s="29">
        <v>87418160</v>
      </c>
      <c r="CD268" s="29">
        <v>334690160</v>
      </c>
    </row>
    <row r="269" spans="1:82" ht="57.75" customHeight="1">
      <c r="A269" s="12" t="s">
        <v>851</v>
      </c>
      <c r="B269" s="13">
        <v>0.432</v>
      </c>
      <c r="C269" s="12"/>
      <c r="D269" s="14">
        <v>45</v>
      </c>
      <c r="E269" s="14">
        <v>4502</v>
      </c>
      <c r="F269" s="14">
        <v>28</v>
      </c>
      <c r="G269" s="14" t="s">
        <v>1284</v>
      </c>
      <c r="H269" s="14"/>
      <c r="I269" s="14">
        <v>28.2</v>
      </c>
      <c r="J269" s="14" t="s">
        <v>1297</v>
      </c>
      <c r="K269" s="14" t="s">
        <v>1298</v>
      </c>
      <c r="L269" s="14" t="s">
        <v>1299</v>
      </c>
      <c r="M269" s="14" t="s">
        <v>1300</v>
      </c>
      <c r="N269" s="20">
        <v>0.25</v>
      </c>
      <c r="O269" s="16">
        <v>4502037</v>
      </c>
      <c r="P269" s="17">
        <v>2024257990037</v>
      </c>
      <c r="Q269" s="14" t="s">
        <v>1289</v>
      </c>
      <c r="R269" s="18">
        <v>268</v>
      </c>
      <c r="S269" s="14" t="s">
        <v>1309</v>
      </c>
      <c r="T269" s="14">
        <v>0</v>
      </c>
      <c r="U269" s="14" t="s">
        <v>88</v>
      </c>
      <c r="V269" s="14" t="s">
        <v>89</v>
      </c>
      <c r="W269" s="14" t="s">
        <v>1310</v>
      </c>
      <c r="X269" s="14" t="s">
        <v>1292</v>
      </c>
      <c r="Y269" s="19"/>
      <c r="Z269" s="14">
        <f>SUM(AF269:AI269)/4</f>
        <v>1</v>
      </c>
      <c r="AA269" s="20">
        <f t="shared" si="913"/>
        <v>1</v>
      </c>
      <c r="AB269" s="20">
        <f t="shared" si="914"/>
        <v>0.9</v>
      </c>
      <c r="AC269" s="21"/>
      <c r="AD269" s="21"/>
      <c r="AE269" s="21">
        <f t="shared" si="915"/>
        <v>0.46499999999999997</v>
      </c>
      <c r="AF269" s="14">
        <v>1</v>
      </c>
      <c r="AG269" s="14">
        <v>1</v>
      </c>
      <c r="AH269" s="14">
        <v>1</v>
      </c>
      <c r="AI269" s="14">
        <v>1</v>
      </c>
      <c r="AJ269" s="26"/>
      <c r="AK269" s="26"/>
      <c r="AL269" s="26"/>
      <c r="AM269" s="26"/>
      <c r="AN269" s="26">
        <v>0.7</v>
      </c>
      <c r="AO269" s="26">
        <v>0.7</v>
      </c>
      <c r="AP269" s="26">
        <v>0.3</v>
      </c>
      <c r="AQ269" s="26">
        <v>0.3</v>
      </c>
      <c r="AR269" s="22">
        <f t="shared" ref="AR269:AS269" si="965">(AJ269+AL269+AN269+AP269)</f>
        <v>1</v>
      </c>
      <c r="AS269" s="22">
        <f t="shared" si="965"/>
        <v>1</v>
      </c>
      <c r="AT269" s="22">
        <f t="shared" si="961"/>
        <v>1</v>
      </c>
      <c r="AU269" s="23" t="str">
        <f t="shared" si="962"/>
        <v>100%</v>
      </c>
      <c r="AV269" s="24">
        <f t="shared" si="808"/>
        <v>1</v>
      </c>
      <c r="AW269" s="14" t="s">
        <v>92</v>
      </c>
      <c r="AX269" s="30" t="s">
        <v>1311</v>
      </c>
      <c r="AY269" s="46">
        <v>0.1</v>
      </c>
      <c r="AZ269" s="46">
        <v>0.1</v>
      </c>
      <c r="BA269" s="46">
        <v>0.3</v>
      </c>
      <c r="BB269" s="46">
        <v>0.3</v>
      </c>
      <c r="BC269" s="46">
        <v>0.5</v>
      </c>
      <c r="BD269" s="46">
        <v>0.5</v>
      </c>
      <c r="BE269" s="46">
        <v>0.1</v>
      </c>
      <c r="BF269" s="26"/>
      <c r="BG269" s="22">
        <f t="shared" ref="BG269:BH269" si="966">(AY269+BA269+BC269+BE269)</f>
        <v>1</v>
      </c>
      <c r="BH269" s="22">
        <f t="shared" si="966"/>
        <v>0.9</v>
      </c>
      <c r="BI269" s="22">
        <f t="shared" si="948"/>
        <v>0.9</v>
      </c>
      <c r="BJ269" s="23" t="str">
        <f t="shared" si="949"/>
        <v>100%</v>
      </c>
      <c r="BK269" s="24">
        <f t="shared" si="950"/>
        <v>0.9</v>
      </c>
      <c r="BL269" s="22" t="s">
        <v>92</v>
      </c>
      <c r="BM269" s="25" t="s">
        <v>1311</v>
      </c>
      <c r="BN269" s="27">
        <v>162023000</v>
      </c>
      <c r="BO269" s="27">
        <v>128698993</v>
      </c>
      <c r="BP269" s="27">
        <v>20633333</v>
      </c>
      <c r="BQ269" s="27">
        <v>20633333</v>
      </c>
      <c r="BR269" s="27">
        <f t="shared" ref="BR269:BS269" si="967">+BN269+BP269</f>
        <v>182656333</v>
      </c>
      <c r="BS269" s="27">
        <f t="shared" si="967"/>
        <v>149332326</v>
      </c>
      <c r="BT269" s="20">
        <f t="shared" si="919"/>
        <v>0.81755898384317172</v>
      </c>
      <c r="BU269" s="27">
        <v>162023000</v>
      </c>
      <c r="BV269" s="27">
        <v>155063993</v>
      </c>
      <c r="BW269" s="27">
        <v>155063993</v>
      </c>
      <c r="BX269" s="27">
        <v>112948993</v>
      </c>
      <c r="BY269" s="28">
        <f t="shared" si="149"/>
        <v>1</v>
      </c>
      <c r="BZ269" s="27">
        <v>31550000</v>
      </c>
      <c r="CA269" s="20">
        <v>130000000</v>
      </c>
      <c r="CB269" s="29">
        <v>140000000</v>
      </c>
      <c r="CC269" s="29">
        <v>155000000</v>
      </c>
      <c r="CD269" s="29">
        <v>456550000</v>
      </c>
    </row>
    <row r="270" spans="1:82" ht="57.75" customHeight="1">
      <c r="A270" s="12" t="s">
        <v>851</v>
      </c>
      <c r="B270" s="13">
        <v>0.432</v>
      </c>
      <c r="C270" s="12"/>
      <c r="D270" s="14">
        <v>45</v>
      </c>
      <c r="E270" s="14">
        <v>4502</v>
      </c>
      <c r="F270" s="14">
        <v>28</v>
      </c>
      <c r="G270" s="14" t="s">
        <v>1284</v>
      </c>
      <c r="H270" s="14"/>
      <c r="I270" s="14">
        <v>28.3</v>
      </c>
      <c r="J270" s="14" t="s">
        <v>1312</v>
      </c>
      <c r="K270" s="14" t="s">
        <v>1313</v>
      </c>
      <c r="L270" s="14" t="s">
        <v>1314</v>
      </c>
      <c r="M270" s="14" t="s">
        <v>533</v>
      </c>
      <c r="N270" s="20">
        <v>0.5</v>
      </c>
      <c r="O270" s="16">
        <v>4502001</v>
      </c>
      <c r="P270" s="17">
        <v>2024257990037</v>
      </c>
      <c r="Q270" s="14" t="s">
        <v>1289</v>
      </c>
      <c r="R270" s="18">
        <v>269</v>
      </c>
      <c r="S270" s="14" t="s">
        <v>1315</v>
      </c>
      <c r="T270" s="14">
        <v>0</v>
      </c>
      <c r="U270" s="14" t="s">
        <v>88</v>
      </c>
      <c r="V270" s="14" t="s">
        <v>89</v>
      </c>
      <c r="W270" s="14" t="s">
        <v>1316</v>
      </c>
      <c r="X270" s="14" t="s">
        <v>1292</v>
      </c>
      <c r="Y270" s="19"/>
      <c r="Z270" s="18">
        <f>SUM(AF270:AI270)</f>
        <v>100</v>
      </c>
      <c r="AA270" s="20">
        <f t="shared" si="913"/>
        <v>0.26</v>
      </c>
      <c r="AB270" s="20">
        <f t="shared" si="914"/>
        <v>0.01</v>
      </c>
      <c r="AC270" s="21"/>
      <c r="AD270" s="21"/>
      <c r="AE270" s="21">
        <f t="shared" si="915"/>
        <v>4.2499999999999996E-2</v>
      </c>
      <c r="AF270" s="29">
        <v>30</v>
      </c>
      <c r="AG270" s="29">
        <v>50</v>
      </c>
      <c r="AH270" s="29">
        <v>10</v>
      </c>
      <c r="AI270" s="29">
        <v>10</v>
      </c>
      <c r="AJ270" s="26"/>
      <c r="AK270" s="26"/>
      <c r="AL270" s="26"/>
      <c r="AM270" s="26"/>
      <c r="AN270" s="44">
        <v>1E-3</v>
      </c>
      <c r="AO270" s="26">
        <v>0</v>
      </c>
      <c r="AP270" s="26">
        <v>30</v>
      </c>
      <c r="AQ270" s="26">
        <v>26</v>
      </c>
      <c r="AR270" s="22">
        <f t="shared" ref="AR270:AS270" si="968">(AJ270+AL270+AN270+AP270)</f>
        <v>30.001000000000001</v>
      </c>
      <c r="AS270" s="22">
        <f t="shared" si="968"/>
        <v>26</v>
      </c>
      <c r="AT270" s="22">
        <f t="shared" si="961"/>
        <v>0.86663777874070858</v>
      </c>
      <c r="AU270" s="23" t="str">
        <f t="shared" si="962"/>
        <v>100%</v>
      </c>
      <c r="AV270" s="24">
        <f t="shared" si="808"/>
        <v>0.86663777874070858</v>
      </c>
      <c r="AW270" s="14" t="s">
        <v>92</v>
      </c>
      <c r="AX270" s="30" t="s">
        <v>1317</v>
      </c>
      <c r="AY270" s="26">
        <v>0</v>
      </c>
      <c r="AZ270" s="26">
        <v>0</v>
      </c>
      <c r="BA270" s="26">
        <v>20</v>
      </c>
      <c r="BB270" s="26">
        <v>20</v>
      </c>
      <c r="BC270" s="26">
        <v>30</v>
      </c>
      <c r="BD270" s="26">
        <v>30</v>
      </c>
      <c r="BE270" s="26">
        <v>0</v>
      </c>
      <c r="BF270" s="26">
        <v>0</v>
      </c>
      <c r="BG270" s="22">
        <f t="shared" ref="BG270:BH270" si="969">(AY270+BA270+BC270+BE270)</f>
        <v>50</v>
      </c>
      <c r="BH270" s="22">
        <f t="shared" si="969"/>
        <v>50</v>
      </c>
      <c r="BI270" s="22">
        <f t="shared" si="948"/>
        <v>1</v>
      </c>
      <c r="BJ270" s="23" t="str">
        <f t="shared" si="949"/>
        <v>100%</v>
      </c>
      <c r="BK270" s="24">
        <f t="shared" si="950"/>
        <v>1</v>
      </c>
      <c r="BL270" s="22" t="s">
        <v>92</v>
      </c>
      <c r="BM270" s="25" t="s">
        <v>1317</v>
      </c>
      <c r="BN270" s="27">
        <v>90000000</v>
      </c>
      <c r="BO270" s="27">
        <v>0</v>
      </c>
      <c r="BP270" s="27">
        <v>50000000</v>
      </c>
      <c r="BQ270" s="27">
        <v>50000000</v>
      </c>
      <c r="BR270" s="27">
        <f t="shared" ref="BR270:BS270" si="970">+BN270+BP270</f>
        <v>140000000</v>
      </c>
      <c r="BS270" s="27">
        <f t="shared" si="970"/>
        <v>50000000</v>
      </c>
      <c r="BT270" s="20">
        <f t="shared" si="919"/>
        <v>0.35714285714285715</v>
      </c>
      <c r="BU270" s="27">
        <v>90000000</v>
      </c>
      <c r="BV270" s="27">
        <v>90000000</v>
      </c>
      <c r="BW270" s="27">
        <v>90000000</v>
      </c>
      <c r="BX270" s="27">
        <v>0</v>
      </c>
      <c r="BY270" s="28">
        <f t="shared" si="149"/>
        <v>1</v>
      </c>
      <c r="BZ270" s="27">
        <v>50000000</v>
      </c>
      <c r="CA270" s="20">
        <v>55000000</v>
      </c>
      <c r="CB270" s="29">
        <v>60000000</v>
      </c>
      <c r="CC270" s="29">
        <v>65000000</v>
      </c>
      <c r="CD270" s="29">
        <v>230000000</v>
      </c>
    </row>
    <row r="271" spans="1:82" ht="57.75" customHeight="1">
      <c r="A271" s="12" t="s">
        <v>851</v>
      </c>
      <c r="B271" s="13">
        <v>0.432</v>
      </c>
      <c r="C271" s="12"/>
      <c r="D271" s="14">
        <v>45</v>
      </c>
      <c r="E271" s="14">
        <v>4502</v>
      </c>
      <c r="F271" s="14">
        <v>28</v>
      </c>
      <c r="G271" s="14" t="s">
        <v>1284</v>
      </c>
      <c r="H271" s="14"/>
      <c r="I271" s="14">
        <v>28.3</v>
      </c>
      <c r="J271" s="14" t="s">
        <v>1312</v>
      </c>
      <c r="K271" s="14" t="s">
        <v>1313</v>
      </c>
      <c r="L271" s="14" t="s">
        <v>1314</v>
      </c>
      <c r="M271" s="14" t="s">
        <v>533</v>
      </c>
      <c r="N271" s="20">
        <v>0.5</v>
      </c>
      <c r="O271" s="16">
        <v>4502001</v>
      </c>
      <c r="P271" s="17">
        <v>2024257990037</v>
      </c>
      <c r="Q271" s="14" t="s">
        <v>1289</v>
      </c>
      <c r="R271" s="18">
        <v>270</v>
      </c>
      <c r="S271" s="14" t="s">
        <v>1318</v>
      </c>
      <c r="T271" s="20">
        <v>1</v>
      </c>
      <c r="U271" s="14" t="s">
        <v>109</v>
      </c>
      <c r="V271" s="14" t="s">
        <v>114</v>
      </c>
      <c r="W271" s="14" t="s">
        <v>1319</v>
      </c>
      <c r="X271" s="14" t="s">
        <v>1292</v>
      </c>
      <c r="Y271" s="19"/>
      <c r="Z271" s="24">
        <f>SUM(AF271:AI271)/4</f>
        <v>1</v>
      </c>
      <c r="AA271" s="20">
        <f t="shared" si="913"/>
        <v>1</v>
      </c>
      <c r="AB271" s="20">
        <f t="shared" si="914"/>
        <v>0.95</v>
      </c>
      <c r="AC271" s="21"/>
      <c r="AD271" s="21"/>
      <c r="AE271" s="21">
        <f t="shared" si="915"/>
        <v>0.48249999999999993</v>
      </c>
      <c r="AF271" s="24">
        <v>1</v>
      </c>
      <c r="AG271" s="24">
        <v>1</v>
      </c>
      <c r="AH271" s="24">
        <v>1</v>
      </c>
      <c r="AI271" s="24">
        <v>1</v>
      </c>
      <c r="AJ271" s="26"/>
      <c r="AK271" s="26"/>
      <c r="AL271" s="26"/>
      <c r="AM271" s="26"/>
      <c r="AN271" s="24">
        <v>0.5</v>
      </c>
      <c r="AO271" s="24">
        <v>0.5</v>
      </c>
      <c r="AP271" s="24">
        <v>0.5</v>
      </c>
      <c r="AQ271" s="24">
        <v>0.5</v>
      </c>
      <c r="AR271" s="24">
        <f t="shared" ref="AR271:AS271" si="971">(AJ271+AL271+AN271+AP271)</f>
        <v>1</v>
      </c>
      <c r="AS271" s="24">
        <f t="shared" si="971"/>
        <v>1</v>
      </c>
      <c r="AT271" s="24">
        <f t="shared" si="961"/>
        <v>1</v>
      </c>
      <c r="AU271" s="23" t="str">
        <f t="shared" si="962"/>
        <v>100%</v>
      </c>
      <c r="AV271" s="24">
        <f t="shared" si="808"/>
        <v>1</v>
      </c>
      <c r="AW271" s="14" t="s">
        <v>92</v>
      </c>
      <c r="AX271" s="30" t="s">
        <v>1320</v>
      </c>
      <c r="AY271" s="24">
        <v>0.05</v>
      </c>
      <c r="AZ271" s="24">
        <v>0.05</v>
      </c>
      <c r="BA271" s="24">
        <v>0.4</v>
      </c>
      <c r="BB271" s="24">
        <v>0.4</v>
      </c>
      <c r="BC271" s="24">
        <v>0.5</v>
      </c>
      <c r="BD271" s="24">
        <v>0.5</v>
      </c>
      <c r="BE271" s="24">
        <v>0.05</v>
      </c>
      <c r="BF271" s="26"/>
      <c r="BG271" s="20">
        <f t="shared" ref="BG271:BH271" si="972">(AY271+BA271+BC271+BE271)</f>
        <v>1</v>
      </c>
      <c r="BH271" s="20">
        <f t="shared" si="972"/>
        <v>0.95</v>
      </c>
      <c r="BI271" s="20">
        <f t="shared" si="948"/>
        <v>0.95</v>
      </c>
      <c r="BJ271" s="23" t="str">
        <f t="shared" si="949"/>
        <v>100%</v>
      </c>
      <c r="BK271" s="24">
        <f t="shared" si="950"/>
        <v>0.95</v>
      </c>
      <c r="BL271" s="22" t="s">
        <v>92</v>
      </c>
      <c r="BM271" s="25" t="s">
        <v>1320</v>
      </c>
      <c r="BN271" s="27">
        <v>45000000</v>
      </c>
      <c r="BO271" s="27">
        <v>0</v>
      </c>
      <c r="BP271" s="27">
        <v>40394327</v>
      </c>
      <c r="BQ271" s="27">
        <v>40394327</v>
      </c>
      <c r="BR271" s="27">
        <f t="shared" ref="BR271:BS271" si="973">+BN271+BP271</f>
        <v>85394327</v>
      </c>
      <c r="BS271" s="27">
        <f t="shared" si="973"/>
        <v>40394327</v>
      </c>
      <c r="BT271" s="20">
        <f t="shared" si="919"/>
        <v>0.47303291001988929</v>
      </c>
      <c r="BU271" s="27">
        <v>45000000</v>
      </c>
      <c r="BV271" s="27">
        <v>45000000</v>
      </c>
      <c r="BW271" s="27">
        <v>44840759</v>
      </c>
      <c r="BX271" s="27">
        <v>0</v>
      </c>
      <c r="BY271" s="28">
        <f t="shared" si="149"/>
        <v>0.99646131111111114</v>
      </c>
      <c r="BZ271" s="27">
        <v>20000000</v>
      </c>
      <c r="CA271" s="20">
        <v>60000000</v>
      </c>
      <c r="CB271" s="29">
        <v>50000000</v>
      </c>
      <c r="CC271" s="29">
        <v>53000000</v>
      </c>
      <c r="CD271" s="29">
        <v>183000000</v>
      </c>
    </row>
    <row r="272" spans="1:82" ht="57.75" customHeight="1">
      <c r="A272" s="12" t="s">
        <v>851</v>
      </c>
      <c r="B272" s="13">
        <v>0.432</v>
      </c>
      <c r="C272" s="12"/>
      <c r="D272" s="14">
        <v>45</v>
      </c>
      <c r="E272" s="14">
        <v>4502</v>
      </c>
      <c r="F272" s="14">
        <v>28</v>
      </c>
      <c r="G272" s="14" t="s">
        <v>1284</v>
      </c>
      <c r="H272" s="14"/>
      <c r="I272" s="14">
        <v>28.3</v>
      </c>
      <c r="J272" s="14" t="s">
        <v>1312</v>
      </c>
      <c r="K272" s="14" t="s">
        <v>1313</v>
      </c>
      <c r="L272" s="14" t="s">
        <v>1314</v>
      </c>
      <c r="M272" s="14" t="s">
        <v>533</v>
      </c>
      <c r="N272" s="20">
        <v>0.5</v>
      </c>
      <c r="O272" s="16">
        <v>4502026</v>
      </c>
      <c r="P272" s="17">
        <v>2024257990037</v>
      </c>
      <c r="Q272" s="14" t="s">
        <v>1289</v>
      </c>
      <c r="R272" s="18">
        <v>271</v>
      </c>
      <c r="S272" s="14" t="s">
        <v>1321</v>
      </c>
      <c r="T272" s="20">
        <v>0.5</v>
      </c>
      <c r="U272" s="14" t="s">
        <v>109</v>
      </c>
      <c r="V272" s="14" t="s">
        <v>89</v>
      </c>
      <c r="W272" s="14" t="s">
        <v>1322</v>
      </c>
      <c r="X272" s="14" t="s">
        <v>1292</v>
      </c>
      <c r="Y272" s="19"/>
      <c r="Z272" s="20">
        <f t="shared" ref="Z272:Z275" si="974">SUM(AF272:AI272)</f>
        <v>0.35</v>
      </c>
      <c r="AA272" s="20">
        <f t="shared" si="913"/>
        <v>0</v>
      </c>
      <c r="AB272" s="20">
        <f t="shared" si="914"/>
        <v>2.4761904761904763</v>
      </c>
      <c r="AC272" s="21"/>
      <c r="AD272" s="21"/>
      <c r="AE272" s="21">
        <f t="shared" si="915"/>
        <v>0.8666666666666667</v>
      </c>
      <c r="AF272" s="24">
        <v>0</v>
      </c>
      <c r="AG272" s="24">
        <v>0.15</v>
      </c>
      <c r="AH272" s="24">
        <v>0.15</v>
      </c>
      <c r="AI272" s="24">
        <v>0.05</v>
      </c>
      <c r="AJ272" s="26"/>
      <c r="AK272" s="26"/>
      <c r="AL272" s="26"/>
      <c r="AM272" s="26"/>
      <c r="AN272" s="24">
        <v>0</v>
      </c>
      <c r="AO272" s="24">
        <v>0</v>
      </c>
      <c r="AP272" s="24">
        <v>0</v>
      </c>
      <c r="AQ272" s="26">
        <v>0</v>
      </c>
      <c r="AR272" s="24">
        <f t="shared" ref="AR272:AS272" si="975">(AJ272+AL272+AN272+AP272)</f>
        <v>0</v>
      </c>
      <c r="AS272" s="24">
        <f t="shared" si="975"/>
        <v>0</v>
      </c>
      <c r="AT272" s="24">
        <f>IF(AQ272=0, 0, AR272/AQ272)</f>
        <v>0</v>
      </c>
      <c r="AU272" s="23" t="str">
        <f>IF(AR272&gt; 1, IF(AR272 = AS272, "100%", AR272 &amp; "%"), IF(AR272 &lt;= 0.01, "0%", AR272 * 100 &amp; "%"))</f>
        <v>0%</v>
      </c>
      <c r="AV272" s="24">
        <f t="shared" si="808"/>
        <v>0</v>
      </c>
      <c r="AW272" s="14" t="s">
        <v>192</v>
      </c>
      <c r="AX272" s="30" t="s">
        <v>1323</v>
      </c>
      <c r="AY272" s="26">
        <v>0</v>
      </c>
      <c r="AZ272" s="26">
        <v>0</v>
      </c>
      <c r="BA272" s="24">
        <v>0.1</v>
      </c>
      <c r="BB272" s="24">
        <v>0.1</v>
      </c>
      <c r="BC272" s="24">
        <v>0.03</v>
      </c>
      <c r="BD272" s="24">
        <v>0.03</v>
      </c>
      <c r="BE272" s="24">
        <v>0.02</v>
      </c>
      <c r="BF272" s="26"/>
      <c r="BG272" s="22">
        <f t="shared" ref="BG272:BH272" si="976">(AY272+BA272+BC272+BE272)</f>
        <v>0.15</v>
      </c>
      <c r="BH272" s="22">
        <f t="shared" si="976"/>
        <v>0.13</v>
      </c>
      <c r="BI272" s="22">
        <f t="shared" si="948"/>
        <v>0.8666666666666667</v>
      </c>
      <c r="BJ272" s="23" t="str">
        <f t="shared" si="949"/>
        <v>100%</v>
      </c>
      <c r="BK272" s="24">
        <f t="shared" si="950"/>
        <v>0.8666666666666667</v>
      </c>
      <c r="BL272" s="22" t="s">
        <v>92</v>
      </c>
      <c r="BM272" s="25" t="s">
        <v>1323</v>
      </c>
      <c r="BN272" s="27">
        <v>317000000</v>
      </c>
      <c r="BO272" s="27">
        <v>75000000</v>
      </c>
      <c r="BP272" s="27">
        <v>18000000</v>
      </c>
      <c r="BQ272" s="27">
        <v>18000000</v>
      </c>
      <c r="BR272" s="27">
        <f t="shared" ref="BR272:BS272" si="977">+BN272+BP272</f>
        <v>335000000</v>
      </c>
      <c r="BS272" s="27">
        <f t="shared" si="977"/>
        <v>93000000</v>
      </c>
      <c r="BT272" s="20">
        <f t="shared" si="919"/>
        <v>0.27761194029850744</v>
      </c>
      <c r="BU272" s="27">
        <v>295000000</v>
      </c>
      <c r="BV272" s="27">
        <v>317000000</v>
      </c>
      <c r="BW272" s="27">
        <v>305000000</v>
      </c>
      <c r="BX272" s="27">
        <v>62513094</v>
      </c>
      <c r="BY272" s="28">
        <f t="shared" si="149"/>
        <v>0.96214511041009465</v>
      </c>
      <c r="BZ272" s="27">
        <v>77600000</v>
      </c>
      <c r="CA272" s="20">
        <v>115000000</v>
      </c>
      <c r="CB272" s="29">
        <v>120000000</v>
      </c>
      <c r="CC272" s="29">
        <v>130000000</v>
      </c>
      <c r="CD272" s="29">
        <v>442600000</v>
      </c>
    </row>
    <row r="273" spans="1:82" ht="57.75" customHeight="1">
      <c r="A273" s="12" t="s">
        <v>851</v>
      </c>
      <c r="B273" s="13">
        <v>0.432</v>
      </c>
      <c r="C273" s="12"/>
      <c r="D273" s="14">
        <v>45</v>
      </c>
      <c r="E273" s="14">
        <v>4502</v>
      </c>
      <c r="F273" s="14">
        <v>28</v>
      </c>
      <c r="G273" s="14" t="s">
        <v>1284</v>
      </c>
      <c r="H273" s="14"/>
      <c r="I273" s="14">
        <v>28.4</v>
      </c>
      <c r="J273" s="14" t="s">
        <v>1324</v>
      </c>
      <c r="K273" s="14" t="s">
        <v>1325</v>
      </c>
      <c r="L273" s="14" t="s">
        <v>1326</v>
      </c>
      <c r="M273" s="14" t="s">
        <v>1327</v>
      </c>
      <c r="N273" s="46">
        <v>0</v>
      </c>
      <c r="O273" s="16">
        <v>4502037</v>
      </c>
      <c r="P273" s="17">
        <v>2024257990037</v>
      </c>
      <c r="Q273" s="14" t="s">
        <v>1289</v>
      </c>
      <c r="R273" s="18">
        <v>272</v>
      </c>
      <c r="S273" s="14" t="s">
        <v>1328</v>
      </c>
      <c r="T273" s="14">
        <v>0</v>
      </c>
      <c r="U273" s="14" t="s">
        <v>88</v>
      </c>
      <c r="V273" s="14" t="s">
        <v>89</v>
      </c>
      <c r="W273" s="14" t="s">
        <v>1329</v>
      </c>
      <c r="X273" s="14" t="s">
        <v>1292</v>
      </c>
      <c r="Y273" s="19" t="s">
        <v>124</v>
      </c>
      <c r="Z273" s="18">
        <f t="shared" si="974"/>
        <v>4000</v>
      </c>
      <c r="AA273" s="20">
        <f t="shared" si="913"/>
        <v>0.25</v>
      </c>
      <c r="AB273" s="20">
        <f t="shared" si="914"/>
        <v>2.3975E-4</v>
      </c>
      <c r="AC273" s="21"/>
      <c r="AD273" s="21"/>
      <c r="AE273" s="21">
        <f t="shared" si="915"/>
        <v>3.7583912499999997E-2</v>
      </c>
      <c r="AF273" s="29">
        <v>1000</v>
      </c>
      <c r="AG273" s="29">
        <v>1000</v>
      </c>
      <c r="AH273" s="29">
        <v>1000</v>
      </c>
      <c r="AI273" s="29">
        <v>1000</v>
      </c>
      <c r="AJ273" s="26"/>
      <c r="AK273" s="26"/>
      <c r="AL273" s="26"/>
      <c r="AM273" s="26"/>
      <c r="AN273" s="26">
        <v>700</v>
      </c>
      <c r="AO273" s="26">
        <v>700</v>
      </c>
      <c r="AP273" s="26">
        <v>300</v>
      </c>
      <c r="AQ273" s="26">
        <v>300</v>
      </c>
      <c r="AR273" s="22">
        <f t="shared" ref="AR273:AS273" si="978">(AJ273+AL273+AN273+AP273)</f>
        <v>1000</v>
      </c>
      <c r="AS273" s="22">
        <f t="shared" si="978"/>
        <v>1000</v>
      </c>
      <c r="AT273" s="22">
        <f t="shared" ref="AT273:AT276" si="979">AS273/AR273</f>
        <v>1</v>
      </c>
      <c r="AU273" s="23" t="str">
        <f t="shared" ref="AU273:AU276" si="980">MIN((AR273 /AR273) * 100, 100) &amp; "%"</f>
        <v>100%</v>
      </c>
      <c r="AV273" s="24">
        <f t="shared" si="808"/>
        <v>1</v>
      </c>
      <c r="AW273" s="14" t="s">
        <v>92</v>
      </c>
      <c r="AX273" s="30" t="s">
        <v>1330</v>
      </c>
      <c r="AY273" s="26">
        <v>400</v>
      </c>
      <c r="AZ273" s="26">
        <v>417</v>
      </c>
      <c r="BA273" s="26">
        <v>200</v>
      </c>
      <c r="BB273" s="26">
        <v>500</v>
      </c>
      <c r="BC273" s="26">
        <v>160</v>
      </c>
      <c r="BD273" s="26">
        <v>42</v>
      </c>
      <c r="BE273" s="26">
        <v>240</v>
      </c>
      <c r="BF273" s="26"/>
      <c r="BG273" s="22">
        <f t="shared" ref="BG273:BH273" si="981">(AY273+BA273+BC273+BE273)</f>
        <v>1000</v>
      </c>
      <c r="BH273" s="22">
        <f t="shared" si="981"/>
        <v>959</v>
      </c>
      <c r="BI273" s="22">
        <f t="shared" si="948"/>
        <v>0.95899999999999996</v>
      </c>
      <c r="BJ273" s="23" t="str">
        <f t="shared" si="949"/>
        <v>100%</v>
      </c>
      <c r="BK273" s="24">
        <f t="shared" si="950"/>
        <v>0.95899999999999996</v>
      </c>
      <c r="BL273" s="22" t="s">
        <v>92</v>
      </c>
      <c r="BM273" s="25" t="s">
        <v>1330</v>
      </c>
      <c r="BN273" s="27">
        <v>208411838</v>
      </c>
      <c r="BO273" s="27">
        <v>142400000</v>
      </c>
      <c r="BP273" s="27">
        <v>46232925</v>
      </c>
      <c r="BQ273" s="27">
        <v>46232925</v>
      </c>
      <c r="BR273" s="27">
        <f t="shared" ref="BR273:BS273" si="982">+BN273+BP273</f>
        <v>254644763</v>
      </c>
      <c r="BS273" s="27">
        <f t="shared" si="982"/>
        <v>188632925</v>
      </c>
      <c r="BT273" s="20">
        <f t="shared" si="919"/>
        <v>0.74076891579348914</v>
      </c>
      <c r="BU273" s="27">
        <v>205000000</v>
      </c>
      <c r="BV273" s="27">
        <v>208411838</v>
      </c>
      <c r="BW273" s="27">
        <v>187109500</v>
      </c>
      <c r="BX273" s="27">
        <v>143022750</v>
      </c>
      <c r="BY273" s="28">
        <f t="shared" si="149"/>
        <v>0.89778729363732213</v>
      </c>
      <c r="BZ273" s="27">
        <v>100000000</v>
      </c>
      <c r="CA273" s="20">
        <v>150000000</v>
      </c>
      <c r="CB273" s="29">
        <v>160000000</v>
      </c>
      <c r="CC273" s="29">
        <v>180000000</v>
      </c>
      <c r="CD273" s="29">
        <v>590000000</v>
      </c>
    </row>
    <row r="274" spans="1:82" ht="57.75" customHeight="1">
      <c r="A274" s="12" t="s">
        <v>851</v>
      </c>
      <c r="B274" s="13">
        <v>0.432</v>
      </c>
      <c r="C274" s="12"/>
      <c r="D274" s="14">
        <v>45</v>
      </c>
      <c r="E274" s="14">
        <v>4502</v>
      </c>
      <c r="F274" s="14">
        <v>28</v>
      </c>
      <c r="G274" s="14" t="s">
        <v>1284</v>
      </c>
      <c r="H274" s="14"/>
      <c r="I274" s="14">
        <v>28.4</v>
      </c>
      <c r="J274" s="14" t="s">
        <v>1324</v>
      </c>
      <c r="K274" s="14" t="s">
        <v>1325</v>
      </c>
      <c r="L274" s="14" t="s">
        <v>1326</v>
      </c>
      <c r="M274" s="14" t="s">
        <v>1327</v>
      </c>
      <c r="N274" s="46">
        <v>0</v>
      </c>
      <c r="O274" s="16">
        <v>4502026</v>
      </c>
      <c r="P274" s="17">
        <v>2024257990037</v>
      </c>
      <c r="Q274" s="14" t="s">
        <v>1289</v>
      </c>
      <c r="R274" s="18">
        <v>273</v>
      </c>
      <c r="S274" s="14" t="s">
        <v>1331</v>
      </c>
      <c r="T274" s="14">
        <v>0</v>
      </c>
      <c r="U274" s="14" t="s">
        <v>88</v>
      </c>
      <c r="V274" s="14" t="s">
        <v>89</v>
      </c>
      <c r="W274" s="14" t="s">
        <v>1332</v>
      </c>
      <c r="X274" s="14" t="s">
        <v>1292</v>
      </c>
      <c r="Y274" s="19"/>
      <c r="Z274" s="20">
        <f t="shared" si="974"/>
        <v>1</v>
      </c>
      <c r="AA274" s="20">
        <f t="shared" si="913"/>
        <v>1</v>
      </c>
      <c r="AB274" s="20">
        <f t="shared" si="914"/>
        <v>0.83333333333333337</v>
      </c>
      <c r="AC274" s="21"/>
      <c r="AD274" s="21"/>
      <c r="AE274" s="21">
        <f t="shared" si="915"/>
        <v>0.44166666666666665</v>
      </c>
      <c r="AF274" s="24">
        <v>0.1</v>
      </c>
      <c r="AG274" s="24">
        <v>0.3</v>
      </c>
      <c r="AH274" s="24">
        <v>0.5</v>
      </c>
      <c r="AI274" s="24">
        <v>0.1</v>
      </c>
      <c r="AJ274" s="26"/>
      <c r="AK274" s="26"/>
      <c r="AL274" s="26"/>
      <c r="AM274" s="26"/>
      <c r="AN274" s="26">
        <v>0.4</v>
      </c>
      <c r="AO274" s="26">
        <v>0.4</v>
      </c>
      <c r="AP274" s="26">
        <v>0.6</v>
      </c>
      <c r="AQ274" s="26">
        <v>0.6</v>
      </c>
      <c r="AR274" s="22">
        <f t="shared" ref="AR274:AS274" si="983">(AJ274+AL274+AN274+AP274)</f>
        <v>1</v>
      </c>
      <c r="AS274" s="22">
        <f t="shared" si="983"/>
        <v>1</v>
      </c>
      <c r="AT274" s="22">
        <f t="shared" si="979"/>
        <v>1</v>
      </c>
      <c r="AU274" s="23" t="str">
        <f t="shared" si="980"/>
        <v>100%</v>
      </c>
      <c r="AV274" s="24">
        <f t="shared" si="808"/>
        <v>1</v>
      </c>
      <c r="AW274" s="14" t="s">
        <v>92</v>
      </c>
      <c r="AX274" s="30" t="s">
        <v>1333</v>
      </c>
      <c r="AY274" s="26">
        <v>0</v>
      </c>
      <c r="AZ274" s="26">
        <v>0</v>
      </c>
      <c r="BA274" s="24">
        <v>0.1</v>
      </c>
      <c r="BB274" s="24">
        <v>0.1</v>
      </c>
      <c r="BC274" s="24">
        <v>0.15</v>
      </c>
      <c r="BD274" s="24">
        <v>0.15</v>
      </c>
      <c r="BE274" s="24">
        <v>0.05</v>
      </c>
      <c r="BF274" s="26"/>
      <c r="BG274" s="20">
        <f t="shared" ref="BG274:BH274" si="984">(AY274+BA274+BC274+BE274)</f>
        <v>0.3</v>
      </c>
      <c r="BH274" s="20">
        <f t="shared" si="984"/>
        <v>0.25</v>
      </c>
      <c r="BI274" s="20">
        <f t="shared" si="948"/>
        <v>0.83333333333333337</v>
      </c>
      <c r="BJ274" s="23" t="str">
        <f t="shared" si="949"/>
        <v>100%</v>
      </c>
      <c r="BK274" s="24">
        <f t="shared" si="950"/>
        <v>0.83333333333333337</v>
      </c>
      <c r="BL274" s="22" t="s">
        <v>92</v>
      </c>
      <c r="BM274" s="25" t="s">
        <v>1333</v>
      </c>
      <c r="BN274" s="27">
        <v>45000000</v>
      </c>
      <c r="BO274" s="27">
        <v>0</v>
      </c>
      <c r="BP274" s="27">
        <v>113360100</v>
      </c>
      <c r="BQ274" s="27">
        <v>113360100</v>
      </c>
      <c r="BR274" s="27">
        <f t="shared" ref="BR274:BS274" si="985">+BN274+BP274</f>
        <v>158360100</v>
      </c>
      <c r="BS274" s="27">
        <f t="shared" si="985"/>
        <v>113360100</v>
      </c>
      <c r="BT274" s="20">
        <f t="shared" si="919"/>
        <v>0.71583751210058599</v>
      </c>
      <c r="BU274" s="27">
        <v>45000000</v>
      </c>
      <c r="BV274" s="27">
        <v>45000000</v>
      </c>
      <c r="BW274" s="27">
        <v>15000000</v>
      </c>
      <c r="BX274" s="27">
        <v>8834485</v>
      </c>
      <c r="BY274" s="28">
        <f t="shared" si="149"/>
        <v>0.33333333333333331</v>
      </c>
      <c r="BZ274" s="27">
        <v>214000000</v>
      </c>
      <c r="CA274" s="20">
        <v>130000000</v>
      </c>
      <c r="CB274" s="29">
        <v>135000000</v>
      </c>
      <c r="CC274" s="29">
        <v>140000000</v>
      </c>
      <c r="CD274" s="29">
        <v>619000000</v>
      </c>
    </row>
    <row r="275" spans="1:82" ht="57.75" customHeight="1">
      <c r="A275" s="12" t="s">
        <v>851</v>
      </c>
      <c r="B275" s="13">
        <v>0.432</v>
      </c>
      <c r="C275" s="12"/>
      <c r="D275" s="14">
        <v>45</v>
      </c>
      <c r="E275" s="14">
        <v>4502</v>
      </c>
      <c r="F275" s="14">
        <v>28</v>
      </c>
      <c r="G275" s="14" t="s">
        <v>1284</v>
      </c>
      <c r="H275" s="14"/>
      <c r="I275" s="14">
        <v>28.5</v>
      </c>
      <c r="J275" s="14" t="s">
        <v>1334</v>
      </c>
      <c r="K275" s="14" t="s">
        <v>1335</v>
      </c>
      <c r="L275" s="14" t="s">
        <v>1336</v>
      </c>
      <c r="M275" s="14" t="s">
        <v>1337</v>
      </c>
      <c r="N275" s="14">
        <v>0</v>
      </c>
      <c r="O275" s="16">
        <v>4502038</v>
      </c>
      <c r="P275" s="17">
        <v>2024257990037</v>
      </c>
      <c r="Q275" s="14" t="s">
        <v>1289</v>
      </c>
      <c r="R275" s="18">
        <v>274</v>
      </c>
      <c r="S275" s="14" t="s">
        <v>1338</v>
      </c>
      <c r="T275" s="14">
        <v>0</v>
      </c>
      <c r="U275" s="14" t="s">
        <v>88</v>
      </c>
      <c r="V275" s="14" t="s">
        <v>89</v>
      </c>
      <c r="W275" s="14" t="s">
        <v>1339</v>
      </c>
      <c r="X275" s="14" t="s">
        <v>1292</v>
      </c>
      <c r="Y275" s="19" t="s">
        <v>124</v>
      </c>
      <c r="Z275" s="18">
        <f t="shared" si="974"/>
        <v>1</v>
      </c>
      <c r="AA275" s="20">
        <f t="shared" si="913"/>
        <v>0.95</v>
      </c>
      <c r="AB275" s="20">
        <f t="shared" si="914"/>
        <v>0.93333333333333324</v>
      </c>
      <c r="AC275" s="21"/>
      <c r="AD275" s="21"/>
      <c r="AE275" s="21">
        <f t="shared" si="915"/>
        <v>0.46916666666666662</v>
      </c>
      <c r="AF275" s="33">
        <v>0.1</v>
      </c>
      <c r="AG275" s="33">
        <v>0.3</v>
      </c>
      <c r="AH275" s="33">
        <v>0.4</v>
      </c>
      <c r="AI275" s="33">
        <v>0.2</v>
      </c>
      <c r="AJ275" s="26"/>
      <c r="AK275" s="26"/>
      <c r="AL275" s="26"/>
      <c r="AM275" s="26"/>
      <c r="AN275" s="26">
        <v>0.5</v>
      </c>
      <c r="AO275" s="26">
        <v>0.5</v>
      </c>
      <c r="AP275" s="26">
        <v>0.5</v>
      </c>
      <c r="AQ275" s="26">
        <v>0.45</v>
      </c>
      <c r="AR275" s="22">
        <f t="shared" ref="AR275:AS275" si="986">(AJ275+AL275+AN275+AP275)</f>
        <v>1</v>
      </c>
      <c r="AS275" s="22">
        <f t="shared" si="986"/>
        <v>0.95</v>
      </c>
      <c r="AT275" s="22">
        <f t="shared" si="979"/>
        <v>0.95</v>
      </c>
      <c r="AU275" s="23" t="str">
        <f t="shared" si="980"/>
        <v>100%</v>
      </c>
      <c r="AV275" s="24">
        <f t="shared" si="808"/>
        <v>0.95</v>
      </c>
      <c r="AW275" s="14" t="s">
        <v>92</v>
      </c>
      <c r="AX275" s="30" t="s">
        <v>1340</v>
      </c>
      <c r="AY275" s="26">
        <v>0.05</v>
      </c>
      <c r="AZ275" s="26">
        <v>0.05</v>
      </c>
      <c r="BA275" s="26">
        <v>0.2</v>
      </c>
      <c r="BB275" s="26">
        <v>0.2</v>
      </c>
      <c r="BC275" s="26">
        <v>0.03</v>
      </c>
      <c r="BD275" s="26">
        <v>0.03</v>
      </c>
      <c r="BE275" s="26">
        <v>0.02</v>
      </c>
      <c r="BF275" s="26"/>
      <c r="BG275" s="22">
        <f t="shared" ref="BG275:BH275" si="987">(AY275+BA275+BC275+BE275)</f>
        <v>0.30000000000000004</v>
      </c>
      <c r="BH275" s="22">
        <f t="shared" si="987"/>
        <v>0.28000000000000003</v>
      </c>
      <c r="BI275" s="22">
        <f t="shared" si="948"/>
        <v>0.93333333333333324</v>
      </c>
      <c r="BJ275" s="23" t="str">
        <f t="shared" si="949"/>
        <v>100%</v>
      </c>
      <c r="BK275" s="24">
        <f t="shared" si="950"/>
        <v>0.93333333333333324</v>
      </c>
      <c r="BL275" s="22" t="s">
        <v>92</v>
      </c>
      <c r="BM275" s="25" t="s">
        <v>1340</v>
      </c>
      <c r="BN275" s="27">
        <v>39000000</v>
      </c>
      <c r="BO275" s="27">
        <v>24500000</v>
      </c>
      <c r="BP275" s="27">
        <v>11560000</v>
      </c>
      <c r="BQ275" s="27">
        <v>11560000</v>
      </c>
      <c r="BR275" s="27">
        <f t="shared" ref="BR275:BS275" si="988">+BN275+BP275</f>
        <v>50560000</v>
      </c>
      <c r="BS275" s="27">
        <f t="shared" si="988"/>
        <v>36060000</v>
      </c>
      <c r="BT275" s="20">
        <f t="shared" si="919"/>
        <v>0.71321202531645567</v>
      </c>
      <c r="BU275" s="27">
        <v>39000000</v>
      </c>
      <c r="BV275" s="27">
        <v>45959007</v>
      </c>
      <c r="BW275" s="27">
        <v>45938667</v>
      </c>
      <c r="BX275" s="27">
        <v>33413334</v>
      </c>
      <c r="BY275" s="28">
        <f t="shared" si="149"/>
        <v>0.99955743169124611</v>
      </c>
      <c r="BZ275" s="27">
        <v>21000000</v>
      </c>
      <c r="CA275" s="20">
        <v>300000000</v>
      </c>
      <c r="CB275" s="29">
        <v>50000000</v>
      </c>
      <c r="CC275" s="29">
        <v>55000000</v>
      </c>
      <c r="CD275" s="29">
        <v>426000000</v>
      </c>
    </row>
    <row r="276" spans="1:82" ht="57.75" customHeight="1">
      <c r="A276" s="12" t="s">
        <v>851</v>
      </c>
      <c r="B276" s="13">
        <v>0.432</v>
      </c>
      <c r="C276" s="12"/>
      <c r="D276" s="14">
        <v>45</v>
      </c>
      <c r="E276" s="14">
        <v>4502</v>
      </c>
      <c r="F276" s="14">
        <v>28</v>
      </c>
      <c r="G276" s="14" t="s">
        <v>1284</v>
      </c>
      <c r="H276" s="14"/>
      <c r="I276" s="14">
        <v>28.5</v>
      </c>
      <c r="J276" s="14" t="s">
        <v>1334</v>
      </c>
      <c r="K276" s="14" t="s">
        <v>1335</v>
      </c>
      <c r="L276" s="14" t="s">
        <v>1336</v>
      </c>
      <c r="M276" s="14" t="s">
        <v>1337</v>
      </c>
      <c r="N276" s="14">
        <v>0</v>
      </c>
      <c r="O276" s="16">
        <v>4502038</v>
      </c>
      <c r="P276" s="17">
        <v>2024257990037</v>
      </c>
      <c r="Q276" s="14" t="s">
        <v>1289</v>
      </c>
      <c r="R276" s="18">
        <v>275</v>
      </c>
      <c r="S276" s="14" t="s">
        <v>1341</v>
      </c>
      <c r="T276" s="14">
        <v>0</v>
      </c>
      <c r="U276" s="14" t="s">
        <v>88</v>
      </c>
      <c r="V276" s="14" t="s">
        <v>89</v>
      </c>
      <c r="W276" s="14" t="s">
        <v>190</v>
      </c>
      <c r="X276" s="14" t="s">
        <v>1292</v>
      </c>
      <c r="Y276" s="19" t="s">
        <v>124</v>
      </c>
      <c r="Z276" s="14">
        <f>SUM(AF276:AI276)/4</f>
        <v>1</v>
      </c>
      <c r="AA276" s="20">
        <f t="shared" si="913"/>
        <v>1</v>
      </c>
      <c r="AB276" s="20">
        <f t="shared" si="914"/>
        <v>0.9</v>
      </c>
      <c r="AC276" s="21"/>
      <c r="AD276" s="21"/>
      <c r="AE276" s="21">
        <f t="shared" si="915"/>
        <v>0.46499999999999997</v>
      </c>
      <c r="AF276" s="14">
        <v>1</v>
      </c>
      <c r="AG276" s="14">
        <v>1</v>
      </c>
      <c r="AH276" s="14">
        <v>1</v>
      </c>
      <c r="AI276" s="14">
        <v>1</v>
      </c>
      <c r="AJ276" s="26"/>
      <c r="AK276" s="26"/>
      <c r="AL276" s="26"/>
      <c r="AM276" s="26"/>
      <c r="AN276" s="26">
        <v>0.5</v>
      </c>
      <c r="AO276" s="26">
        <v>0.5</v>
      </c>
      <c r="AP276" s="26">
        <v>0.5</v>
      </c>
      <c r="AQ276" s="26">
        <v>0.5</v>
      </c>
      <c r="AR276" s="22">
        <f t="shared" ref="AR276:AS276" si="989">(AJ276+AL276+AN276+AP276)</f>
        <v>1</v>
      </c>
      <c r="AS276" s="22">
        <f t="shared" si="989"/>
        <v>1</v>
      </c>
      <c r="AT276" s="22">
        <f t="shared" si="979"/>
        <v>1</v>
      </c>
      <c r="AU276" s="23" t="str">
        <f t="shared" si="980"/>
        <v>100%</v>
      </c>
      <c r="AV276" s="24">
        <f t="shared" si="808"/>
        <v>1</v>
      </c>
      <c r="AW276" s="14" t="s">
        <v>92</v>
      </c>
      <c r="AX276" s="30" t="s">
        <v>1342</v>
      </c>
      <c r="AY276" s="46">
        <v>0.1</v>
      </c>
      <c r="AZ276" s="46">
        <v>0.1</v>
      </c>
      <c r="BA276" s="46">
        <v>0.4</v>
      </c>
      <c r="BB276" s="46">
        <v>0.4</v>
      </c>
      <c r="BC276" s="46">
        <v>0.4</v>
      </c>
      <c r="BD276" s="46">
        <v>0.4</v>
      </c>
      <c r="BE276" s="46">
        <v>0.1</v>
      </c>
      <c r="BF276" s="26"/>
      <c r="BG276" s="22">
        <f t="shared" ref="BG276:BH276" si="990">(AY276+BA276+BC276+BE276)</f>
        <v>1</v>
      </c>
      <c r="BH276" s="22">
        <f t="shared" si="990"/>
        <v>0.9</v>
      </c>
      <c r="BI276" s="22">
        <f t="shared" si="948"/>
        <v>0.9</v>
      </c>
      <c r="BJ276" s="23" t="str">
        <f t="shared" si="949"/>
        <v>100%</v>
      </c>
      <c r="BK276" s="24">
        <f t="shared" si="950"/>
        <v>0.9</v>
      </c>
      <c r="BL276" s="22" t="s">
        <v>92</v>
      </c>
      <c r="BM276" s="25" t="s">
        <v>1342</v>
      </c>
      <c r="BN276" s="27">
        <v>138000000</v>
      </c>
      <c r="BO276" s="27">
        <v>43066667</v>
      </c>
      <c r="BP276" s="27">
        <v>65902716</v>
      </c>
      <c r="BQ276" s="27">
        <v>65902716</v>
      </c>
      <c r="BR276" s="27">
        <f t="shared" ref="BR276:BS276" si="991">+BN276+BP276</f>
        <v>203902716</v>
      </c>
      <c r="BS276" s="27">
        <f t="shared" si="991"/>
        <v>108969383</v>
      </c>
      <c r="BT276" s="20">
        <f t="shared" si="919"/>
        <v>0.53441849690712306</v>
      </c>
      <c r="BU276" s="27">
        <v>138000000</v>
      </c>
      <c r="BV276" s="27">
        <v>138000000</v>
      </c>
      <c r="BW276" s="27">
        <v>137722667</v>
      </c>
      <c r="BX276" s="27">
        <v>72663973</v>
      </c>
      <c r="BY276" s="28">
        <f t="shared" si="149"/>
        <v>0.99799034057971014</v>
      </c>
      <c r="BZ276" s="27">
        <v>76400000</v>
      </c>
      <c r="CA276" s="20">
        <v>150000000</v>
      </c>
      <c r="CB276" s="29">
        <v>180000000</v>
      </c>
      <c r="CC276" s="29">
        <v>190000000</v>
      </c>
      <c r="CD276" s="29">
        <v>596400000</v>
      </c>
    </row>
    <row r="277" spans="1:82" ht="72" customHeight="1">
      <c r="A277" s="12" t="s">
        <v>851</v>
      </c>
      <c r="B277" s="13">
        <v>0.432</v>
      </c>
      <c r="C277" s="12"/>
      <c r="D277" s="14">
        <v>45</v>
      </c>
      <c r="E277" s="14">
        <v>4502</v>
      </c>
      <c r="F277" s="14">
        <v>28</v>
      </c>
      <c r="G277" s="14" t="s">
        <v>1284</v>
      </c>
      <c r="H277" s="14"/>
      <c r="I277" s="14">
        <v>28.6</v>
      </c>
      <c r="J277" s="14" t="s">
        <v>1343</v>
      </c>
      <c r="K277" s="14" t="s">
        <v>1344</v>
      </c>
      <c r="L277" s="14" t="s">
        <v>1345</v>
      </c>
      <c r="M277" s="14" t="s">
        <v>1346</v>
      </c>
      <c r="N277" s="14" t="s">
        <v>1347</v>
      </c>
      <c r="O277" s="16">
        <v>4502039</v>
      </c>
      <c r="P277" s="17">
        <v>2024257990037</v>
      </c>
      <c r="Q277" s="14" t="s">
        <v>1289</v>
      </c>
      <c r="R277" s="18">
        <v>276</v>
      </c>
      <c r="S277" s="14" t="s">
        <v>1348</v>
      </c>
      <c r="T277" s="14">
        <v>0</v>
      </c>
      <c r="U277" s="14" t="s">
        <v>88</v>
      </c>
      <c r="V277" s="14" t="s">
        <v>89</v>
      </c>
      <c r="W277" s="14" t="s">
        <v>1349</v>
      </c>
      <c r="X277" s="14" t="s">
        <v>1292</v>
      </c>
      <c r="Y277" s="19" t="s">
        <v>124</v>
      </c>
      <c r="Z277" s="18">
        <f t="shared" ref="Z277:Z278" si="992">SUM(AF277:AI277)</f>
        <v>150</v>
      </c>
      <c r="AA277" s="20">
        <f t="shared" si="913"/>
        <v>0</v>
      </c>
      <c r="AB277" s="20">
        <f t="shared" si="914"/>
        <v>4.0000000000000001E-3</v>
      </c>
      <c r="AC277" s="21"/>
      <c r="AD277" s="21"/>
      <c r="AE277" s="21">
        <f t="shared" si="915"/>
        <v>1.4E-3</v>
      </c>
      <c r="AF277" s="29">
        <v>0</v>
      </c>
      <c r="AG277" s="29">
        <v>25</v>
      </c>
      <c r="AH277" s="29">
        <v>50</v>
      </c>
      <c r="AI277" s="29">
        <v>75</v>
      </c>
      <c r="AJ277" s="26"/>
      <c r="AK277" s="26"/>
      <c r="AL277" s="26"/>
      <c r="AM277" s="26"/>
      <c r="AN277" s="34">
        <v>0</v>
      </c>
      <c r="AO277" s="34">
        <v>0</v>
      </c>
      <c r="AP277" s="34">
        <v>0</v>
      </c>
      <c r="AQ277" s="34">
        <v>0</v>
      </c>
      <c r="AR277" s="34">
        <v>0</v>
      </c>
      <c r="AS277" s="34">
        <f t="shared" ref="AS277:AS278" si="993">(AK277+AM277+AO277+AQ277)/2</f>
        <v>0</v>
      </c>
      <c r="AT277" s="24">
        <f t="shared" ref="AT277:AT278" si="994">IF(AQ277=0, 0, AR277/AQ277)</f>
        <v>0</v>
      </c>
      <c r="AU277" s="23" t="str">
        <f t="shared" ref="AU277:AU278" si="995">IF(AR277&gt; 1, IF(AR277 = AS277, "100%", AR277 &amp; "%"), IF(AR277 &lt;= 0.01, "0%", AR277 * 100 &amp; "%"))</f>
        <v>0%</v>
      </c>
      <c r="AV277" s="24">
        <f t="shared" si="808"/>
        <v>0</v>
      </c>
      <c r="AW277" s="26" t="s">
        <v>192</v>
      </c>
      <c r="AX277" s="30" t="s">
        <v>1350</v>
      </c>
      <c r="AY277" s="26">
        <v>0</v>
      </c>
      <c r="AZ277" s="26">
        <v>0</v>
      </c>
      <c r="BA277" s="26">
        <v>0</v>
      </c>
      <c r="BB277" s="26">
        <v>0</v>
      </c>
      <c r="BC277" s="26">
        <v>15</v>
      </c>
      <c r="BD277" s="26">
        <v>15</v>
      </c>
      <c r="BE277" s="26">
        <v>10</v>
      </c>
      <c r="BF277" s="26"/>
      <c r="BG277" s="22">
        <f t="shared" ref="BG277:BH277" si="996">(AY277+BA277+BC277+BE277)</f>
        <v>25</v>
      </c>
      <c r="BH277" s="22">
        <f t="shared" si="996"/>
        <v>15</v>
      </c>
      <c r="BI277" s="22">
        <f t="shared" si="948"/>
        <v>0.6</v>
      </c>
      <c r="BJ277" s="23" t="str">
        <f t="shared" si="949"/>
        <v>100%</v>
      </c>
      <c r="BK277" s="24">
        <f t="shared" si="950"/>
        <v>0.6</v>
      </c>
      <c r="BL277" s="22" t="s">
        <v>92</v>
      </c>
      <c r="BM277" s="25" t="s">
        <v>1350</v>
      </c>
      <c r="BN277" s="27">
        <v>30000000</v>
      </c>
      <c r="BO277" s="27">
        <v>0</v>
      </c>
      <c r="BP277" s="27">
        <v>0</v>
      </c>
      <c r="BQ277" s="27">
        <v>0</v>
      </c>
      <c r="BR277" s="27">
        <f t="shared" ref="BR277:BS277" si="997">+BN277+BP277</f>
        <v>30000000</v>
      </c>
      <c r="BS277" s="27">
        <f t="shared" si="997"/>
        <v>0</v>
      </c>
      <c r="BT277" s="20">
        <f t="shared" si="919"/>
        <v>0</v>
      </c>
      <c r="BU277" s="27">
        <v>30000000</v>
      </c>
      <c r="BV277" s="27">
        <v>30000000</v>
      </c>
      <c r="BW277" s="27">
        <v>0</v>
      </c>
      <c r="BX277" s="27">
        <v>0</v>
      </c>
      <c r="BY277" s="28">
        <f t="shared" si="149"/>
        <v>0</v>
      </c>
      <c r="BZ277" s="27">
        <v>0</v>
      </c>
      <c r="CA277" s="20">
        <v>96000000</v>
      </c>
      <c r="CB277" s="29">
        <v>100000000</v>
      </c>
      <c r="CC277" s="29">
        <v>110000000</v>
      </c>
      <c r="CD277" s="29">
        <v>306000000</v>
      </c>
    </row>
    <row r="278" spans="1:82" ht="52.5" customHeight="1">
      <c r="A278" s="12" t="s">
        <v>851</v>
      </c>
      <c r="B278" s="13">
        <v>0.432</v>
      </c>
      <c r="C278" s="12"/>
      <c r="D278" s="14">
        <v>45</v>
      </c>
      <c r="E278" s="14">
        <v>4502</v>
      </c>
      <c r="F278" s="14">
        <v>28</v>
      </c>
      <c r="G278" s="14" t="s">
        <v>1284</v>
      </c>
      <c r="H278" s="14"/>
      <c r="I278" s="14">
        <v>28.7</v>
      </c>
      <c r="J278" s="14" t="s">
        <v>1351</v>
      </c>
      <c r="K278" s="14" t="s">
        <v>1352</v>
      </c>
      <c r="L278" s="14" t="s">
        <v>1353</v>
      </c>
      <c r="M278" s="14" t="s">
        <v>1354</v>
      </c>
      <c r="N278" s="14" t="s">
        <v>167</v>
      </c>
      <c r="O278" s="16">
        <v>4502038</v>
      </c>
      <c r="P278" s="17">
        <v>2024257990037</v>
      </c>
      <c r="Q278" s="14" t="s">
        <v>1289</v>
      </c>
      <c r="R278" s="18">
        <v>277</v>
      </c>
      <c r="S278" s="14" t="s">
        <v>1355</v>
      </c>
      <c r="T278" s="14">
        <v>0</v>
      </c>
      <c r="U278" s="14" t="s">
        <v>88</v>
      </c>
      <c r="V278" s="14" t="s">
        <v>89</v>
      </c>
      <c r="W278" s="14" t="s">
        <v>1356</v>
      </c>
      <c r="X278" s="14" t="s">
        <v>1292</v>
      </c>
      <c r="Y278" s="19"/>
      <c r="Z278" s="14">
        <f t="shared" si="992"/>
        <v>4</v>
      </c>
      <c r="AA278" s="20">
        <f t="shared" si="913"/>
        <v>0</v>
      </c>
      <c r="AB278" s="20">
        <f t="shared" si="914"/>
        <v>0.25</v>
      </c>
      <c r="AC278" s="21"/>
      <c r="AD278" s="21"/>
      <c r="AE278" s="21">
        <f t="shared" si="915"/>
        <v>8.7499999999999994E-2</v>
      </c>
      <c r="AF278" s="14">
        <v>1</v>
      </c>
      <c r="AG278" s="14">
        <v>1</v>
      </c>
      <c r="AH278" s="14">
        <v>1</v>
      </c>
      <c r="AI278" s="14">
        <v>1</v>
      </c>
      <c r="AJ278" s="26"/>
      <c r="AK278" s="26"/>
      <c r="AL278" s="26"/>
      <c r="AM278" s="26"/>
      <c r="AN278" s="34">
        <v>0</v>
      </c>
      <c r="AO278" s="34">
        <v>0</v>
      </c>
      <c r="AP278" s="34">
        <v>0</v>
      </c>
      <c r="AQ278" s="34">
        <v>0</v>
      </c>
      <c r="AR278" s="34">
        <v>0</v>
      </c>
      <c r="AS278" s="34">
        <f t="shared" si="993"/>
        <v>0</v>
      </c>
      <c r="AT278" s="24">
        <f t="shared" si="994"/>
        <v>0</v>
      </c>
      <c r="AU278" s="23" t="str">
        <f t="shared" si="995"/>
        <v>0%</v>
      </c>
      <c r="AV278" s="24">
        <f t="shared" si="808"/>
        <v>0</v>
      </c>
      <c r="AW278" s="26" t="s">
        <v>192</v>
      </c>
      <c r="AX278" s="30" t="s">
        <v>1357</v>
      </c>
      <c r="AY278" s="46">
        <v>0.05</v>
      </c>
      <c r="AZ278" s="46">
        <v>0.05</v>
      </c>
      <c r="BA278" s="46">
        <v>0.9</v>
      </c>
      <c r="BB278" s="46">
        <v>0.9</v>
      </c>
      <c r="BC278" s="46">
        <v>0.05</v>
      </c>
      <c r="BD278" s="46">
        <v>0.05</v>
      </c>
      <c r="BE278" s="46">
        <v>0</v>
      </c>
      <c r="BF278" s="26"/>
      <c r="BG278" s="22">
        <f t="shared" ref="BG278:BH278" si="998">(AY278+BA278+BC278+BE278)</f>
        <v>1</v>
      </c>
      <c r="BH278" s="22">
        <f t="shared" si="998"/>
        <v>1</v>
      </c>
      <c r="BI278" s="22">
        <f t="shared" si="948"/>
        <v>1</v>
      </c>
      <c r="BJ278" s="23" t="str">
        <f t="shared" si="949"/>
        <v>100%</v>
      </c>
      <c r="BK278" s="24">
        <f t="shared" si="950"/>
        <v>1</v>
      </c>
      <c r="BL278" s="22" t="s">
        <v>92</v>
      </c>
      <c r="BM278" s="25" t="s">
        <v>1357</v>
      </c>
      <c r="BN278" s="27">
        <v>5000000</v>
      </c>
      <c r="BO278" s="27">
        <v>0</v>
      </c>
      <c r="BP278" s="27">
        <v>0</v>
      </c>
      <c r="BQ278" s="27">
        <v>0</v>
      </c>
      <c r="BR278" s="27">
        <f t="shared" ref="BR278:BS278" si="999">+BN278+BP278</f>
        <v>5000000</v>
      </c>
      <c r="BS278" s="27">
        <f t="shared" si="999"/>
        <v>0</v>
      </c>
      <c r="BT278" s="20">
        <f t="shared" si="919"/>
        <v>0</v>
      </c>
      <c r="BU278" s="27">
        <v>5000000</v>
      </c>
      <c r="BV278" s="27">
        <v>5000000</v>
      </c>
      <c r="BW278" s="27">
        <v>5000000</v>
      </c>
      <c r="BX278" s="27">
        <v>5000000</v>
      </c>
      <c r="BY278" s="28">
        <f t="shared" si="149"/>
        <v>1</v>
      </c>
      <c r="BZ278" s="27">
        <v>5000000</v>
      </c>
      <c r="CA278" s="20">
        <v>5150000</v>
      </c>
      <c r="CB278" s="29">
        <v>5304500</v>
      </c>
      <c r="CC278" s="29">
        <v>5463635</v>
      </c>
      <c r="CD278" s="29">
        <v>20918135</v>
      </c>
    </row>
    <row r="279" spans="1:82" ht="57.75" customHeight="1">
      <c r="A279" s="12" t="s">
        <v>851</v>
      </c>
      <c r="B279" s="13">
        <v>0.432</v>
      </c>
      <c r="C279" s="12"/>
      <c r="D279" s="14">
        <v>45</v>
      </c>
      <c r="E279" s="14">
        <v>4502</v>
      </c>
      <c r="F279" s="14">
        <v>28</v>
      </c>
      <c r="G279" s="14" t="s">
        <v>1284</v>
      </c>
      <c r="H279" s="14"/>
      <c r="I279" s="14">
        <v>28.8</v>
      </c>
      <c r="J279" s="14" t="s">
        <v>1358</v>
      </c>
      <c r="K279" s="14" t="s">
        <v>1359</v>
      </c>
      <c r="L279" s="14" t="s">
        <v>1360</v>
      </c>
      <c r="M279" s="14" t="s">
        <v>1361</v>
      </c>
      <c r="N279" s="14" t="s">
        <v>1362</v>
      </c>
      <c r="O279" s="16">
        <v>4502038</v>
      </c>
      <c r="P279" s="17">
        <v>2024257990037</v>
      </c>
      <c r="Q279" s="14" t="s">
        <v>1289</v>
      </c>
      <c r="R279" s="18">
        <v>278</v>
      </c>
      <c r="S279" s="14" t="s">
        <v>1363</v>
      </c>
      <c r="T279" s="20">
        <v>0.7</v>
      </c>
      <c r="U279" s="14" t="s">
        <v>109</v>
      </c>
      <c r="V279" s="14" t="s">
        <v>89</v>
      </c>
      <c r="W279" s="14" t="s">
        <v>1364</v>
      </c>
      <c r="X279" s="14" t="s">
        <v>1292</v>
      </c>
      <c r="Y279" s="19" t="s">
        <v>124</v>
      </c>
      <c r="Z279" s="24">
        <f>SUM(AF279:AI279)/4</f>
        <v>1</v>
      </c>
      <c r="AA279" s="20">
        <f t="shared" si="913"/>
        <v>1</v>
      </c>
      <c r="AB279" s="20">
        <f t="shared" si="914"/>
        <v>0.9</v>
      </c>
      <c r="AC279" s="21"/>
      <c r="AD279" s="21"/>
      <c r="AE279" s="21">
        <f t="shared" si="915"/>
        <v>0.46499999999999997</v>
      </c>
      <c r="AF279" s="20">
        <v>1</v>
      </c>
      <c r="AG279" s="20">
        <v>1</v>
      </c>
      <c r="AH279" s="20">
        <v>1</v>
      </c>
      <c r="AI279" s="20">
        <v>1</v>
      </c>
      <c r="AJ279" s="26"/>
      <c r="AK279" s="26"/>
      <c r="AL279" s="26"/>
      <c r="AM279" s="26"/>
      <c r="AN279" s="24">
        <v>0.5</v>
      </c>
      <c r="AO279" s="24">
        <v>0.5</v>
      </c>
      <c r="AP279" s="24">
        <v>0.5</v>
      </c>
      <c r="AQ279" s="24">
        <v>0.5</v>
      </c>
      <c r="AR279" s="24">
        <f t="shared" ref="AR279:AS279" si="1000">(AJ279+AL279+AN279+AP279)</f>
        <v>1</v>
      </c>
      <c r="AS279" s="24">
        <f t="shared" si="1000"/>
        <v>1</v>
      </c>
      <c r="AT279" s="24">
        <f>AS279/AR279</f>
        <v>1</v>
      </c>
      <c r="AU279" s="23" t="str">
        <f>MIN((AR279 /AR279) * 100, 100) &amp; "%"</f>
        <v>100%</v>
      </c>
      <c r="AV279" s="24">
        <f t="shared" si="808"/>
        <v>1</v>
      </c>
      <c r="AW279" s="14" t="s">
        <v>92</v>
      </c>
      <c r="AX279" s="30" t="s">
        <v>1365</v>
      </c>
      <c r="AY279" s="24">
        <v>0.15</v>
      </c>
      <c r="AZ279" s="24">
        <v>0.15</v>
      </c>
      <c r="BA279" s="24">
        <v>0.35</v>
      </c>
      <c r="BB279" s="24">
        <v>0.35</v>
      </c>
      <c r="BC279" s="24">
        <v>0.4</v>
      </c>
      <c r="BD279" s="24">
        <v>0.4</v>
      </c>
      <c r="BE279" s="24">
        <v>0.1</v>
      </c>
      <c r="BF279" s="26"/>
      <c r="BG279" s="20">
        <f t="shared" ref="BG279:BH279" si="1001">(AY279+BA279+BC279+BE279)</f>
        <v>1</v>
      </c>
      <c r="BH279" s="20">
        <f t="shared" si="1001"/>
        <v>0.9</v>
      </c>
      <c r="BI279" s="20">
        <f t="shared" si="948"/>
        <v>0.9</v>
      </c>
      <c r="BJ279" s="23" t="str">
        <f t="shared" si="949"/>
        <v>100%</v>
      </c>
      <c r="BK279" s="24">
        <f t="shared" si="950"/>
        <v>0.9</v>
      </c>
      <c r="BL279" s="22" t="s">
        <v>92</v>
      </c>
      <c r="BM279" s="25" t="s">
        <v>1365</v>
      </c>
      <c r="BN279" s="27">
        <v>159000000</v>
      </c>
      <c r="BO279" s="27">
        <v>70086666</v>
      </c>
      <c r="BP279" s="27">
        <v>48046667</v>
      </c>
      <c r="BQ279" s="27">
        <v>48046667</v>
      </c>
      <c r="BR279" s="27">
        <f t="shared" ref="BR279:BS279" si="1002">+BN279+BP279</f>
        <v>207046667</v>
      </c>
      <c r="BS279" s="27">
        <f t="shared" si="1002"/>
        <v>118133333</v>
      </c>
      <c r="BT279" s="20">
        <f t="shared" si="919"/>
        <v>0.57056379951288949</v>
      </c>
      <c r="BU279" s="27">
        <v>149000000</v>
      </c>
      <c r="BV279" s="27">
        <v>159000000</v>
      </c>
      <c r="BW279" s="27">
        <v>106625528</v>
      </c>
      <c r="BX279" s="27">
        <v>77666186</v>
      </c>
      <c r="BY279" s="28">
        <f t="shared" si="149"/>
        <v>0.67060080503144659</v>
      </c>
      <c r="BZ279" s="27">
        <v>74600000</v>
      </c>
      <c r="CA279" s="20">
        <v>295650000</v>
      </c>
      <c r="CB279" s="29">
        <v>347815000</v>
      </c>
      <c r="CC279" s="29">
        <v>380096500</v>
      </c>
      <c r="CD279" s="29">
        <v>1098161500</v>
      </c>
    </row>
    <row r="280" spans="1:82" ht="57.75" customHeight="1">
      <c r="A280" s="12" t="s">
        <v>851</v>
      </c>
      <c r="B280" s="13">
        <v>0.432</v>
      </c>
      <c r="C280" s="12"/>
      <c r="D280" s="14">
        <v>41</v>
      </c>
      <c r="E280" s="14">
        <v>4104</v>
      </c>
      <c r="F280" s="14">
        <v>29</v>
      </c>
      <c r="G280" s="14" t="s">
        <v>1366</v>
      </c>
      <c r="H280" s="14"/>
      <c r="I280" s="14">
        <v>29.1</v>
      </c>
      <c r="J280" s="14" t="s">
        <v>1367</v>
      </c>
      <c r="K280" s="14" t="s">
        <v>1368</v>
      </c>
      <c r="L280" s="14" t="s">
        <v>1369</v>
      </c>
      <c r="M280" s="14" t="s">
        <v>1370</v>
      </c>
      <c r="N280" s="14" t="s">
        <v>1371</v>
      </c>
      <c r="O280" s="16">
        <v>4104010</v>
      </c>
      <c r="P280" s="17">
        <v>2024257990038</v>
      </c>
      <c r="Q280" s="14" t="s">
        <v>1372</v>
      </c>
      <c r="R280" s="18">
        <v>279</v>
      </c>
      <c r="S280" s="14" t="s">
        <v>1373</v>
      </c>
      <c r="T280" s="14">
        <v>0</v>
      </c>
      <c r="U280" s="14" t="s">
        <v>88</v>
      </c>
      <c r="V280" s="14" t="s">
        <v>89</v>
      </c>
      <c r="W280" s="14" t="s">
        <v>1374</v>
      </c>
      <c r="X280" s="14" t="s">
        <v>584</v>
      </c>
      <c r="Y280" s="22"/>
      <c r="Z280" s="18">
        <f>SUM(AF280:AI280)/3</f>
        <v>1</v>
      </c>
      <c r="AA280" s="20">
        <f t="shared" si="913"/>
        <v>0</v>
      </c>
      <c r="AB280" s="20">
        <f t="shared" si="914"/>
        <v>0.85714285714285721</v>
      </c>
      <c r="AC280" s="21"/>
      <c r="AD280" s="21"/>
      <c r="AE280" s="21">
        <f t="shared" si="915"/>
        <v>0.3</v>
      </c>
      <c r="AF280" s="14">
        <v>0</v>
      </c>
      <c r="AG280" s="14">
        <v>1</v>
      </c>
      <c r="AH280" s="14">
        <v>1</v>
      </c>
      <c r="AI280" s="14">
        <v>1</v>
      </c>
      <c r="AJ280" s="26"/>
      <c r="AK280" s="26"/>
      <c r="AL280" s="26"/>
      <c r="AM280" s="26"/>
      <c r="AN280" s="34">
        <v>0</v>
      </c>
      <c r="AO280" s="34">
        <v>0</v>
      </c>
      <c r="AP280" s="34">
        <v>0</v>
      </c>
      <c r="AQ280" s="34">
        <v>0</v>
      </c>
      <c r="AR280" s="34">
        <v>0</v>
      </c>
      <c r="AS280" s="34">
        <f t="shared" ref="AS280:AS281" si="1003">(AK280+AM280+AO280+AQ280)/2</f>
        <v>0</v>
      </c>
      <c r="AT280" s="24">
        <f t="shared" ref="AT280:AT281" si="1004">IF(AQ280=0, 0, AR280/AQ280)</f>
        <v>0</v>
      </c>
      <c r="AU280" s="23" t="str">
        <f t="shared" ref="AU280:AU281" si="1005">IF(AR280&gt; 1, IF(AR280 = AS280, "100%", AR280 &amp; "%"), IF(AR280 &lt;= 0.01, "0%", AR280 * 100 &amp; "%"))</f>
        <v>0%</v>
      </c>
      <c r="AV280" s="24">
        <f t="shared" si="808"/>
        <v>0</v>
      </c>
      <c r="AW280" s="26" t="s">
        <v>192</v>
      </c>
      <c r="AX280" s="30" t="s">
        <v>1375</v>
      </c>
      <c r="AY280" s="46">
        <v>0</v>
      </c>
      <c r="AZ280" s="46">
        <v>0</v>
      </c>
      <c r="BA280" s="46">
        <v>0.2</v>
      </c>
      <c r="BB280" s="46">
        <v>0.2</v>
      </c>
      <c r="BC280" s="46">
        <v>0.4</v>
      </c>
      <c r="BD280" s="46">
        <v>0.4</v>
      </c>
      <c r="BE280" s="46">
        <v>0.1</v>
      </c>
      <c r="BF280" s="26"/>
      <c r="BG280" s="22">
        <f t="shared" ref="BG280:BH280" si="1006">(AY280+BA280+BC280+BE280)</f>
        <v>0.70000000000000007</v>
      </c>
      <c r="BH280" s="22">
        <f t="shared" si="1006"/>
        <v>0.60000000000000009</v>
      </c>
      <c r="BI280" s="22">
        <f t="shared" si="948"/>
        <v>0.85714285714285721</v>
      </c>
      <c r="BJ280" s="23" t="str">
        <f t="shared" si="949"/>
        <v>100%</v>
      </c>
      <c r="BK280" s="24">
        <f t="shared" si="950"/>
        <v>0.85714285714285721</v>
      </c>
      <c r="BL280" s="22" t="s">
        <v>92</v>
      </c>
      <c r="BM280" s="25" t="s">
        <v>1375</v>
      </c>
      <c r="BN280" s="27">
        <v>50000000</v>
      </c>
      <c r="BO280" s="27">
        <v>0</v>
      </c>
      <c r="BP280" s="27">
        <v>0</v>
      </c>
      <c r="BQ280" s="27">
        <v>0</v>
      </c>
      <c r="BR280" s="27">
        <f t="shared" ref="BR280:BS280" si="1007">+BN280+BP280</f>
        <v>50000000</v>
      </c>
      <c r="BS280" s="27">
        <f t="shared" si="1007"/>
        <v>0</v>
      </c>
      <c r="BT280" s="20">
        <f t="shared" si="919"/>
        <v>0</v>
      </c>
      <c r="BU280" s="27">
        <v>50000000</v>
      </c>
      <c r="BV280" s="27">
        <v>20000000</v>
      </c>
      <c r="BW280" s="27">
        <v>0</v>
      </c>
      <c r="BX280" s="27">
        <v>0</v>
      </c>
      <c r="BY280" s="28">
        <f t="shared" si="149"/>
        <v>0</v>
      </c>
      <c r="BZ280" s="27">
        <v>45000000</v>
      </c>
      <c r="CA280" s="20">
        <v>45900000</v>
      </c>
      <c r="CB280" s="29">
        <v>46818000</v>
      </c>
      <c r="CC280" s="29">
        <v>48222540</v>
      </c>
      <c r="CD280" s="29">
        <v>185940540</v>
      </c>
    </row>
    <row r="281" spans="1:82" ht="57.75" customHeight="1">
      <c r="A281" s="12" t="s">
        <v>851</v>
      </c>
      <c r="B281" s="13">
        <v>0.432</v>
      </c>
      <c r="C281" s="12"/>
      <c r="D281" s="14">
        <v>41</v>
      </c>
      <c r="E281" s="14">
        <v>4104</v>
      </c>
      <c r="F281" s="14">
        <v>29</v>
      </c>
      <c r="G281" s="14" t="s">
        <v>1366</v>
      </c>
      <c r="H281" s="14"/>
      <c r="I281" s="14">
        <v>29.1</v>
      </c>
      <c r="J281" s="14" t="s">
        <v>1367</v>
      </c>
      <c r="K281" s="14" t="s">
        <v>1368</v>
      </c>
      <c r="L281" s="14" t="s">
        <v>1369</v>
      </c>
      <c r="M281" s="14" t="s">
        <v>1370</v>
      </c>
      <c r="N281" s="14" t="s">
        <v>1371</v>
      </c>
      <c r="O281" s="16">
        <v>4104008</v>
      </c>
      <c r="P281" s="17">
        <v>2024257990038</v>
      </c>
      <c r="Q281" s="14" t="s">
        <v>1372</v>
      </c>
      <c r="R281" s="18">
        <v>280</v>
      </c>
      <c r="S281" s="14" t="s">
        <v>1376</v>
      </c>
      <c r="T281" s="14">
        <v>0</v>
      </c>
      <c r="U281" s="14" t="s">
        <v>88</v>
      </c>
      <c r="V281" s="14" t="s">
        <v>89</v>
      </c>
      <c r="W281" s="14" t="s">
        <v>1377</v>
      </c>
      <c r="X281" s="14" t="s">
        <v>584</v>
      </c>
      <c r="Y281" s="22"/>
      <c r="Z281" s="18">
        <f t="shared" ref="Z281:Z282" si="1008">SUM(AF281:AI281)</f>
        <v>400</v>
      </c>
      <c r="AA281" s="20">
        <f t="shared" si="913"/>
        <v>0</v>
      </c>
      <c r="AB281" s="20">
        <f t="shared" si="914"/>
        <v>2.225E-3</v>
      </c>
      <c r="AC281" s="21"/>
      <c r="AD281" s="21"/>
      <c r="AE281" s="21">
        <f t="shared" si="915"/>
        <v>7.7874999999999993E-4</v>
      </c>
      <c r="AF281" s="14">
        <v>0</v>
      </c>
      <c r="AG281" s="14">
        <v>200</v>
      </c>
      <c r="AH281" s="14">
        <v>200</v>
      </c>
      <c r="AI281" s="14">
        <v>0</v>
      </c>
      <c r="AJ281" s="26"/>
      <c r="AK281" s="26"/>
      <c r="AL281" s="26"/>
      <c r="AM281" s="26"/>
      <c r="AN281" s="34">
        <v>0</v>
      </c>
      <c r="AO281" s="34">
        <v>0</v>
      </c>
      <c r="AP281" s="34">
        <v>0</v>
      </c>
      <c r="AQ281" s="34">
        <v>0</v>
      </c>
      <c r="AR281" s="34">
        <v>0</v>
      </c>
      <c r="AS281" s="34">
        <f t="shared" si="1003"/>
        <v>0</v>
      </c>
      <c r="AT281" s="24">
        <f t="shared" si="1004"/>
        <v>0</v>
      </c>
      <c r="AU281" s="23" t="str">
        <f t="shared" si="1005"/>
        <v>0%</v>
      </c>
      <c r="AV281" s="24">
        <f t="shared" si="808"/>
        <v>0</v>
      </c>
      <c r="AW281" s="26" t="s">
        <v>192</v>
      </c>
      <c r="AX281" s="30" t="s">
        <v>1378</v>
      </c>
      <c r="AY281" s="26">
        <v>0</v>
      </c>
      <c r="AZ281" s="26">
        <v>0</v>
      </c>
      <c r="BA281" s="26">
        <v>30</v>
      </c>
      <c r="BB281" s="26">
        <v>30</v>
      </c>
      <c r="BC281" s="26">
        <v>70</v>
      </c>
      <c r="BD281" s="26">
        <v>148</v>
      </c>
      <c r="BE281" s="26">
        <v>100</v>
      </c>
      <c r="BF281" s="26"/>
      <c r="BG281" s="22">
        <f t="shared" ref="BG281:BH281" si="1009">(AY281+BA281+BC281+BE281)</f>
        <v>200</v>
      </c>
      <c r="BH281" s="22">
        <f t="shared" si="1009"/>
        <v>178</v>
      </c>
      <c r="BI281" s="22">
        <f t="shared" si="948"/>
        <v>0.89</v>
      </c>
      <c r="BJ281" s="23" t="str">
        <f t="shared" si="949"/>
        <v>100%</v>
      </c>
      <c r="BK281" s="24">
        <f t="shared" si="950"/>
        <v>0.89</v>
      </c>
      <c r="BL281" s="22" t="s">
        <v>92</v>
      </c>
      <c r="BM281" s="25" t="s">
        <v>1378</v>
      </c>
      <c r="BN281" s="27">
        <v>100000000</v>
      </c>
      <c r="BO281" s="27">
        <v>0</v>
      </c>
      <c r="BP281" s="27">
        <v>0</v>
      </c>
      <c r="BQ281" s="27">
        <v>0</v>
      </c>
      <c r="BR281" s="27">
        <f t="shared" ref="BR281:BS281" si="1010">+BN281+BP281</f>
        <v>100000000</v>
      </c>
      <c r="BS281" s="27">
        <f t="shared" si="1010"/>
        <v>0</v>
      </c>
      <c r="BT281" s="20">
        <f t="shared" si="919"/>
        <v>0</v>
      </c>
      <c r="BU281" s="27">
        <v>100000000</v>
      </c>
      <c r="BV281" s="27">
        <v>100000000</v>
      </c>
      <c r="BW281" s="27">
        <v>0</v>
      </c>
      <c r="BX281" s="27">
        <v>0</v>
      </c>
      <c r="BY281" s="28">
        <f t="shared" si="149"/>
        <v>0</v>
      </c>
      <c r="BZ281" s="27">
        <v>50000000</v>
      </c>
      <c r="CA281" s="20">
        <v>51000000</v>
      </c>
      <c r="CB281" s="29">
        <v>52020000</v>
      </c>
      <c r="CC281" s="29">
        <v>53580600</v>
      </c>
      <c r="CD281" s="29">
        <v>206600600</v>
      </c>
    </row>
    <row r="282" spans="1:82" ht="57.75" customHeight="1">
      <c r="A282" s="12" t="s">
        <v>851</v>
      </c>
      <c r="B282" s="13">
        <v>0.432</v>
      </c>
      <c r="C282" s="12"/>
      <c r="D282" s="14">
        <v>41</v>
      </c>
      <c r="E282" s="14">
        <v>4104</v>
      </c>
      <c r="F282" s="14">
        <v>29</v>
      </c>
      <c r="G282" s="14" t="s">
        <v>1366</v>
      </c>
      <c r="H282" s="14"/>
      <c r="I282" s="14">
        <v>29.1</v>
      </c>
      <c r="J282" s="14" t="s">
        <v>1367</v>
      </c>
      <c r="K282" s="14" t="s">
        <v>1368</v>
      </c>
      <c r="L282" s="14" t="s">
        <v>1369</v>
      </c>
      <c r="M282" s="14" t="s">
        <v>1370</v>
      </c>
      <c r="N282" s="14" t="s">
        <v>1371</v>
      </c>
      <c r="O282" s="16">
        <v>4104008</v>
      </c>
      <c r="P282" s="17">
        <v>2024257990038</v>
      </c>
      <c r="Q282" s="14" t="s">
        <v>1372</v>
      </c>
      <c r="R282" s="18">
        <v>281</v>
      </c>
      <c r="S282" s="14" t="s">
        <v>1379</v>
      </c>
      <c r="T282" s="14">
        <v>0</v>
      </c>
      <c r="U282" s="14" t="s">
        <v>109</v>
      </c>
      <c r="V282" s="14" t="s">
        <v>114</v>
      </c>
      <c r="W282" s="14" t="s">
        <v>1380</v>
      </c>
      <c r="X282" s="14" t="s">
        <v>584</v>
      </c>
      <c r="Y282" s="22"/>
      <c r="Z282" s="20">
        <f t="shared" si="1008"/>
        <v>0.4</v>
      </c>
      <c r="AA282" s="20">
        <f t="shared" si="913"/>
        <v>0.12499999999999999</v>
      </c>
      <c r="AB282" s="20">
        <f t="shared" si="914"/>
        <v>1.9999999999999998</v>
      </c>
      <c r="AC282" s="21"/>
      <c r="AD282" s="21"/>
      <c r="AE282" s="21">
        <f t="shared" si="915"/>
        <v>0.71874999999999989</v>
      </c>
      <c r="AF282" s="20">
        <v>0.1</v>
      </c>
      <c r="AG282" s="20">
        <v>0.1</v>
      </c>
      <c r="AH282" s="20">
        <v>0.1</v>
      </c>
      <c r="AI282" s="20">
        <v>0.1</v>
      </c>
      <c r="AJ282" s="26"/>
      <c r="AK282" s="26"/>
      <c r="AL282" s="26"/>
      <c r="AM282" s="24"/>
      <c r="AN282" s="24">
        <v>0.09</v>
      </c>
      <c r="AO282" s="24">
        <v>0.09</v>
      </c>
      <c r="AP282" s="24">
        <v>0.01</v>
      </c>
      <c r="AQ282" s="24">
        <v>0.01</v>
      </c>
      <c r="AR282" s="24">
        <f t="shared" ref="AR282:AS282" si="1011">(AJ282+AL282+AN282+AP282)/2</f>
        <v>4.9999999999999996E-2</v>
      </c>
      <c r="AS282" s="24">
        <f t="shared" si="1011"/>
        <v>4.9999999999999996E-2</v>
      </c>
      <c r="AT282" s="24">
        <f t="shared" ref="AT282:AT286" si="1012">AS282/AR282</f>
        <v>1</v>
      </c>
      <c r="AU282" s="23" t="str">
        <f t="shared" ref="AU282:AU286" si="1013">MIN((AR282 /AR282) * 100, 100) &amp; "%"</f>
        <v>100%</v>
      </c>
      <c r="AV282" s="24">
        <f t="shared" si="808"/>
        <v>1</v>
      </c>
      <c r="AW282" s="14" t="s">
        <v>92</v>
      </c>
      <c r="AX282" s="30" t="s">
        <v>1381</v>
      </c>
      <c r="AY282" s="24">
        <v>0.01</v>
      </c>
      <c r="AZ282" s="24">
        <v>0.01</v>
      </c>
      <c r="BA282" s="24">
        <v>0.02</v>
      </c>
      <c r="BB282" s="24">
        <v>0.02</v>
      </c>
      <c r="BC282" s="24">
        <v>0.05</v>
      </c>
      <c r="BD282" s="24">
        <v>0.05</v>
      </c>
      <c r="BE282" s="24">
        <v>0.02</v>
      </c>
      <c r="BF282" s="26"/>
      <c r="BG282" s="20">
        <f t="shared" ref="BG282:BH282" si="1014">(AY282+BA282+BC282+BE282)</f>
        <v>0.1</v>
      </c>
      <c r="BH282" s="20">
        <f t="shared" si="1014"/>
        <v>0.08</v>
      </c>
      <c r="BI282" s="20">
        <f t="shared" si="948"/>
        <v>0.79999999999999993</v>
      </c>
      <c r="BJ282" s="23" t="str">
        <f t="shared" si="949"/>
        <v>100%</v>
      </c>
      <c r="BK282" s="24">
        <f t="shared" si="950"/>
        <v>0.79999999999999993</v>
      </c>
      <c r="BL282" s="22" t="s">
        <v>92</v>
      </c>
      <c r="BM282" s="25" t="s">
        <v>1381</v>
      </c>
      <c r="BN282" s="27">
        <v>5577544282</v>
      </c>
      <c r="BO282" s="27">
        <v>1783580188</v>
      </c>
      <c r="BP282" s="27">
        <v>1403478318</v>
      </c>
      <c r="BQ282" s="27">
        <v>1403478318</v>
      </c>
      <c r="BR282" s="27">
        <f t="shared" ref="BR282:BS282" si="1015">+BN282+BP282</f>
        <v>6981022600</v>
      </c>
      <c r="BS282" s="27">
        <f t="shared" si="1015"/>
        <v>3187058506</v>
      </c>
      <c r="BT282" s="20">
        <f t="shared" si="919"/>
        <v>0.45653175596366069</v>
      </c>
      <c r="BU282" s="27">
        <v>3271611094</v>
      </c>
      <c r="BV282" s="27">
        <v>5619985055</v>
      </c>
      <c r="BW282" s="27">
        <v>3022594225</v>
      </c>
      <c r="BX282" s="27">
        <v>1935442184</v>
      </c>
      <c r="BY282" s="28">
        <f t="shared" si="149"/>
        <v>0.53782958413934789</v>
      </c>
      <c r="BZ282" s="27">
        <v>130000000</v>
      </c>
      <c r="CA282" s="20">
        <v>132600000</v>
      </c>
      <c r="CB282" s="29">
        <v>135252000</v>
      </c>
      <c r="CC282" s="29">
        <v>139309560</v>
      </c>
      <c r="CD282" s="29">
        <v>537161560</v>
      </c>
    </row>
    <row r="283" spans="1:82" ht="57.75" customHeight="1">
      <c r="A283" s="12" t="s">
        <v>851</v>
      </c>
      <c r="B283" s="13">
        <v>0.432</v>
      </c>
      <c r="C283" s="12"/>
      <c r="D283" s="14">
        <v>41</v>
      </c>
      <c r="E283" s="14">
        <v>4104</v>
      </c>
      <c r="F283" s="14">
        <v>29</v>
      </c>
      <c r="G283" s="14" t="s">
        <v>1366</v>
      </c>
      <c r="H283" s="14"/>
      <c r="I283" s="14">
        <v>29.1</v>
      </c>
      <c r="J283" s="14" t="s">
        <v>1367</v>
      </c>
      <c r="K283" s="14" t="s">
        <v>1368</v>
      </c>
      <c r="L283" s="14" t="s">
        <v>1369</v>
      </c>
      <c r="M283" s="14" t="s">
        <v>1370</v>
      </c>
      <c r="N283" s="14" t="s">
        <v>1371</v>
      </c>
      <c r="O283" s="16">
        <v>4104008</v>
      </c>
      <c r="P283" s="17">
        <v>2024257990038</v>
      </c>
      <c r="Q283" s="14" t="s">
        <v>1372</v>
      </c>
      <c r="R283" s="18">
        <v>282</v>
      </c>
      <c r="S283" s="14" t="s">
        <v>1382</v>
      </c>
      <c r="T283" s="20">
        <v>1</v>
      </c>
      <c r="U283" s="14" t="s">
        <v>109</v>
      </c>
      <c r="V283" s="14" t="s">
        <v>114</v>
      </c>
      <c r="W283" s="14" t="s">
        <v>109</v>
      </c>
      <c r="X283" s="14" t="s">
        <v>584</v>
      </c>
      <c r="Y283" s="22"/>
      <c r="Z283" s="24">
        <f t="shared" ref="Z283:Z286" si="1016">SUM(AF283:AI283)/4</f>
        <v>1</v>
      </c>
      <c r="AA283" s="20">
        <f t="shared" si="913"/>
        <v>1</v>
      </c>
      <c r="AB283" s="20">
        <f t="shared" si="914"/>
        <v>0.87</v>
      </c>
      <c r="AC283" s="21"/>
      <c r="AD283" s="21"/>
      <c r="AE283" s="21">
        <f t="shared" si="915"/>
        <v>0.45450000000000002</v>
      </c>
      <c r="AF283" s="20">
        <v>1</v>
      </c>
      <c r="AG283" s="20">
        <v>1</v>
      </c>
      <c r="AH283" s="20">
        <v>1</v>
      </c>
      <c r="AI283" s="20">
        <v>1</v>
      </c>
      <c r="AJ283" s="26"/>
      <c r="AK283" s="26"/>
      <c r="AL283" s="26"/>
      <c r="AM283" s="26"/>
      <c r="AN283" s="24">
        <v>1</v>
      </c>
      <c r="AO283" s="24">
        <v>1</v>
      </c>
      <c r="AP283" s="24">
        <v>1</v>
      </c>
      <c r="AQ283" s="24">
        <v>1</v>
      </c>
      <c r="AR283" s="24">
        <f t="shared" ref="AR283:AS283" si="1017">(AJ283+AL283+AN283+AP283)/2</f>
        <v>1</v>
      </c>
      <c r="AS283" s="24">
        <f t="shared" si="1017"/>
        <v>1</v>
      </c>
      <c r="AT283" s="22">
        <f t="shared" si="1012"/>
        <v>1</v>
      </c>
      <c r="AU283" s="23" t="str">
        <f t="shared" si="1013"/>
        <v>100%</v>
      </c>
      <c r="AV283" s="24">
        <f t="shared" si="808"/>
        <v>1</v>
      </c>
      <c r="AW283" s="14" t="s">
        <v>92</v>
      </c>
      <c r="AX283" s="30" t="s">
        <v>1383</v>
      </c>
      <c r="AY283" s="24">
        <v>0.17</v>
      </c>
      <c r="AZ283" s="24">
        <v>0.17</v>
      </c>
      <c r="BA283" s="24">
        <v>0.3</v>
      </c>
      <c r="BB283" s="24">
        <v>0.3</v>
      </c>
      <c r="BC283" s="24">
        <v>0.4</v>
      </c>
      <c r="BD283" s="24">
        <v>0.4</v>
      </c>
      <c r="BE283" s="24">
        <v>0.13</v>
      </c>
      <c r="BF283" s="26"/>
      <c r="BG283" s="20">
        <f t="shared" ref="BG283:BH283" si="1018">(AY283+BA283+BC283+BE283)</f>
        <v>1</v>
      </c>
      <c r="BH283" s="20">
        <f t="shared" si="1018"/>
        <v>0.87</v>
      </c>
      <c r="BI283" s="20">
        <f t="shared" si="948"/>
        <v>0.87</v>
      </c>
      <c r="BJ283" s="23" t="str">
        <f t="shared" si="949"/>
        <v>100%</v>
      </c>
      <c r="BK283" s="24">
        <f t="shared" si="950"/>
        <v>0.87</v>
      </c>
      <c r="BL283" s="22" t="s">
        <v>92</v>
      </c>
      <c r="BM283" s="25" t="s">
        <v>1383</v>
      </c>
      <c r="BN283" s="27">
        <v>1078576345</v>
      </c>
      <c r="BO283" s="27">
        <v>901141428</v>
      </c>
      <c r="BP283" s="27">
        <v>260464591</v>
      </c>
      <c r="BQ283" s="27">
        <v>260464591</v>
      </c>
      <c r="BR283" s="27">
        <f t="shared" ref="BR283:BS283" si="1019">+BN283+BP283</f>
        <v>1339040936</v>
      </c>
      <c r="BS283" s="27">
        <f t="shared" si="1019"/>
        <v>1161606019</v>
      </c>
      <c r="BT283" s="20">
        <f t="shared" si="919"/>
        <v>0.86749104360465945</v>
      </c>
      <c r="BU283" s="27">
        <v>1078576345</v>
      </c>
      <c r="BV283" s="27">
        <v>1208576345</v>
      </c>
      <c r="BW283" s="27">
        <v>1040323445</v>
      </c>
      <c r="BX283" s="27">
        <v>706885685</v>
      </c>
      <c r="BY283" s="28">
        <f t="shared" si="149"/>
        <v>0.86078421880745981</v>
      </c>
      <c r="BZ283" s="27">
        <v>3245984646</v>
      </c>
      <c r="CA283" s="20">
        <v>3300582373</v>
      </c>
      <c r="CB283" s="29">
        <v>3515242276</v>
      </c>
      <c r="CC283" s="29">
        <v>3648413575</v>
      </c>
      <c r="CD283" s="29">
        <v>13710222871</v>
      </c>
    </row>
    <row r="284" spans="1:82" ht="42" customHeight="1">
      <c r="A284" s="12" t="s">
        <v>851</v>
      </c>
      <c r="B284" s="13">
        <v>0.432</v>
      </c>
      <c r="C284" s="12"/>
      <c r="D284" s="14">
        <v>41</v>
      </c>
      <c r="E284" s="14">
        <v>4104</v>
      </c>
      <c r="F284" s="14">
        <v>29</v>
      </c>
      <c r="G284" s="14" t="s">
        <v>1366</v>
      </c>
      <c r="H284" s="14"/>
      <c r="I284" s="14">
        <v>29.1</v>
      </c>
      <c r="J284" s="14" t="s">
        <v>1367</v>
      </c>
      <c r="K284" s="14" t="s">
        <v>1368</v>
      </c>
      <c r="L284" s="14" t="s">
        <v>1369</v>
      </c>
      <c r="M284" s="14" t="s">
        <v>1370</v>
      </c>
      <c r="N284" s="14" t="s">
        <v>1371</v>
      </c>
      <c r="O284" s="16">
        <v>4104008</v>
      </c>
      <c r="P284" s="17">
        <v>2024257990038</v>
      </c>
      <c r="Q284" s="14" t="s">
        <v>1372</v>
      </c>
      <c r="R284" s="18">
        <v>283</v>
      </c>
      <c r="S284" s="14" t="s">
        <v>1384</v>
      </c>
      <c r="T284" s="14">
        <v>601</v>
      </c>
      <c r="U284" s="14" t="s">
        <v>88</v>
      </c>
      <c r="V284" s="14" t="s">
        <v>89</v>
      </c>
      <c r="W284" s="14" t="s">
        <v>1377</v>
      </c>
      <c r="X284" s="14" t="s">
        <v>567</v>
      </c>
      <c r="Y284" s="22"/>
      <c r="Z284" s="14">
        <f t="shared" si="1016"/>
        <v>700</v>
      </c>
      <c r="AA284" s="20">
        <f t="shared" si="913"/>
        <v>1</v>
      </c>
      <c r="AB284" s="20">
        <f t="shared" si="914"/>
        <v>1.5306122448979591E-3</v>
      </c>
      <c r="AC284" s="21"/>
      <c r="AD284" s="21"/>
      <c r="AE284" s="21">
        <f t="shared" si="915"/>
        <v>0.15053571428571427</v>
      </c>
      <c r="AF284" s="14">
        <v>700</v>
      </c>
      <c r="AG284" s="14">
        <v>700</v>
      </c>
      <c r="AH284" s="14">
        <v>700</v>
      </c>
      <c r="AI284" s="14">
        <v>700</v>
      </c>
      <c r="AJ284" s="26"/>
      <c r="AK284" s="26"/>
      <c r="AL284" s="26"/>
      <c r="AM284" s="26"/>
      <c r="AN284" s="26">
        <v>550</v>
      </c>
      <c r="AO284" s="26">
        <v>550</v>
      </c>
      <c r="AP284" s="26">
        <v>150</v>
      </c>
      <c r="AQ284" s="26">
        <v>150</v>
      </c>
      <c r="AR284" s="22">
        <f t="shared" ref="AR284:AS284" si="1020">(AJ284+AL284+AN284+AP284)</f>
        <v>700</v>
      </c>
      <c r="AS284" s="22">
        <f t="shared" si="1020"/>
        <v>700</v>
      </c>
      <c r="AT284" s="22">
        <f t="shared" si="1012"/>
        <v>1</v>
      </c>
      <c r="AU284" s="23" t="str">
        <f t="shared" si="1013"/>
        <v>100%</v>
      </c>
      <c r="AV284" s="24">
        <f t="shared" si="808"/>
        <v>1</v>
      </c>
      <c r="AW284" s="14" t="s">
        <v>92</v>
      </c>
      <c r="AX284" s="30" t="s">
        <v>1385</v>
      </c>
      <c r="AY284" s="26">
        <v>700</v>
      </c>
      <c r="AZ284" s="26">
        <v>650</v>
      </c>
      <c r="BA284" s="26">
        <v>700</v>
      </c>
      <c r="BB284" s="26">
        <v>900</v>
      </c>
      <c r="BC284" s="26">
        <v>700</v>
      </c>
      <c r="BD284" s="26">
        <v>700</v>
      </c>
      <c r="BE284" s="26">
        <v>700</v>
      </c>
      <c r="BF284" s="26"/>
      <c r="BG284" s="22">
        <f t="shared" ref="BG284:BG286" si="1021">(AY284+BA284+BC284+BE284)/4</f>
        <v>700</v>
      </c>
      <c r="BH284" s="22">
        <f t="shared" ref="BH284:BH286" si="1022">(AZ284+BB284+BD284+BF284)/3</f>
        <v>750</v>
      </c>
      <c r="BI284" s="22">
        <f t="shared" si="948"/>
        <v>1.0714285714285714</v>
      </c>
      <c r="BJ284" s="23" t="str">
        <f t="shared" si="949"/>
        <v>100%</v>
      </c>
      <c r="BK284" s="24">
        <f t="shared" si="950"/>
        <v>1.0714285714285714</v>
      </c>
      <c r="BL284" s="22" t="s">
        <v>92</v>
      </c>
      <c r="BM284" s="25" t="s">
        <v>1385</v>
      </c>
      <c r="BN284" s="27">
        <v>40000000</v>
      </c>
      <c r="BO284" s="27">
        <v>30000000</v>
      </c>
      <c r="BP284" s="27">
        <v>20712498</v>
      </c>
      <c r="BQ284" s="27">
        <v>20712498</v>
      </c>
      <c r="BR284" s="27">
        <f t="shared" ref="BR284:BS284" si="1023">+BN284+BP284</f>
        <v>60712498</v>
      </c>
      <c r="BS284" s="27">
        <f t="shared" si="1023"/>
        <v>50712498</v>
      </c>
      <c r="BT284" s="20">
        <f t="shared" si="919"/>
        <v>0.83528926778799317</v>
      </c>
      <c r="BU284" s="27">
        <v>40000000</v>
      </c>
      <c r="BV284" s="27">
        <v>40000000</v>
      </c>
      <c r="BW284" s="27">
        <v>40000000</v>
      </c>
      <c r="BX284" s="27">
        <v>40000000</v>
      </c>
      <c r="BY284" s="28">
        <f t="shared" si="149"/>
        <v>1</v>
      </c>
      <c r="BZ284" s="27">
        <v>150000000</v>
      </c>
      <c r="CA284" s="20">
        <v>153000000</v>
      </c>
      <c r="CB284" s="29">
        <v>156060000</v>
      </c>
      <c r="CC284" s="29">
        <v>160741800</v>
      </c>
      <c r="CD284" s="29">
        <v>619801800</v>
      </c>
    </row>
    <row r="285" spans="1:82" ht="57.75" customHeight="1">
      <c r="A285" s="12" t="s">
        <v>851</v>
      </c>
      <c r="B285" s="13">
        <v>0.432</v>
      </c>
      <c r="C285" s="12"/>
      <c r="D285" s="14">
        <v>41</v>
      </c>
      <c r="E285" s="14">
        <v>4104</v>
      </c>
      <c r="F285" s="14">
        <v>29</v>
      </c>
      <c r="G285" s="14" t="s">
        <v>1366</v>
      </c>
      <c r="H285" s="14"/>
      <c r="I285" s="14">
        <v>29.1</v>
      </c>
      <c r="J285" s="14" t="s">
        <v>1367</v>
      </c>
      <c r="K285" s="14" t="s">
        <v>1368</v>
      </c>
      <c r="L285" s="14" t="s">
        <v>1369</v>
      </c>
      <c r="M285" s="14" t="s">
        <v>1370</v>
      </c>
      <c r="N285" s="14" t="s">
        <v>1371</v>
      </c>
      <c r="O285" s="16">
        <v>4104008</v>
      </c>
      <c r="P285" s="17">
        <v>2024257990038</v>
      </c>
      <c r="Q285" s="14" t="s">
        <v>1372</v>
      </c>
      <c r="R285" s="18">
        <v>284</v>
      </c>
      <c r="S285" s="14" t="s">
        <v>1386</v>
      </c>
      <c r="T285" s="14">
        <v>338</v>
      </c>
      <c r="U285" s="14" t="s">
        <v>88</v>
      </c>
      <c r="V285" s="14" t="s">
        <v>89</v>
      </c>
      <c r="W285" s="14" t="s">
        <v>1387</v>
      </c>
      <c r="X285" s="14" t="s">
        <v>584</v>
      </c>
      <c r="Y285" s="22"/>
      <c r="Z285" s="14">
        <f t="shared" si="1016"/>
        <v>400</v>
      </c>
      <c r="AA285" s="20">
        <f t="shared" si="913"/>
        <v>1</v>
      </c>
      <c r="AB285" s="20">
        <f t="shared" si="914"/>
        <v>2.5000000000000001E-3</v>
      </c>
      <c r="AC285" s="21"/>
      <c r="AD285" s="21"/>
      <c r="AE285" s="21">
        <f t="shared" si="915"/>
        <v>0.15087499999999998</v>
      </c>
      <c r="AF285" s="14">
        <v>400</v>
      </c>
      <c r="AG285" s="14">
        <v>400</v>
      </c>
      <c r="AH285" s="14">
        <v>400</v>
      </c>
      <c r="AI285" s="14">
        <v>400</v>
      </c>
      <c r="AJ285" s="26"/>
      <c r="AK285" s="26"/>
      <c r="AL285" s="26"/>
      <c r="AM285" s="26"/>
      <c r="AN285" s="26">
        <v>400</v>
      </c>
      <c r="AO285" s="26">
        <v>400</v>
      </c>
      <c r="AP285" s="26">
        <v>400</v>
      </c>
      <c r="AQ285" s="26">
        <v>400</v>
      </c>
      <c r="AR285" s="29">
        <f t="shared" ref="AR285:AS285" si="1024">(AJ285+AL285+AN285+AP285)/2</f>
        <v>400</v>
      </c>
      <c r="AS285" s="29">
        <f t="shared" si="1024"/>
        <v>400</v>
      </c>
      <c r="AT285" s="22">
        <f t="shared" si="1012"/>
        <v>1</v>
      </c>
      <c r="AU285" s="23" t="str">
        <f t="shared" si="1013"/>
        <v>100%</v>
      </c>
      <c r="AV285" s="24">
        <f t="shared" si="808"/>
        <v>1</v>
      </c>
      <c r="AW285" s="14" t="s">
        <v>92</v>
      </c>
      <c r="AX285" s="30" t="s">
        <v>1388</v>
      </c>
      <c r="AY285" s="26">
        <v>400</v>
      </c>
      <c r="AZ285" s="26">
        <v>400</v>
      </c>
      <c r="BA285" s="26">
        <v>400</v>
      </c>
      <c r="BB285" s="26">
        <v>400</v>
      </c>
      <c r="BC285" s="26">
        <v>400</v>
      </c>
      <c r="BD285" s="26">
        <v>400</v>
      </c>
      <c r="BE285" s="26">
        <v>400</v>
      </c>
      <c r="BF285" s="26"/>
      <c r="BG285" s="22">
        <f t="shared" si="1021"/>
        <v>400</v>
      </c>
      <c r="BH285" s="22">
        <f t="shared" si="1022"/>
        <v>400</v>
      </c>
      <c r="BI285" s="22">
        <f t="shared" si="948"/>
        <v>1</v>
      </c>
      <c r="BJ285" s="23" t="str">
        <f t="shared" si="949"/>
        <v>100%</v>
      </c>
      <c r="BK285" s="24">
        <f t="shared" si="950"/>
        <v>1</v>
      </c>
      <c r="BL285" s="22" t="s">
        <v>92</v>
      </c>
      <c r="BM285" s="25" t="s">
        <v>1388</v>
      </c>
      <c r="BN285" s="27">
        <v>30000000</v>
      </c>
      <c r="BO285" s="27">
        <v>29613333</v>
      </c>
      <c r="BP285" s="27">
        <v>0</v>
      </c>
      <c r="BQ285" s="27">
        <v>0</v>
      </c>
      <c r="BR285" s="27">
        <f t="shared" ref="BR285:BS285" si="1025">+BN285+BP285</f>
        <v>30000000</v>
      </c>
      <c r="BS285" s="27">
        <f t="shared" si="1025"/>
        <v>29613333</v>
      </c>
      <c r="BT285" s="20">
        <f t="shared" si="919"/>
        <v>0.98711110000000002</v>
      </c>
      <c r="BU285" s="27">
        <v>30000000</v>
      </c>
      <c r="BV285" s="27">
        <v>30000000</v>
      </c>
      <c r="BW285" s="27">
        <v>29613333</v>
      </c>
      <c r="BX285" s="27">
        <v>20913333</v>
      </c>
      <c r="BY285" s="28">
        <f t="shared" si="149"/>
        <v>0.98711110000000002</v>
      </c>
      <c r="BZ285" s="27">
        <v>30000000</v>
      </c>
      <c r="CA285" s="20">
        <v>30600000</v>
      </c>
      <c r="CB285" s="29">
        <v>31212000</v>
      </c>
      <c r="CC285" s="29">
        <v>32148360</v>
      </c>
      <c r="CD285" s="29">
        <v>123960360</v>
      </c>
    </row>
    <row r="286" spans="1:82" ht="57.75" customHeight="1">
      <c r="A286" s="12" t="s">
        <v>851</v>
      </c>
      <c r="B286" s="13">
        <v>0.432</v>
      </c>
      <c r="C286" s="12"/>
      <c r="D286" s="14">
        <v>41</v>
      </c>
      <c r="E286" s="14">
        <v>4104</v>
      </c>
      <c r="F286" s="14">
        <v>29</v>
      </c>
      <c r="G286" s="14" t="s">
        <v>1366</v>
      </c>
      <c r="H286" s="14"/>
      <c r="I286" s="14">
        <v>29.1</v>
      </c>
      <c r="J286" s="14" t="s">
        <v>1367</v>
      </c>
      <c r="K286" s="14" t="s">
        <v>1368</v>
      </c>
      <c r="L286" s="14" t="s">
        <v>1369</v>
      </c>
      <c r="M286" s="14" t="s">
        <v>1370</v>
      </c>
      <c r="N286" s="14" t="s">
        <v>1371</v>
      </c>
      <c r="O286" s="16">
        <v>4104008</v>
      </c>
      <c r="P286" s="17">
        <v>2024257990038</v>
      </c>
      <c r="Q286" s="14" t="s">
        <v>1372</v>
      </c>
      <c r="R286" s="18">
        <v>285</v>
      </c>
      <c r="S286" s="14" t="s">
        <v>1389</v>
      </c>
      <c r="T286" s="14">
        <v>2</v>
      </c>
      <c r="U286" s="14" t="s">
        <v>88</v>
      </c>
      <c r="V286" s="14" t="s">
        <v>114</v>
      </c>
      <c r="W286" s="14" t="s">
        <v>1390</v>
      </c>
      <c r="X286" s="14" t="s">
        <v>584</v>
      </c>
      <c r="Y286" s="22"/>
      <c r="Z286" s="14">
        <f t="shared" si="1016"/>
        <v>2</v>
      </c>
      <c r="AA286" s="20">
        <f t="shared" si="913"/>
        <v>1</v>
      </c>
      <c r="AB286" s="20">
        <f t="shared" si="914"/>
        <v>0.5</v>
      </c>
      <c r="AC286" s="21"/>
      <c r="AD286" s="21"/>
      <c r="AE286" s="21">
        <f t="shared" si="915"/>
        <v>0.32499999999999996</v>
      </c>
      <c r="AF286" s="14">
        <v>2</v>
      </c>
      <c r="AG286" s="14">
        <v>2</v>
      </c>
      <c r="AH286" s="14">
        <v>2</v>
      </c>
      <c r="AI286" s="14">
        <v>2</v>
      </c>
      <c r="AJ286" s="26"/>
      <c r="AK286" s="26"/>
      <c r="AL286" s="26"/>
      <c r="AM286" s="26"/>
      <c r="AN286" s="26">
        <v>2</v>
      </c>
      <c r="AO286" s="26">
        <v>2</v>
      </c>
      <c r="AP286" s="26">
        <v>2</v>
      </c>
      <c r="AQ286" s="26">
        <v>2</v>
      </c>
      <c r="AR286" s="29">
        <f t="shared" ref="AR286:AS286" si="1026">(AJ286+AL286+AN286+AP286)/2</f>
        <v>2</v>
      </c>
      <c r="AS286" s="29">
        <f t="shared" si="1026"/>
        <v>2</v>
      </c>
      <c r="AT286" s="22">
        <f t="shared" si="1012"/>
        <v>1</v>
      </c>
      <c r="AU286" s="23" t="str">
        <f t="shared" si="1013"/>
        <v>100%</v>
      </c>
      <c r="AV286" s="24">
        <f t="shared" si="808"/>
        <v>1</v>
      </c>
      <c r="AW286" s="14" t="s">
        <v>92</v>
      </c>
      <c r="AX286" s="30" t="s">
        <v>1391</v>
      </c>
      <c r="AY286" s="26">
        <v>2</v>
      </c>
      <c r="AZ286" s="26">
        <v>2</v>
      </c>
      <c r="BA286" s="26">
        <v>2</v>
      </c>
      <c r="BB286" s="26">
        <v>2</v>
      </c>
      <c r="BC286" s="26">
        <v>2</v>
      </c>
      <c r="BD286" s="26">
        <v>2</v>
      </c>
      <c r="BE286" s="26">
        <v>2</v>
      </c>
      <c r="BF286" s="26"/>
      <c r="BG286" s="22">
        <f t="shared" si="1021"/>
        <v>2</v>
      </c>
      <c r="BH286" s="22">
        <f t="shared" si="1022"/>
        <v>2</v>
      </c>
      <c r="BI286" s="22">
        <f t="shared" si="948"/>
        <v>1</v>
      </c>
      <c r="BJ286" s="23" t="str">
        <f t="shared" si="949"/>
        <v>100%</v>
      </c>
      <c r="BK286" s="24">
        <f t="shared" si="950"/>
        <v>1</v>
      </c>
      <c r="BL286" s="22" t="s">
        <v>92</v>
      </c>
      <c r="BM286" s="25" t="s">
        <v>1391</v>
      </c>
      <c r="BN286" s="27">
        <v>550000000</v>
      </c>
      <c r="BO286" s="27">
        <v>392920000</v>
      </c>
      <c r="BP286" s="27">
        <v>120920394</v>
      </c>
      <c r="BQ286" s="27">
        <v>120920394</v>
      </c>
      <c r="BR286" s="27">
        <f t="shared" ref="BR286:BS286" si="1027">+BN286+BP286</f>
        <v>670920394</v>
      </c>
      <c r="BS286" s="27">
        <f t="shared" si="1027"/>
        <v>513840394</v>
      </c>
      <c r="BT286" s="20">
        <f t="shared" si="919"/>
        <v>0.76587386312182959</v>
      </c>
      <c r="BU286" s="27">
        <v>550000000</v>
      </c>
      <c r="BV286" s="27">
        <v>565006531</v>
      </c>
      <c r="BW286" s="27">
        <v>399000000</v>
      </c>
      <c r="BX286" s="27">
        <v>253143333</v>
      </c>
      <c r="BY286" s="28">
        <f t="shared" si="149"/>
        <v>0.70618652724918674</v>
      </c>
      <c r="BZ286" s="27">
        <v>960000000</v>
      </c>
      <c r="CA286" s="20">
        <v>979200000</v>
      </c>
      <c r="CB286" s="29">
        <v>998784000</v>
      </c>
      <c r="CC286" s="29">
        <v>1028747520</v>
      </c>
      <c r="CD286" s="29">
        <v>3966731520</v>
      </c>
    </row>
    <row r="287" spans="1:82" ht="57.75" customHeight="1">
      <c r="A287" s="12" t="s">
        <v>851</v>
      </c>
      <c r="B287" s="13">
        <v>0.432</v>
      </c>
      <c r="C287" s="12"/>
      <c r="D287" s="14">
        <v>41</v>
      </c>
      <c r="E287" s="14">
        <v>4104</v>
      </c>
      <c r="F287" s="14">
        <v>29</v>
      </c>
      <c r="G287" s="14" t="s">
        <v>1366</v>
      </c>
      <c r="H287" s="14"/>
      <c r="I287" s="14">
        <v>29.1</v>
      </c>
      <c r="J287" s="14" t="s">
        <v>1367</v>
      </c>
      <c r="K287" s="14" t="s">
        <v>1368</v>
      </c>
      <c r="L287" s="14" t="s">
        <v>1369</v>
      </c>
      <c r="M287" s="14" t="s">
        <v>1370</v>
      </c>
      <c r="N287" s="14" t="s">
        <v>1371</v>
      </c>
      <c r="O287" s="16">
        <v>4104025</v>
      </c>
      <c r="P287" s="17">
        <v>2024257990038</v>
      </c>
      <c r="Q287" s="14" t="s">
        <v>1372</v>
      </c>
      <c r="R287" s="18">
        <v>286</v>
      </c>
      <c r="S287" s="14" t="s">
        <v>1392</v>
      </c>
      <c r="T287" s="14">
        <v>0</v>
      </c>
      <c r="U287" s="14" t="s">
        <v>88</v>
      </c>
      <c r="V287" s="14" t="s">
        <v>89</v>
      </c>
      <c r="W287" s="14" t="s">
        <v>1393</v>
      </c>
      <c r="X287" s="14" t="s">
        <v>206</v>
      </c>
      <c r="Y287" s="22"/>
      <c r="Z287" s="14">
        <f>SUM(AF287:AI287)</f>
        <v>1</v>
      </c>
      <c r="AA287" s="20">
        <f t="shared" si="913"/>
        <v>0</v>
      </c>
      <c r="AB287" s="20">
        <f t="shared" si="914"/>
        <v>0.52008456659619451</v>
      </c>
      <c r="AC287" s="21"/>
      <c r="AD287" s="21"/>
      <c r="AE287" s="21">
        <f t="shared" si="915"/>
        <v>0.18202959830866808</v>
      </c>
      <c r="AF287" s="14">
        <v>0</v>
      </c>
      <c r="AG287" s="14">
        <v>0.4</v>
      </c>
      <c r="AH287" s="14">
        <v>0.6</v>
      </c>
      <c r="AI287" s="14">
        <v>0</v>
      </c>
      <c r="AJ287" s="26"/>
      <c r="AK287" s="26"/>
      <c r="AL287" s="26"/>
      <c r="AM287" s="26"/>
      <c r="AN287" s="34">
        <v>0</v>
      </c>
      <c r="AO287" s="34">
        <v>0</v>
      </c>
      <c r="AP287" s="34">
        <v>0</v>
      </c>
      <c r="AQ287" s="34">
        <v>0</v>
      </c>
      <c r="AR287" s="34">
        <v>0</v>
      </c>
      <c r="AS287" s="34">
        <f>(AK287+AM287+AO287+AQ287)/2</f>
        <v>0</v>
      </c>
      <c r="AT287" s="24">
        <f>IF(AQ287=0, 0, AR287/AQ287)</f>
        <v>0</v>
      </c>
      <c r="AU287" s="23" t="str">
        <f>IF(AR287&gt; 1, IF(AR287 = AS287, "100%", AR287 &amp; "%"), IF(AR287 &lt;= 0.01, "0%", AR287 * 100 &amp; "%"))</f>
        <v>0%</v>
      </c>
      <c r="AV287" s="24">
        <f t="shared" si="808"/>
        <v>0</v>
      </c>
      <c r="AW287" s="26" t="s">
        <v>192</v>
      </c>
      <c r="AX287" s="26"/>
      <c r="AY287" s="14">
        <v>0.1</v>
      </c>
      <c r="AZ287" s="26">
        <v>7.2999999999999995E-2</v>
      </c>
      <c r="BA287" s="26">
        <v>7.2999999999999995E-2</v>
      </c>
      <c r="BB287" s="26">
        <v>7.2999999999999995E-2</v>
      </c>
      <c r="BC287" s="14">
        <v>0.1</v>
      </c>
      <c r="BD287" s="14">
        <v>0.1</v>
      </c>
      <c r="BE287" s="14">
        <v>0.2</v>
      </c>
      <c r="BF287" s="26"/>
      <c r="BG287" s="22">
        <f t="shared" ref="BG287:BH287" si="1028">(AY287+BA287+BC287+BE287)</f>
        <v>0.47300000000000003</v>
      </c>
      <c r="BH287" s="22">
        <f t="shared" si="1028"/>
        <v>0.246</v>
      </c>
      <c r="BI287" s="22">
        <f t="shared" si="948"/>
        <v>0.52008456659619451</v>
      </c>
      <c r="BJ287" s="23" t="str">
        <f t="shared" si="949"/>
        <v>100%</v>
      </c>
      <c r="BK287" s="24">
        <f t="shared" si="950"/>
        <v>0.52008456659619451</v>
      </c>
      <c r="BL287" s="22" t="s">
        <v>92</v>
      </c>
      <c r="BM287" s="25" t="s">
        <v>1394</v>
      </c>
      <c r="BN287" s="27">
        <v>500000000</v>
      </c>
      <c r="BO287" s="27">
        <v>36780000</v>
      </c>
      <c r="BP287" s="27">
        <v>0</v>
      </c>
      <c r="BQ287" s="27">
        <v>0</v>
      </c>
      <c r="BR287" s="27">
        <f t="shared" ref="BR287:BS287" si="1029">+BN287+BP287</f>
        <v>500000000</v>
      </c>
      <c r="BS287" s="27">
        <f t="shared" si="1029"/>
        <v>36780000</v>
      </c>
      <c r="BT287" s="20">
        <f t="shared" si="919"/>
        <v>7.356E-2</v>
      </c>
      <c r="BU287" s="27">
        <v>500000000</v>
      </c>
      <c r="BV287" s="27">
        <v>1430844140</v>
      </c>
      <c r="BW287" s="27">
        <v>1373192253</v>
      </c>
      <c r="BX287" s="27">
        <v>36355000</v>
      </c>
      <c r="BY287" s="28">
        <f t="shared" si="149"/>
        <v>0.95970777991235301</v>
      </c>
      <c r="BZ287" s="27">
        <v>9000000000</v>
      </c>
      <c r="CA287" s="20">
        <v>0</v>
      </c>
      <c r="CB287" s="29">
        <v>0</v>
      </c>
      <c r="CC287" s="29">
        <v>0</v>
      </c>
      <c r="CD287" s="29">
        <v>9000000000</v>
      </c>
    </row>
    <row r="288" spans="1:82" ht="57.75" customHeight="1">
      <c r="A288" s="12" t="s">
        <v>851</v>
      </c>
      <c r="B288" s="13">
        <v>0.432</v>
      </c>
      <c r="C288" s="12"/>
      <c r="D288" s="14">
        <v>41</v>
      </c>
      <c r="E288" s="14">
        <v>4102</v>
      </c>
      <c r="F288" s="14">
        <v>30</v>
      </c>
      <c r="G288" s="14" t="s">
        <v>1395</v>
      </c>
      <c r="H288" s="14"/>
      <c r="I288" s="14">
        <v>30.1</v>
      </c>
      <c r="J288" s="14" t="s">
        <v>1396</v>
      </c>
      <c r="K288" s="14" t="s">
        <v>1397</v>
      </c>
      <c r="L288" s="14" t="s">
        <v>1398</v>
      </c>
      <c r="M288" s="14" t="s">
        <v>1399</v>
      </c>
      <c r="N288" s="14" t="s">
        <v>1400</v>
      </c>
      <c r="O288" s="16">
        <v>4102047</v>
      </c>
      <c r="P288" s="17">
        <v>2024257990039</v>
      </c>
      <c r="Q288" s="14" t="s">
        <v>1401</v>
      </c>
      <c r="R288" s="18">
        <v>287</v>
      </c>
      <c r="S288" s="14" t="s">
        <v>1402</v>
      </c>
      <c r="T288" s="14">
        <v>1</v>
      </c>
      <c r="U288" s="14" t="s">
        <v>88</v>
      </c>
      <c r="V288" s="14" t="s">
        <v>114</v>
      </c>
      <c r="W288" s="14" t="s">
        <v>1322</v>
      </c>
      <c r="X288" s="14" t="s">
        <v>584</v>
      </c>
      <c r="Y288" s="22"/>
      <c r="Z288" s="14">
        <f t="shared" ref="Z288:Z289" si="1030">SUM(AF288:AI288)/4</f>
        <v>1</v>
      </c>
      <c r="AA288" s="20">
        <f t="shared" si="913"/>
        <v>0.3</v>
      </c>
      <c r="AB288" s="20">
        <f t="shared" si="914"/>
        <v>0.8</v>
      </c>
      <c r="AC288" s="21"/>
      <c r="AD288" s="21"/>
      <c r="AE288" s="21">
        <f t="shared" si="915"/>
        <v>0.32499999999999996</v>
      </c>
      <c r="AF288" s="14">
        <v>1</v>
      </c>
      <c r="AG288" s="14">
        <v>1</v>
      </c>
      <c r="AH288" s="14">
        <v>1</v>
      </c>
      <c r="AI288" s="14">
        <v>1</v>
      </c>
      <c r="AJ288" s="26"/>
      <c r="AK288" s="26"/>
      <c r="AL288" s="26"/>
      <c r="AM288" s="26"/>
      <c r="AN288" s="44">
        <v>1E-3</v>
      </c>
      <c r="AO288" s="26">
        <v>0</v>
      </c>
      <c r="AP288" s="26">
        <v>0.3</v>
      </c>
      <c r="AQ288" s="26">
        <v>0.3</v>
      </c>
      <c r="AR288" s="22">
        <f t="shared" ref="AR288:AS288" si="1031">(AJ288+AL288+AN288+AP288)</f>
        <v>0.30099999999999999</v>
      </c>
      <c r="AS288" s="22">
        <f t="shared" si="1031"/>
        <v>0.3</v>
      </c>
      <c r="AT288" s="22">
        <f t="shared" ref="AT288:AT289" si="1032">AS288/AR288</f>
        <v>0.99667774086378735</v>
      </c>
      <c r="AU288" s="23" t="str">
        <f t="shared" ref="AU288:AU289" si="1033">MIN((AR288 /AR288) * 100, 100) &amp; "%"</f>
        <v>100%</v>
      </c>
      <c r="AV288" s="24">
        <f t="shared" si="808"/>
        <v>0.99667774086378735</v>
      </c>
      <c r="AW288" s="14" t="s">
        <v>92</v>
      </c>
      <c r="AX288" s="30" t="s">
        <v>1403</v>
      </c>
      <c r="AY288" s="46">
        <v>0.1</v>
      </c>
      <c r="AZ288" s="46">
        <v>0.1</v>
      </c>
      <c r="BA288" s="46">
        <v>0.3</v>
      </c>
      <c r="BB288" s="46">
        <v>0.3</v>
      </c>
      <c r="BC288" s="46">
        <v>0.4</v>
      </c>
      <c r="BD288" s="46">
        <v>0.4</v>
      </c>
      <c r="BE288" s="46">
        <v>0.2</v>
      </c>
      <c r="BF288" s="26"/>
      <c r="BG288" s="22">
        <f t="shared" ref="BG288:BH288" si="1034">(AY288+BA288+BC288+BE288)</f>
        <v>1</v>
      </c>
      <c r="BH288" s="22">
        <f t="shared" si="1034"/>
        <v>0.8</v>
      </c>
      <c r="BI288" s="22">
        <f t="shared" si="948"/>
        <v>0.8</v>
      </c>
      <c r="BJ288" s="23" t="str">
        <f t="shared" si="949"/>
        <v>100%</v>
      </c>
      <c r="BK288" s="24">
        <f t="shared" si="950"/>
        <v>0.8</v>
      </c>
      <c r="BL288" s="22" t="s">
        <v>92</v>
      </c>
      <c r="BM288" s="25" t="s">
        <v>1403</v>
      </c>
      <c r="BN288" s="27">
        <v>74000000</v>
      </c>
      <c r="BO288" s="27">
        <v>42800000</v>
      </c>
      <c r="BP288" s="27">
        <v>16973333</v>
      </c>
      <c r="BQ288" s="27">
        <v>16973333</v>
      </c>
      <c r="BR288" s="27">
        <f t="shared" ref="BR288:BS288" si="1035">+BN288+BP288</f>
        <v>90973333</v>
      </c>
      <c r="BS288" s="27">
        <f t="shared" si="1035"/>
        <v>59773333</v>
      </c>
      <c r="BT288" s="20">
        <f t="shared" si="919"/>
        <v>0.65704235547795087</v>
      </c>
      <c r="BU288" s="27">
        <v>74000000</v>
      </c>
      <c r="BV288" s="27">
        <v>74000000</v>
      </c>
      <c r="BW288" s="27">
        <v>55254545</v>
      </c>
      <c r="BX288" s="27">
        <v>42987878</v>
      </c>
      <c r="BY288" s="28">
        <f t="shared" si="149"/>
        <v>0.74668304054054058</v>
      </c>
      <c r="BZ288" s="27">
        <v>30000000</v>
      </c>
      <c r="CA288" s="20">
        <v>30600000</v>
      </c>
      <c r="CB288" s="29">
        <v>31212000</v>
      </c>
      <c r="CC288" s="29">
        <v>32148360</v>
      </c>
      <c r="CD288" s="29">
        <v>123960360</v>
      </c>
    </row>
    <row r="289" spans="1:82" ht="57.75" customHeight="1">
      <c r="A289" s="12" t="s">
        <v>851</v>
      </c>
      <c r="B289" s="13">
        <v>0.432</v>
      </c>
      <c r="C289" s="12"/>
      <c r="D289" s="14">
        <v>41</v>
      </c>
      <c r="E289" s="14">
        <v>4102</v>
      </c>
      <c r="F289" s="14">
        <v>30</v>
      </c>
      <c r="G289" s="14" t="s">
        <v>1395</v>
      </c>
      <c r="H289" s="14"/>
      <c r="I289" s="14">
        <v>30.1</v>
      </c>
      <c r="J289" s="14" t="s">
        <v>1396</v>
      </c>
      <c r="K289" s="14" t="s">
        <v>1397</v>
      </c>
      <c r="L289" s="14" t="s">
        <v>1398</v>
      </c>
      <c r="M289" s="14" t="s">
        <v>1399</v>
      </c>
      <c r="N289" s="14" t="s">
        <v>1400</v>
      </c>
      <c r="O289" s="16">
        <v>4102038</v>
      </c>
      <c r="P289" s="17">
        <v>2024257990039</v>
      </c>
      <c r="Q289" s="14" t="s">
        <v>1401</v>
      </c>
      <c r="R289" s="18">
        <v>288</v>
      </c>
      <c r="S289" s="14" t="s">
        <v>1404</v>
      </c>
      <c r="T289" s="20">
        <v>0.5</v>
      </c>
      <c r="U289" s="14" t="s">
        <v>109</v>
      </c>
      <c r="V289" s="14" t="s">
        <v>89</v>
      </c>
      <c r="W289" s="14" t="s">
        <v>1405</v>
      </c>
      <c r="X289" s="14" t="s">
        <v>584</v>
      </c>
      <c r="Y289" s="22"/>
      <c r="Z289" s="20">
        <f t="shared" si="1030"/>
        <v>0.9</v>
      </c>
      <c r="AA289" s="20">
        <f t="shared" si="913"/>
        <v>1</v>
      </c>
      <c r="AB289" s="20">
        <f t="shared" si="914"/>
        <v>0.92592592592592582</v>
      </c>
      <c r="AC289" s="21"/>
      <c r="AD289" s="21"/>
      <c r="AE289" s="21">
        <f t="shared" si="915"/>
        <v>0.47407407407407398</v>
      </c>
      <c r="AF289" s="20">
        <v>0.9</v>
      </c>
      <c r="AG289" s="20">
        <v>0.9</v>
      </c>
      <c r="AH289" s="20">
        <v>0.9</v>
      </c>
      <c r="AI289" s="20">
        <v>0.9</v>
      </c>
      <c r="AJ289" s="26"/>
      <c r="AK289" s="26"/>
      <c r="AL289" s="26"/>
      <c r="AM289" s="26"/>
      <c r="AN289" s="24">
        <v>0.9</v>
      </c>
      <c r="AO289" s="24">
        <v>0.9</v>
      </c>
      <c r="AP289" s="24">
        <v>0.9</v>
      </c>
      <c r="AQ289" s="24">
        <v>0.9</v>
      </c>
      <c r="AR289" s="24">
        <f t="shared" ref="AR289:AS289" si="1036">(AJ289+AL289+AN289+AP289)/2</f>
        <v>0.9</v>
      </c>
      <c r="AS289" s="24">
        <f t="shared" si="1036"/>
        <v>0.9</v>
      </c>
      <c r="AT289" s="22">
        <f t="shared" si="1032"/>
        <v>1</v>
      </c>
      <c r="AU289" s="23" t="str">
        <f t="shared" si="1033"/>
        <v>100%</v>
      </c>
      <c r="AV289" s="24">
        <f t="shared" si="808"/>
        <v>1</v>
      </c>
      <c r="AW289" s="14" t="s">
        <v>92</v>
      </c>
      <c r="AX289" s="30" t="s">
        <v>1406</v>
      </c>
      <c r="AY289" s="24">
        <v>0.05</v>
      </c>
      <c r="AZ289" s="24">
        <v>0.05</v>
      </c>
      <c r="BA289" s="24">
        <v>0.3</v>
      </c>
      <c r="BB289" s="24">
        <v>0.3</v>
      </c>
      <c r="BC289" s="24">
        <v>0.4</v>
      </c>
      <c r="BD289" s="24">
        <v>0.4</v>
      </c>
      <c r="BE289" s="24">
        <v>0.15</v>
      </c>
      <c r="BF289" s="26"/>
      <c r="BG289" s="20">
        <f t="shared" ref="BG289:BH289" si="1037">(AY289+BA289+BC289+BE289)</f>
        <v>0.9</v>
      </c>
      <c r="BH289" s="20">
        <f t="shared" si="1037"/>
        <v>0.75</v>
      </c>
      <c r="BI289" s="20">
        <f t="shared" si="948"/>
        <v>0.83333333333333326</v>
      </c>
      <c r="BJ289" s="23" t="str">
        <f t="shared" si="949"/>
        <v>100%</v>
      </c>
      <c r="BK289" s="24">
        <f t="shared" si="950"/>
        <v>0.83333333333333326</v>
      </c>
      <c r="BL289" s="22" t="s">
        <v>92</v>
      </c>
      <c r="BM289" s="25" t="s">
        <v>1406</v>
      </c>
      <c r="BN289" s="27">
        <v>45000000</v>
      </c>
      <c r="BO289" s="27">
        <v>5000000</v>
      </c>
      <c r="BP289" s="27">
        <v>15000000</v>
      </c>
      <c r="BQ289" s="27">
        <v>15000000</v>
      </c>
      <c r="BR289" s="27">
        <f t="shared" ref="BR289:BS289" si="1038">+BN289+BP289</f>
        <v>60000000</v>
      </c>
      <c r="BS289" s="27">
        <f t="shared" si="1038"/>
        <v>20000000</v>
      </c>
      <c r="BT289" s="20">
        <f t="shared" si="919"/>
        <v>0.33333333333333331</v>
      </c>
      <c r="BU289" s="27">
        <v>45000000</v>
      </c>
      <c r="BV289" s="27">
        <v>45000000</v>
      </c>
      <c r="BW289" s="27">
        <v>33700000</v>
      </c>
      <c r="BX289" s="27">
        <v>33700000</v>
      </c>
      <c r="BY289" s="28">
        <f t="shared" si="149"/>
        <v>0.74888888888888894</v>
      </c>
      <c r="BZ289" s="27">
        <v>57000000</v>
      </c>
      <c r="CA289" s="20">
        <v>58140000</v>
      </c>
      <c r="CB289" s="29">
        <v>59302800</v>
      </c>
      <c r="CC289" s="29">
        <v>61081884</v>
      </c>
      <c r="CD289" s="29">
        <v>235524684</v>
      </c>
    </row>
    <row r="290" spans="1:82" ht="57.75" customHeight="1">
      <c r="A290" s="12" t="s">
        <v>851</v>
      </c>
      <c r="B290" s="13">
        <v>0.432</v>
      </c>
      <c r="C290" s="12"/>
      <c r="D290" s="14">
        <v>41</v>
      </c>
      <c r="E290" s="14">
        <v>4102</v>
      </c>
      <c r="F290" s="14">
        <v>30</v>
      </c>
      <c r="G290" s="14" t="s">
        <v>1395</v>
      </c>
      <c r="H290" s="14"/>
      <c r="I290" s="14">
        <v>30.1</v>
      </c>
      <c r="J290" s="14" t="s">
        <v>1396</v>
      </c>
      <c r="K290" s="14" t="s">
        <v>1397</v>
      </c>
      <c r="L290" s="14" t="s">
        <v>1398</v>
      </c>
      <c r="M290" s="14" t="s">
        <v>1399</v>
      </c>
      <c r="N290" s="14" t="s">
        <v>1400</v>
      </c>
      <c r="O290" s="16">
        <v>4102052</v>
      </c>
      <c r="P290" s="17">
        <v>2024257990039</v>
      </c>
      <c r="Q290" s="14" t="s">
        <v>1401</v>
      </c>
      <c r="R290" s="18">
        <v>289</v>
      </c>
      <c r="S290" s="14" t="s">
        <v>1407</v>
      </c>
      <c r="T290" s="14">
        <v>1</v>
      </c>
      <c r="U290" s="14" t="s">
        <v>88</v>
      </c>
      <c r="V290" s="14" t="s">
        <v>89</v>
      </c>
      <c r="W290" s="14" t="s">
        <v>1408</v>
      </c>
      <c r="X290" s="14" t="s">
        <v>584</v>
      </c>
      <c r="Y290" s="22"/>
      <c r="Z290" s="14">
        <f>SUM(AF290:AI290)</f>
        <v>1</v>
      </c>
      <c r="AA290" s="20">
        <f t="shared" si="913"/>
        <v>0</v>
      </c>
      <c r="AB290" s="20">
        <f t="shared" si="914"/>
        <v>0</v>
      </c>
      <c r="AC290" s="21"/>
      <c r="AD290" s="21"/>
      <c r="AE290" s="21">
        <f t="shared" si="915"/>
        <v>0</v>
      </c>
      <c r="AF290" s="14">
        <v>0</v>
      </c>
      <c r="AG290" s="14">
        <v>0</v>
      </c>
      <c r="AH290" s="14">
        <v>1</v>
      </c>
      <c r="AI290" s="14">
        <v>0</v>
      </c>
      <c r="AJ290" s="26"/>
      <c r="AK290" s="26"/>
      <c r="AL290" s="26"/>
      <c r="AM290" s="26"/>
      <c r="AN290" s="34">
        <v>0</v>
      </c>
      <c r="AO290" s="34">
        <v>0</v>
      </c>
      <c r="AP290" s="34">
        <v>0</v>
      </c>
      <c r="AQ290" s="34">
        <v>0</v>
      </c>
      <c r="AR290" s="34">
        <v>0</v>
      </c>
      <c r="AS290" s="34">
        <f>(AK290+AM290+AO290+AQ290)/2</f>
        <v>0</v>
      </c>
      <c r="AT290" s="24">
        <f>IF(AQ290=0, 0, AR290/AQ290)</f>
        <v>0</v>
      </c>
      <c r="AU290" s="23" t="str">
        <f>IF(AR290&gt; 1, IF(AR290 = AS290, "100%", AR290 &amp; "%"), IF(AR290 &lt;= 0.01, "0%", AR290 * 100 &amp; "%"))</f>
        <v>0%</v>
      </c>
      <c r="AV290" s="24">
        <f t="shared" si="808"/>
        <v>0</v>
      </c>
      <c r="AW290" s="26" t="s">
        <v>192</v>
      </c>
      <c r="AX290" s="26"/>
      <c r="AY290" s="32">
        <v>0</v>
      </c>
      <c r="AZ290" s="32"/>
      <c r="BA290" s="32">
        <v>0</v>
      </c>
      <c r="BB290" s="32"/>
      <c r="BC290" s="32">
        <v>0</v>
      </c>
      <c r="BD290" s="32"/>
      <c r="BE290" s="32">
        <v>0</v>
      </c>
      <c r="BF290" s="32"/>
      <c r="BG290" s="22">
        <f t="shared" ref="BG290:BH290" si="1039">(AY290+BA290+BC290+BE290)</f>
        <v>0</v>
      </c>
      <c r="BH290" s="22">
        <f t="shared" si="1039"/>
        <v>0</v>
      </c>
      <c r="BI290" s="23" t="str">
        <f>IF(BF290&gt; 1, IF(BF290 = BG290, "100%", BF290 &amp; "%"), IF(BF290 &lt;= 0.01, "0%", BF290 * 100 &amp; "%"))</f>
        <v>0%</v>
      </c>
      <c r="BJ290" s="24">
        <f t="shared" ref="BJ290:BK290" si="1040">IF(BF290=0, 0, BG290/BF290)</f>
        <v>0</v>
      </c>
      <c r="BK290" s="24">
        <f t="shared" si="1040"/>
        <v>0</v>
      </c>
      <c r="BL290" s="26" t="s">
        <v>192</v>
      </c>
      <c r="BM290" s="25" t="s">
        <v>1409</v>
      </c>
      <c r="BN290" s="27">
        <v>0</v>
      </c>
      <c r="BO290" s="27">
        <v>0</v>
      </c>
      <c r="BP290" s="27">
        <v>0</v>
      </c>
      <c r="BQ290" s="27">
        <v>0</v>
      </c>
      <c r="BR290" s="27">
        <f t="shared" ref="BR290:BS290" si="1041">+BN290+BP290</f>
        <v>0</v>
      </c>
      <c r="BS290" s="27">
        <f t="shared" si="1041"/>
        <v>0</v>
      </c>
      <c r="BT290" s="20" t="str">
        <f t="shared" si="919"/>
        <v/>
      </c>
      <c r="BU290" s="27">
        <v>0</v>
      </c>
      <c r="BV290" s="27">
        <v>0</v>
      </c>
      <c r="BW290" s="27">
        <v>0</v>
      </c>
      <c r="BX290" s="27">
        <v>0</v>
      </c>
      <c r="BY290" s="28" t="str">
        <f t="shared" si="149"/>
        <v/>
      </c>
      <c r="BZ290" s="27">
        <v>75600000</v>
      </c>
      <c r="CA290" s="20">
        <v>77112000</v>
      </c>
      <c r="CB290" s="29">
        <v>78654240</v>
      </c>
      <c r="CC290" s="29">
        <v>81013867</v>
      </c>
      <c r="CD290" s="29">
        <v>312380107</v>
      </c>
    </row>
    <row r="291" spans="1:82" ht="57.75" customHeight="1">
      <c r="A291" s="12" t="s">
        <v>851</v>
      </c>
      <c r="B291" s="13">
        <v>0.432</v>
      </c>
      <c r="C291" s="12"/>
      <c r="D291" s="14">
        <v>41</v>
      </c>
      <c r="E291" s="14">
        <v>4102</v>
      </c>
      <c r="F291" s="14">
        <v>30</v>
      </c>
      <c r="G291" s="14" t="s">
        <v>1395</v>
      </c>
      <c r="H291" s="14"/>
      <c r="I291" s="14">
        <v>30.1</v>
      </c>
      <c r="J291" s="14" t="s">
        <v>1396</v>
      </c>
      <c r="K291" s="14" t="s">
        <v>1397</v>
      </c>
      <c r="L291" s="14" t="s">
        <v>1398</v>
      </c>
      <c r="M291" s="14" t="s">
        <v>1399</v>
      </c>
      <c r="N291" s="14" t="s">
        <v>1400</v>
      </c>
      <c r="O291" s="16">
        <v>4102045</v>
      </c>
      <c r="P291" s="17">
        <v>2024257990039</v>
      </c>
      <c r="Q291" s="14" t="s">
        <v>1401</v>
      </c>
      <c r="R291" s="18">
        <v>290</v>
      </c>
      <c r="S291" s="14" t="s">
        <v>1410</v>
      </c>
      <c r="T291" s="14">
        <v>1</v>
      </c>
      <c r="U291" s="14" t="s">
        <v>88</v>
      </c>
      <c r="V291" s="14" t="s">
        <v>114</v>
      </c>
      <c r="W291" s="14" t="s">
        <v>1411</v>
      </c>
      <c r="X291" s="14" t="s">
        <v>584</v>
      </c>
      <c r="Y291" s="22"/>
      <c r="Z291" s="14">
        <f t="shared" ref="Z291:Z293" si="1042">SUM(AF291:AI291)/4</f>
        <v>1</v>
      </c>
      <c r="AA291" s="20">
        <f t="shared" si="913"/>
        <v>1</v>
      </c>
      <c r="AB291" s="20">
        <f t="shared" si="914"/>
        <v>1</v>
      </c>
      <c r="AC291" s="21"/>
      <c r="AD291" s="21"/>
      <c r="AE291" s="21">
        <f t="shared" si="915"/>
        <v>0.5</v>
      </c>
      <c r="AF291" s="14">
        <v>1</v>
      </c>
      <c r="AG291" s="14">
        <v>1</v>
      </c>
      <c r="AH291" s="14">
        <v>1</v>
      </c>
      <c r="AI291" s="14">
        <v>1</v>
      </c>
      <c r="AJ291" s="26"/>
      <c r="AK291" s="26"/>
      <c r="AL291" s="26"/>
      <c r="AM291" s="26"/>
      <c r="AN291" s="26">
        <v>1</v>
      </c>
      <c r="AO291" s="26">
        <v>1</v>
      </c>
      <c r="AP291" s="26">
        <v>0</v>
      </c>
      <c r="AQ291" s="26">
        <v>0</v>
      </c>
      <c r="AR291" s="22">
        <f t="shared" ref="AR291:AS291" si="1043">(AJ291+AL291+AN291+AP291)</f>
        <v>1</v>
      </c>
      <c r="AS291" s="22">
        <f t="shared" si="1043"/>
        <v>1</v>
      </c>
      <c r="AT291" s="22">
        <f t="shared" ref="AT291:AT293" si="1044">AS291/AR291</f>
        <v>1</v>
      </c>
      <c r="AU291" s="23" t="str">
        <f t="shared" ref="AU291:AU293" si="1045">MIN((AR291 /AR291) * 100, 100) &amp; "%"</f>
        <v>100%</v>
      </c>
      <c r="AV291" s="24">
        <f t="shared" si="808"/>
        <v>1</v>
      </c>
      <c r="AW291" s="14" t="s">
        <v>92</v>
      </c>
      <c r="AX291" s="30" t="s">
        <v>1412</v>
      </c>
      <c r="AY291" s="46">
        <v>0</v>
      </c>
      <c r="AZ291" s="46">
        <v>0</v>
      </c>
      <c r="BA291" s="46">
        <v>0.3</v>
      </c>
      <c r="BB291" s="46">
        <v>0.3</v>
      </c>
      <c r="BC291" s="46">
        <v>0.7</v>
      </c>
      <c r="BD291" s="46">
        <v>0.7</v>
      </c>
      <c r="BE291" s="46">
        <v>0</v>
      </c>
      <c r="BF291" s="26"/>
      <c r="BG291" s="22">
        <f t="shared" ref="BG291:BH291" si="1046">(AY291+BA291+BC291+BE291)</f>
        <v>1</v>
      </c>
      <c r="BH291" s="22">
        <f t="shared" si="1046"/>
        <v>1</v>
      </c>
      <c r="BI291" s="22">
        <f t="shared" ref="BI291:BI308" si="1047">BH291/BG291</f>
        <v>1</v>
      </c>
      <c r="BJ291" s="23" t="str">
        <f t="shared" ref="BJ291:BJ308" si="1048">MIN((BG291 /BG291) * 100, 100) &amp; "%"</f>
        <v>100%</v>
      </c>
      <c r="BK291" s="24">
        <f t="shared" ref="BK291:BK308" si="1049">IF(BG291=0, 0, BH291/BG291)</f>
        <v>1</v>
      </c>
      <c r="BL291" s="22" t="s">
        <v>92</v>
      </c>
      <c r="BM291" s="25" t="s">
        <v>1412</v>
      </c>
      <c r="BN291" s="27">
        <v>180000000</v>
      </c>
      <c r="BO291" s="27">
        <v>0</v>
      </c>
      <c r="BP291" s="27">
        <v>103500000</v>
      </c>
      <c r="BQ291" s="27">
        <v>103500000</v>
      </c>
      <c r="BR291" s="27">
        <f t="shared" ref="BR291:BS291" si="1050">+BN291+BP291</f>
        <v>283500000</v>
      </c>
      <c r="BS291" s="27">
        <f t="shared" si="1050"/>
        <v>103500000</v>
      </c>
      <c r="BT291" s="20">
        <f t="shared" si="919"/>
        <v>0.36507936507936506</v>
      </c>
      <c r="BU291" s="27">
        <v>110000000</v>
      </c>
      <c r="BV291" s="27">
        <v>179004920</v>
      </c>
      <c r="BW291" s="27">
        <v>179004920</v>
      </c>
      <c r="BX291" s="27">
        <v>179004920</v>
      </c>
      <c r="BY291" s="28">
        <f t="shared" si="149"/>
        <v>1</v>
      </c>
      <c r="BZ291" s="27">
        <v>100000000</v>
      </c>
      <c r="CA291" s="20">
        <v>102000000</v>
      </c>
      <c r="CB291" s="29">
        <v>104040000</v>
      </c>
      <c r="CC291" s="29">
        <v>107161200</v>
      </c>
      <c r="CD291" s="29">
        <v>413201200</v>
      </c>
    </row>
    <row r="292" spans="1:82" ht="57.75" customHeight="1">
      <c r="A292" s="12" t="s">
        <v>851</v>
      </c>
      <c r="B292" s="13">
        <v>0.432</v>
      </c>
      <c r="C292" s="12"/>
      <c r="D292" s="14">
        <v>41</v>
      </c>
      <c r="E292" s="14">
        <v>4102</v>
      </c>
      <c r="F292" s="14">
        <v>30</v>
      </c>
      <c r="G292" s="14" t="s">
        <v>1395</v>
      </c>
      <c r="H292" s="14"/>
      <c r="I292" s="14">
        <v>30.1</v>
      </c>
      <c r="J292" s="14" t="s">
        <v>1396</v>
      </c>
      <c r="K292" s="14" t="s">
        <v>1397</v>
      </c>
      <c r="L292" s="14" t="s">
        <v>1398</v>
      </c>
      <c r="M292" s="14" t="s">
        <v>1399</v>
      </c>
      <c r="N292" s="14" t="s">
        <v>1400</v>
      </c>
      <c r="O292" s="16">
        <v>4102045</v>
      </c>
      <c r="P292" s="17">
        <v>2024257990039</v>
      </c>
      <c r="Q292" s="14" t="s">
        <v>1401</v>
      </c>
      <c r="R292" s="18">
        <v>291</v>
      </c>
      <c r="S292" s="14" t="s">
        <v>1413</v>
      </c>
      <c r="T292" s="14">
        <v>0</v>
      </c>
      <c r="U292" s="14" t="s">
        <v>88</v>
      </c>
      <c r="V292" s="14" t="s">
        <v>89</v>
      </c>
      <c r="W292" s="14" t="s">
        <v>1414</v>
      </c>
      <c r="X292" s="14" t="s">
        <v>584</v>
      </c>
      <c r="Y292" s="22"/>
      <c r="Z292" s="14">
        <f t="shared" si="1042"/>
        <v>1</v>
      </c>
      <c r="AA292" s="20">
        <f t="shared" si="913"/>
        <v>0.60000000000000009</v>
      </c>
      <c r="AB292" s="20">
        <f t="shared" si="914"/>
        <v>0.9</v>
      </c>
      <c r="AC292" s="21"/>
      <c r="AD292" s="21"/>
      <c r="AE292" s="21">
        <f t="shared" si="915"/>
        <v>0.40500000000000003</v>
      </c>
      <c r="AF292" s="14">
        <v>1</v>
      </c>
      <c r="AG292" s="14">
        <v>1</v>
      </c>
      <c r="AH292" s="14">
        <v>1</v>
      </c>
      <c r="AI292" s="14">
        <v>1</v>
      </c>
      <c r="AJ292" s="26"/>
      <c r="AK292" s="26"/>
      <c r="AL292" s="26"/>
      <c r="AM292" s="26"/>
      <c r="AN292" s="26">
        <v>0.4</v>
      </c>
      <c r="AO292" s="26">
        <v>0.4</v>
      </c>
      <c r="AP292" s="26">
        <v>0.6</v>
      </c>
      <c r="AQ292" s="26">
        <v>0.2</v>
      </c>
      <c r="AR292" s="22">
        <f t="shared" ref="AR292:AS292" si="1051">(AJ292+AL292+AN292+AP292)</f>
        <v>1</v>
      </c>
      <c r="AS292" s="22">
        <f t="shared" si="1051"/>
        <v>0.60000000000000009</v>
      </c>
      <c r="AT292" s="22">
        <f t="shared" si="1044"/>
        <v>0.60000000000000009</v>
      </c>
      <c r="AU292" s="23" t="str">
        <f t="shared" si="1045"/>
        <v>100%</v>
      </c>
      <c r="AV292" s="24">
        <f t="shared" si="808"/>
        <v>0.60000000000000009</v>
      </c>
      <c r="AW292" s="14" t="s">
        <v>92</v>
      </c>
      <c r="AX292" s="30" t="s">
        <v>1415</v>
      </c>
      <c r="AY292" s="46">
        <v>0.1</v>
      </c>
      <c r="AZ292" s="46">
        <v>0.1</v>
      </c>
      <c r="BA292" s="46">
        <v>0.3</v>
      </c>
      <c r="BB292" s="46">
        <v>0.3</v>
      </c>
      <c r="BC292" s="46">
        <v>0.5</v>
      </c>
      <c r="BD292" s="46">
        <v>0.5</v>
      </c>
      <c r="BE292" s="46">
        <v>0.1</v>
      </c>
      <c r="BF292" s="26"/>
      <c r="BG292" s="22">
        <f t="shared" ref="BG292:BH292" si="1052">(AY292+BA292+BC292+BE292)</f>
        <v>1</v>
      </c>
      <c r="BH292" s="22">
        <f t="shared" si="1052"/>
        <v>0.9</v>
      </c>
      <c r="BI292" s="22">
        <f t="shared" si="1047"/>
        <v>0.9</v>
      </c>
      <c r="BJ292" s="23" t="str">
        <f t="shared" si="1048"/>
        <v>100%</v>
      </c>
      <c r="BK292" s="24">
        <f t="shared" si="1049"/>
        <v>0.9</v>
      </c>
      <c r="BL292" s="22" t="s">
        <v>92</v>
      </c>
      <c r="BM292" s="25" t="s">
        <v>1415</v>
      </c>
      <c r="BN292" s="27">
        <v>10000000</v>
      </c>
      <c r="BO292" s="27">
        <v>8840000</v>
      </c>
      <c r="BP292" s="27">
        <v>0</v>
      </c>
      <c r="BQ292" s="27">
        <v>0</v>
      </c>
      <c r="BR292" s="27">
        <f t="shared" ref="BR292:BS292" si="1053">+BN292+BP292</f>
        <v>10000000</v>
      </c>
      <c r="BS292" s="27">
        <f t="shared" si="1053"/>
        <v>8840000</v>
      </c>
      <c r="BT292" s="20">
        <f t="shared" si="919"/>
        <v>0.88400000000000001</v>
      </c>
      <c r="BU292" s="27">
        <v>10000000</v>
      </c>
      <c r="BV292" s="27">
        <v>10000000</v>
      </c>
      <c r="BW292" s="27">
        <v>8840000</v>
      </c>
      <c r="BX292" s="27">
        <v>526667</v>
      </c>
      <c r="BY292" s="28">
        <f t="shared" si="149"/>
        <v>0.88400000000000001</v>
      </c>
      <c r="BZ292" s="27">
        <v>10000000</v>
      </c>
      <c r="CA292" s="20">
        <v>10200000</v>
      </c>
      <c r="CB292" s="29">
        <v>10404000</v>
      </c>
      <c r="CC292" s="29">
        <v>10716120</v>
      </c>
      <c r="CD292" s="29">
        <v>41320120</v>
      </c>
    </row>
    <row r="293" spans="1:82" ht="57.75" customHeight="1">
      <c r="A293" s="12" t="s">
        <v>851</v>
      </c>
      <c r="B293" s="13">
        <v>0.432</v>
      </c>
      <c r="C293" s="12"/>
      <c r="D293" s="14">
        <v>41</v>
      </c>
      <c r="E293" s="14">
        <v>4102</v>
      </c>
      <c r="F293" s="14">
        <v>30</v>
      </c>
      <c r="G293" s="14" t="s">
        <v>1395</v>
      </c>
      <c r="H293" s="14"/>
      <c r="I293" s="14">
        <v>30.1</v>
      </c>
      <c r="J293" s="14" t="s">
        <v>1396</v>
      </c>
      <c r="K293" s="14" t="s">
        <v>1397</v>
      </c>
      <c r="L293" s="14" t="s">
        <v>1398</v>
      </c>
      <c r="M293" s="14" t="s">
        <v>1399</v>
      </c>
      <c r="N293" s="14" t="s">
        <v>1400</v>
      </c>
      <c r="O293" s="16">
        <v>4102038</v>
      </c>
      <c r="P293" s="17">
        <v>2024257990039</v>
      </c>
      <c r="Q293" s="14" t="s">
        <v>1401</v>
      </c>
      <c r="R293" s="18">
        <v>292</v>
      </c>
      <c r="S293" s="14" t="s">
        <v>1416</v>
      </c>
      <c r="T293" s="14">
        <v>1</v>
      </c>
      <c r="U293" s="14" t="s">
        <v>88</v>
      </c>
      <c r="V293" s="14" t="s">
        <v>114</v>
      </c>
      <c r="W293" s="14" t="s">
        <v>1417</v>
      </c>
      <c r="X293" s="14" t="s">
        <v>584</v>
      </c>
      <c r="Y293" s="22" t="s">
        <v>124</v>
      </c>
      <c r="Z293" s="14">
        <f t="shared" si="1042"/>
        <v>1</v>
      </c>
      <c r="AA293" s="20">
        <f t="shared" si="913"/>
        <v>1</v>
      </c>
      <c r="AB293" s="20">
        <f t="shared" si="914"/>
        <v>0.7</v>
      </c>
      <c r="AC293" s="21"/>
      <c r="AD293" s="21"/>
      <c r="AE293" s="21">
        <f t="shared" si="915"/>
        <v>0.39499999999999996</v>
      </c>
      <c r="AF293" s="14">
        <v>1</v>
      </c>
      <c r="AG293" s="14">
        <v>1</v>
      </c>
      <c r="AH293" s="14">
        <v>1</v>
      </c>
      <c r="AI293" s="14">
        <v>1</v>
      </c>
      <c r="AJ293" s="26"/>
      <c r="AK293" s="26"/>
      <c r="AL293" s="26"/>
      <c r="AM293" s="26"/>
      <c r="AN293" s="26">
        <v>0.7</v>
      </c>
      <c r="AO293" s="26">
        <v>0.7</v>
      </c>
      <c r="AP293" s="26">
        <v>0.3</v>
      </c>
      <c r="AQ293" s="26">
        <v>0.3</v>
      </c>
      <c r="AR293" s="22">
        <f t="shared" ref="AR293:AS293" si="1054">(AJ293+AL293+AN293+AP293)</f>
        <v>1</v>
      </c>
      <c r="AS293" s="22">
        <f t="shared" si="1054"/>
        <v>1</v>
      </c>
      <c r="AT293" s="22">
        <f t="shared" si="1044"/>
        <v>1</v>
      </c>
      <c r="AU293" s="23" t="str">
        <f t="shared" si="1045"/>
        <v>100%</v>
      </c>
      <c r="AV293" s="24">
        <f t="shared" si="808"/>
        <v>1</v>
      </c>
      <c r="AW293" s="14" t="s">
        <v>92</v>
      </c>
      <c r="AX293" s="30" t="s">
        <v>1418</v>
      </c>
      <c r="AY293" s="46">
        <v>0</v>
      </c>
      <c r="AZ293" s="46">
        <v>0</v>
      </c>
      <c r="BA293" s="46">
        <v>0.2</v>
      </c>
      <c r="BB293" s="46">
        <v>0.2</v>
      </c>
      <c r="BC293" s="46">
        <v>0.5</v>
      </c>
      <c r="BD293" s="46">
        <v>0.5</v>
      </c>
      <c r="BE293" s="46">
        <v>0.3</v>
      </c>
      <c r="BF293" s="26"/>
      <c r="BG293" s="22">
        <f t="shared" ref="BG293:BH293" si="1055">(AY293+BA293+BC293+BE293)</f>
        <v>1</v>
      </c>
      <c r="BH293" s="22">
        <f t="shared" si="1055"/>
        <v>0.7</v>
      </c>
      <c r="BI293" s="22">
        <f t="shared" si="1047"/>
        <v>0.7</v>
      </c>
      <c r="BJ293" s="23" t="str">
        <f t="shared" si="1048"/>
        <v>100%</v>
      </c>
      <c r="BK293" s="24">
        <f t="shared" si="1049"/>
        <v>0.7</v>
      </c>
      <c r="BL293" s="22" t="s">
        <v>92</v>
      </c>
      <c r="BM293" s="25" t="s">
        <v>1418</v>
      </c>
      <c r="BN293" s="27">
        <v>20000000</v>
      </c>
      <c r="BO293" s="27">
        <v>0</v>
      </c>
      <c r="BP293" s="27">
        <v>18000000</v>
      </c>
      <c r="BQ293" s="27">
        <v>18000000</v>
      </c>
      <c r="BR293" s="27">
        <f t="shared" ref="BR293:BS293" si="1056">+BN293+BP293</f>
        <v>38000000</v>
      </c>
      <c r="BS293" s="27">
        <f t="shared" si="1056"/>
        <v>18000000</v>
      </c>
      <c r="BT293" s="20">
        <f t="shared" si="919"/>
        <v>0.47368421052631576</v>
      </c>
      <c r="BU293" s="27">
        <v>20000000</v>
      </c>
      <c r="BV293" s="27">
        <v>20000000</v>
      </c>
      <c r="BW293" s="27">
        <v>0</v>
      </c>
      <c r="BX293" s="27">
        <v>0</v>
      </c>
      <c r="BY293" s="28">
        <f t="shared" si="149"/>
        <v>0</v>
      </c>
      <c r="BZ293" s="27">
        <v>56000000</v>
      </c>
      <c r="CA293" s="20">
        <v>57120000</v>
      </c>
      <c r="CB293" s="29">
        <v>58262400</v>
      </c>
      <c r="CC293" s="29">
        <v>60010272</v>
      </c>
      <c r="CD293" s="29">
        <v>231392672</v>
      </c>
    </row>
    <row r="294" spans="1:82" ht="57.75" customHeight="1">
      <c r="A294" s="12" t="s">
        <v>851</v>
      </c>
      <c r="B294" s="13">
        <v>0.432</v>
      </c>
      <c r="C294" s="12"/>
      <c r="D294" s="14">
        <v>41</v>
      </c>
      <c r="E294" s="14">
        <v>4102</v>
      </c>
      <c r="F294" s="14">
        <v>30</v>
      </c>
      <c r="G294" s="14" t="s">
        <v>1395</v>
      </c>
      <c r="H294" s="14"/>
      <c r="I294" s="14">
        <v>30.1</v>
      </c>
      <c r="J294" s="14" t="s">
        <v>1396</v>
      </c>
      <c r="K294" s="14" t="s">
        <v>1397</v>
      </c>
      <c r="L294" s="14" t="s">
        <v>1398</v>
      </c>
      <c r="M294" s="14" t="s">
        <v>1399</v>
      </c>
      <c r="N294" s="14" t="s">
        <v>1400</v>
      </c>
      <c r="O294" s="16">
        <v>4102052</v>
      </c>
      <c r="P294" s="17">
        <v>2024257990039</v>
      </c>
      <c r="Q294" s="14" t="s">
        <v>1401</v>
      </c>
      <c r="R294" s="18">
        <v>293</v>
      </c>
      <c r="S294" s="14" t="s">
        <v>1419</v>
      </c>
      <c r="T294" s="14">
        <v>1</v>
      </c>
      <c r="U294" s="14" t="s">
        <v>88</v>
      </c>
      <c r="V294" s="14" t="s">
        <v>89</v>
      </c>
      <c r="W294" s="14" t="s">
        <v>482</v>
      </c>
      <c r="X294" s="14" t="s">
        <v>584</v>
      </c>
      <c r="Y294" s="22"/>
      <c r="Z294" s="14">
        <f>SUM(AF294:AI294)/3</f>
        <v>2</v>
      </c>
      <c r="AA294" s="20">
        <f t="shared" si="913"/>
        <v>0</v>
      </c>
      <c r="AB294" s="20">
        <f t="shared" si="914"/>
        <v>0.5</v>
      </c>
      <c r="AC294" s="21"/>
      <c r="AD294" s="21"/>
      <c r="AE294" s="21">
        <f t="shared" si="915"/>
        <v>0.17499999999999999</v>
      </c>
      <c r="AF294" s="14">
        <v>0</v>
      </c>
      <c r="AG294" s="14">
        <v>2</v>
      </c>
      <c r="AH294" s="14">
        <v>2</v>
      </c>
      <c r="AI294" s="14">
        <v>2</v>
      </c>
      <c r="AJ294" s="26"/>
      <c r="AK294" s="26"/>
      <c r="AL294" s="26"/>
      <c r="AM294" s="26"/>
      <c r="AN294" s="34">
        <v>0</v>
      </c>
      <c r="AO294" s="34">
        <v>0</v>
      </c>
      <c r="AP294" s="34">
        <v>0</v>
      </c>
      <c r="AQ294" s="34">
        <v>0</v>
      </c>
      <c r="AR294" s="34">
        <v>0</v>
      </c>
      <c r="AS294" s="34">
        <f t="shared" ref="AS294:AS295" si="1057">(AK294+AM294+AO294+AQ294)/2</f>
        <v>0</v>
      </c>
      <c r="AT294" s="24">
        <f t="shared" ref="AT294:AT295" si="1058">IF(AQ294=0, 0, AR294/AQ294)</f>
        <v>0</v>
      </c>
      <c r="AU294" s="23" t="str">
        <f t="shared" ref="AU294:AU295" si="1059">IF(AR294&gt; 1, IF(AR294 = AS294, "100%", AR294 &amp; "%"), IF(AR294 &lt;= 0.01, "0%", AR294 * 100 &amp; "%"))</f>
        <v>0%</v>
      </c>
      <c r="AV294" s="24">
        <f t="shared" si="808"/>
        <v>0</v>
      </c>
      <c r="AW294" s="26" t="s">
        <v>192</v>
      </c>
      <c r="AX294" s="30" t="s">
        <v>1420</v>
      </c>
      <c r="AY294" s="26">
        <v>0</v>
      </c>
      <c r="AZ294" s="26">
        <v>0</v>
      </c>
      <c r="BA294" s="26">
        <v>1</v>
      </c>
      <c r="BB294" s="26">
        <v>1</v>
      </c>
      <c r="BC294" s="26">
        <v>1</v>
      </c>
      <c r="BD294" s="26">
        <v>1</v>
      </c>
      <c r="BE294" s="26"/>
      <c r="BF294" s="26"/>
      <c r="BG294" s="22">
        <f t="shared" ref="BG294:BH294" si="1060">(AY294+BA294+BC294+BE294)</f>
        <v>2</v>
      </c>
      <c r="BH294" s="22">
        <f t="shared" si="1060"/>
        <v>2</v>
      </c>
      <c r="BI294" s="22">
        <f t="shared" si="1047"/>
        <v>1</v>
      </c>
      <c r="BJ294" s="23" t="str">
        <f t="shared" si="1048"/>
        <v>100%</v>
      </c>
      <c r="BK294" s="24">
        <f t="shared" si="1049"/>
        <v>1</v>
      </c>
      <c r="BL294" s="22" t="s">
        <v>92</v>
      </c>
      <c r="BM294" s="25" t="s">
        <v>1420</v>
      </c>
      <c r="BN294" s="27">
        <v>48000000</v>
      </c>
      <c r="BO294" s="27">
        <v>0</v>
      </c>
      <c r="BP294" s="27">
        <v>12000000</v>
      </c>
      <c r="BQ294" s="27">
        <v>12000000</v>
      </c>
      <c r="BR294" s="27">
        <f t="shared" ref="BR294:BS294" si="1061">+BN294+BP294</f>
        <v>60000000</v>
      </c>
      <c r="BS294" s="27">
        <f t="shared" si="1061"/>
        <v>12000000</v>
      </c>
      <c r="BT294" s="20">
        <f t="shared" si="919"/>
        <v>0.2</v>
      </c>
      <c r="BU294" s="27">
        <v>48000000</v>
      </c>
      <c r="BV294" s="27">
        <v>48000000</v>
      </c>
      <c r="BW294" s="27">
        <v>48000000</v>
      </c>
      <c r="BX294" s="27">
        <v>48000000</v>
      </c>
      <c r="BY294" s="28">
        <f t="shared" ref="BY294:BY333" si="1062">IFERROR(BW294/BV294, "")</f>
        <v>1</v>
      </c>
      <c r="BZ294" s="27">
        <v>83000000</v>
      </c>
      <c r="CA294" s="20">
        <v>84660000</v>
      </c>
      <c r="CB294" s="29">
        <v>86353200</v>
      </c>
      <c r="CC294" s="29">
        <v>88943796</v>
      </c>
      <c r="CD294" s="29">
        <v>342956996</v>
      </c>
    </row>
    <row r="295" spans="1:82" ht="57.75" customHeight="1">
      <c r="A295" s="12" t="s">
        <v>851</v>
      </c>
      <c r="B295" s="13">
        <v>0.432</v>
      </c>
      <c r="C295" s="12"/>
      <c r="D295" s="14">
        <v>41</v>
      </c>
      <c r="E295" s="14">
        <v>4104</v>
      </c>
      <c r="F295" s="14">
        <v>31</v>
      </c>
      <c r="G295" s="14" t="s">
        <v>1421</v>
      </c>
      <c r="H295" s="14"/>
      <c r="I295" s="14">
        <v>31.1</v>
      </c>
      <c r="J295" s="14" t="s">
        <v>1422</v>
      </c>
      <c r="K295" s="14" t="s">
        <v>1423</v>
      </c>
      <c r="L295" s="14" t="s">
        <v>1424</v>
      </c>
      <c r="M295" s="14" t="s">
        <v>1425</v>
      </c>
      <c r="N295" s="14" t="s">
        <v>1426</v>
      </c>
      <c r="O295" s="14">
        <v>4104037</v>
      </c>
      <c r="P295" s="17">
        <v>2024257990040</v>
      </c>
      <c r="Q295" s="14" t="s">
        <v>1427</v>
      </c>
      <c r="R295" s="18">
        <v>294</v>
      </c>
      <c r="S295" s="14" t="s">
        <v>1428</v>
      </c>
      <c r="T295" s="14">
        <v>0</v>
      </c>
      <c r="U295" s="14" t="s">
        <v>88</v>
      </c>
      <c r="V295" s="14" t="s">
        <v>89</v>
      </c>
      <c r="W295" s="14" t="s">
        <v>1429</v>
      </c>
      <c r="X295" s="14" t="s">
        <v>206</v>
      </c>
      <c r="Y295" s="22" t="s">
        <v>124</v>
      </c>
      <c r="Z295" s="14">
        <f t="shared" ref="Z295:Z296" si="1063">SUM(AF295:AI295)</f>
        <v>1</v>
      </c>
      <c r="AA295" s="20">
        <f t="shared" si="913"/>
        <v>0</v>
      </c>
      <c r="AB295" s="20">
        <f t="shared" si="914"/>
        <v>0.11320754716981132</v>
      </c>
      <c r="AC295" s="21"/>
      <c r="AD295" s="21"/>
      <c r="AE295" s="21">
        <f t="shared" si="915"/>
        <v>3.962264150943396E-2</v>
      </c>
      <c r="AF295" s="14">
        <v>0.1</v>
      </c>
      <c r="AG295" s="14">
        <v>0.3</v>
      </c>
      <c r="AH295" s="14">
        <v>0.4</v>
      </c>
      <c r="AI295" s="14">
        <v>0.2</v>
      </c>
      <c r="AJ295" s="26"/>
      <c r="AK295" s="26"/>
      <c r="AL295" s="26"/>
      <c r="AM295" s="26"/>
      <c r="AN295" s="34">
        <v>0</v>
      </c>
      <c r="AO295" s="34">
        <v>0</v>
      </c>
      <c r="AP295" s="34">
        <v>0</v>
      </c>
      <c r="AQ295" s="34">
        <v>0</v>
      </c>
      <c r="AR295" s="34">
        <v>0</v>
      </c>
      <c r="AS295" s="34">
        <f t="shared" si="1057"/>
        <v>0</v>
      </c>
      <c r="AT295" s="24">
        <f t="shared" si="1058"/>
        <v>0</v>
      </c>
      <c r="AU295" s="23" t="str">
        <f t="shared" si="1059"/>
        <v>0%</v>
      </c>
      <c r="AV295" s="24">
        <f t="shared" si="808"/>
        <v>0</v>
      </c>
      <c r="AW295" s="26" t="s">
        <v>192</v>
      </c>
      <c r="AX295" s="26"/>
      <c r="AY295" s="14">
        <v>0.2</v>
      </c>
      <c r="AZ295" s="26">
        <v>0.01</v>
      </c>
      <c r="BA295" s="14">
        <v>0.01</v>
      </c>
      <c r="BB295" s="14">
        <v>0.05</v>
      </c>
      <c r="BC295" s="14">
        <v>0.02</v>
      </c>
      <c r="BD295" s="14">
        <v>0</v>
      </c>
      <c r="BE295" s="14">
        <v>0.3</v>
      </c>
      <c r="BF295" s="26"/>
      <c r="BG295" s="22">
        <f t="shared" ref="BG295:BH295" si="1064">(AY295+BA295+BC295+BE295)</f>
        <v>0.53</v>
      </c>
      <c r="BH295" s="22">
        <f t="shared" si="1064"/>
        <v>6.0000000000000005E-2</v>
      </c>
      <c r="BI295" s="22">
        <f t="shared" si="1047"/>
        <v>0.11320754716981132</v>
      </c>
      <c r="BJ295" s="23" t="str">
        <f t="shared" si="1048"/>
        <v>100%</v>
      </c>
      <c r="BK295" s="24">
        <f t="shared" si="1049"/>
        <v>0.11320754716981132</v>
      </c>
      <c r="BL295" s="22" t="s">
        <v>92</v>
      </c>
      <c r="BM295" s="25" t="s">
        <v>1430</v>
      </c>
      <c r="BN295" s="27">
        <v>500000000</v>
      </c>
      <c r="BO295" s="27">
        <v>110735946</v>
      </c>
      <c r="BP295" s="27">
        <v>0</v>
      </c>
      <c r="BQ295" s="27">
        <v>0</v>
      </c>
      <c r="BR295" s="27">
        <f t="shared" ref="BR295:BS295" si="1065">+BN295+BP295</f>
        <v>500000000</v>
      </c>
      <c r="BS295" s="27">
        <f t="shared" si="1065"/>
        <v>110735946</v>
      </c>
      <c r="BT295" s="20">
        <f t="shared" si="919"/>
        <v>0.221471892</v>
      </c>
      <c r="BU295" s="27">
        <v>500000000</v>
      </c>
      <c r="BV295" s="27">
        <v>1497380416</v>
      </c>
      <c r="BW295" s="27">
        <v>110735946</v>
      </c>
      <c r="BX295" s="27">
        <v>85278365</v>
      </c>
      <c r="BY295" s="28">
        <f t="shared" si="1062"/>
        <v>7.395311493108242E-2</v>
      </c>
      <c r="BZ295" s="27">
        <v>4000000000</v>
      </c>
      <c r="CA295" s="20">
        <v>5000000000</v>
      </c>
      <c r="CB295" s="29">
        <v>0</v>
      </c>
      <c r="CC295" s="29">
        <v>0</v>
      </c>
      <c r="CD295" s="29">
        <v>9000000000</v>
      </c>
    </row>
    <row r="296" spans="1:82" ht="57.75" customHeight="1">
      <c r="A296" s="12" t="s">
        <v>851</v>
      </c>
      <c r="B296" s="13">
        <v>0.432</v>
      </c>
      <c r="C296" s="12"/>
      <c r="D296" s="14">
        <v>41</v>
      </c>
      <c r="E296" s="14">
        <v>4104</v>
      </c>
      <c r="F296" s="14">
        <v>31</v>
      </c>
      <c r="G296" s="14" t="s">
        <v>1421</v>
      </c>
      <c r="H296" s="14"/>
      <c r="I296" s="14">
        <v>31.1</v>
      </c>
      <c r="J296" s="14" t="s">
        <v>1422</v>
      </c>
      <c r="K296" s="14" t="s">
        <v>1423</v>
      </c>
      <c r="L296" s="14" t="s">
        <v>1424</v>
      </c>
      <c r="M296" s="14" t="s">
        <v>1425</v>
      </c>
      <c r="N296" s="14" t="s">
        <v>1426</v>
      </c>
      <c r="O296" s="14">
        <v>4104020</v>
      </c>
      <c r="P296" s="17">
        <v>2024257990040</v>
      </c>
      <c r="Q296" s="14" t="s">
        <v>1427</v>
      </c>
      <c r="R296" s="18">
        <v>295</v>
      </c>
      <c r="S296" s="14" t="s">
        <v>1431</v>
      </c>
      <c r="T296" s="20">
        <v>1</v>
      </c>
      <c r="U296" s="14" t="s">
        <v>109</v>
      </c>
      <c r="V296" s="14" t="s">
        <v>114</v>
      </c>
      <c r="W296" s="14" t="s">
        <v>1432</v>
      </c>
      <c r="X296" s="14" t="s">
        <v>584</v>
      </c>
      <c r="Y296" s="22"/>
      <c r="Z296" s="20">
        <f t="shared" si="1063"/>
        <v>0.45</v>
      </c>
      <c r="AA296" s="20">
        <f t="shared" si="913"/>
        <v>7.7777777777777765E-2</v>
      </c>
      <c r="AB296" s="20">
        <f t="shared" si="914"/>
        <v>1.5538847117794483</v>
      </c>
      <c r="AC296" s="21"/>
      <c r="AD296" s="21"/>
      <c r="AE296" s="21">
        <f t="shared" si="915"/>
        <v>0.55552631578947353</v>
      </c>
      <c r="AF296" s="20">
        <v>7.0000000000000007E-2</v>
      </c>
      <c r="AG296" s="20">
        <v>0.13</v>
      </c>
      <c r="AH296" s="20">
        <v>0.13</v>
      </c>
      <c r="AI296" s="20">
        <v>0.12</v>
      </c>
      <c r="AJ296" s="26"/>
      <c r="AK296" s="26"/>
      <c r="AL296" s="26"/>
      <c r="AM296" s="26"/>
      <c r="AN296" s="24">
        <v>0.06</v>
      </c>
      <c r="AO296" s="24">
        <v>0.06</v>
      </c>
      <c r="AP296" s="24">
        <v>0.01</v>
      </c>
      <c r="AQ296" s="24">
        <v>0.01</v>
      </c>
      <c r="AR296" s="24">
        <f t="shared" ref="AR296:AS296" si="1066">(AJ296+AL296+AN296+AP296)/2</f>
        <v>3.4999999999999996E-2</v>
      </c>
      <c r="AS296" s="24">
        <f t="shared" si="1066"/>
        <v>3.4999999999999996E-2</v>
      </c>
      <c r="AT296" s="22">
        <f t="shared" ref="AT296:AT305" si="1067">AS296/AR296</f>
        <v>1</v>
      </c>
      <c r="AU296" s="23" t="str">
        <f t="shared" ref="AU296:AU305" si="1068">MIN((AR296 /AR296) * 100, 100) &amp; "%"</f>
        <v>100%</v>
      </c>
      <c r="AV296" s="24">
        <f t="shared" si="808"/>
        <v>1</v>
      </c>
      <c r="AW296" s="14" t="s">
        <v>92</v>
      </c>
      <c r="AX296" s="30" t="s">
        <v>1433</v>
      </c>
      <c r="AY296" s="24">
        <v>1.2999999999999999E-2</v>
      </c>
      <c r="AZ296" s="24">
        <v>1.2999999999999999E-2</v>
      </c>
      <c r="BA296" s="24">
        <v>0.03</v>
      </c>
      <c r="BB296" s="24">
        <v>0.03</v>
      </c>
      <c r="BC296" s="24">
        <v>0.05</v>
      </c>
      <c r="BD296" s="24">
        <v>0.05</v>
      </c>
      <c r="BE296" s="24">
        <v>0.04</v>
      </c>
      <c r="BF296" s="26"/>
      <c r="BG296" s="20">
        <f t="shared" ref="BG296:BH296" si="1069">(AY296+BA296+BC296+BE296)</f>
        <v>0.13300000000000001</v>
      </c>
      <c r="BH296" s="20">
        <f t="shared" si="1069"/>
        <v>9.2999999999999999E-2</v>
      </c>
      <c r="BI296" s="20">
        <f t="shared" si="1047"/>
        <v>0.69924812030075179</v>
      </c>
      <c r="BJ296" s="23" t="str">
        <f t="shared" si="1048"/>
        <v>100%</v>
      </c>
      <c r="BK296" s="24">
        <f t="shared" si="1049"/>
        <v>0.69924812030075179</v>
      </c>
      <c r="BL296" s="22" t="s">
        <v>92</v>
      </c>
      <c r="BM296" s="25" t="s">
        <v>1433</v>
      </c>
      <c r="BN296" s="27">
        <v>2394611094</v>
      </c>
      <c r="BO296" s="27">
        <v>1499133211</v>
      </c>
      <c r="BP296" s="27">
        <v>605265193</v>
      </c>
      <c r="BQ296" s="27">
        <v>605265193</v>
      </c>
      <c r="BR296" s="27">
        <f t="shared" ref="BR296:BS296" si="1070">+BN296+BP296</f>
        <v>2999876287</v>
      </c>
      <c r="BS296" s="27">
        <f t="shared" si="1070"/>
        <v>2104398404</v>
      </c>
      <c r="BT296" s="20">
        <f t="shared" si="919"/>
        <v>0.70149506268623008</v>
      </c>
      <c r="BU296" s="27">
        <v>2174611094</v>
      </c>
      <c r="BV296" s="27">
        <v>2394611094</v>
      </c>
      <c r="BW296" s="27">
        <v>1820627217</v>
      </c>
      <c r="BX296" s="27">
        <v>1091443140</v>
      </c>
      <c r="BY296" s="28">
        <f t="shared" si="1062"/>
        <v>0.76030183839113208</v>
      </c>
      <c r="BZ296" s="27">
        <v>1586000000</v>
      </c>
      <c r="CA296" s="20">
        <v>1533672000</v>
      </c>
      <c r="CB296" s="29">
        <v>1564345440</v>
      </c>
      <c r="CC296" s="29">
        <v>1611275803</v>
      </c>
      <c r="CD296" s="29">
        <v>6295293243</v>
      </c>
    </row>
    <row r="297" spans="1:82" ht="57.75" customHeight="1">
      <c r="A297" s="12" t="s">
        <v>851</v>
      </c>
      <c r="B297" s="13">
        <v>0.432</v>
      </c>
      <c r="C297" s="12"/>
      <c r="D297" s="14">
        <v>41</v>
      </c>
      <c r="E297" s="14">
        <v>4104</v>
      </c>
      <c r="F297" s="14">
        <v>31</v>
      </c>
      <c r="G297" s="14" t="s">
        <v>1421</v>
      </c>
      <c r="H297" s="14"/>
      <c r="I297" s="14">
        <v>31.1</v>
      </c>
      <c r="J297" s="14" t="s">
        <v>1422</v>
      </c>
      <c r="K297" s="14" t="s">
        <v>1423</v>
      </c>
      <c r="L297" s="14" t="s">
        <v>1424</v>
      </c>
      <c r="M297" s="14" t="s">
        <v>1425</v>
      </c>
      <c r="N297" s="14" t="s">
        <v>1426</v>
      </c>
      <c r="O297" s="14">
        <v>4104020</v>
      </c>
      <c r="P297" s="17">
        <v>2024257990040</v>
      </c>
      <c r="Q297" s="14" t="s">
        <v>1427</v>
      </c>
      <c r="R297" s="18">
        <v>296</v>
      </c>
      <c r="S297" s="14" t="s">
        <v>1434</v>
      </c>
      <c r="T297" s="14" t="s">
        <v>1435</v>
      </c>
      <c r="U297" s="14" t="s">
        <v>109</v>
      </c>
      <c r="V297" s="14" t="s">
        <v>114</v>
      </c>
      <c r="W297" s="14" t="s">
        <v>1436</v>
      </c>
      <c r="X297" s="14" t="s">
        <v>584</v>
      </c>
      <c r="Y297" s="22"/>
      <c r="Z297" s="24">
        <f t="shared" ref="Z297:Z300" si="1071">SUM(AF297:AI297)/4</f>
        <v>1</v>
      </c>
      <c r="AA297" s="20">
        <f t="shared" si="913"/>
        <v>1</v>
      </c>
      <c r="AB297" s="20">
        <f t="shared" si="914"/>
        <v>0.85</v>
      </c>
      <c r="AC297" s="21"/>
      <c r="AD297" s="21"/>
      <c r="AE297" s="21">
        <f t="shared" si="915"/>
        <v>0.44750000000000001</v>
      </c>
      <c r="AF297" s="20">
        <v>1</v>
      </c>
      <c r="AG297" s="20">
        <v>1</v>
      </c>
      <c r="AH297" s="20">
        <v>1</v>
      </c>
      <c r="AI297" s="20">
        <v>1</v>
      </c>
      <c r="AJ297" s="26"/>
      <c r="AK297" s="26"/>
      <c r="AL297" s="26"/>
      <c r="AM297" s="26"/>
      <c r="AN297" s="24">
        <v>1</v>
      </c>
      <c r="AO297" s="24">
        <v>1</v>
      </c>
      <c r="AP297" s="24">
        <v>1</v>
      </c>
      <c r="AQ297" s="26">
        <v>0</v>
      </c>
      <c r="AR297" s="24">
        <f>(AJ297+AL297+AN297+AP297)/2</f>
        <v>1</v>
      </c>
      <c r="AS297" s="24">
        <f>(AK297+AM297+AO297+AQ297)</f>
        <v>1</v>
      </c>
      <c r="AT297" s="22">
        <f t="shared" si="1067"/>
        <v>1</v>
      </c>
      <c r="AU297" s="23" t="str">
        <f t="shared" si="1068"/>
        <v>100%</v>
      </c>
      <c r="AV297" s="24">
        <f t="shared" si="808"/>
        <v>1</v>
      </c>
      <c r="AW297" s="14" t="s">
        <v>92</v>
      </c>
      <c r="AX297" s="30" t="s">
        <v>1437</v>
      </c>
      <c r="AY297" s="24">
        <v>0.15</v>
      </c>
      <c r="AZ297" s="24">
        <v>0.15</v>
      </c>
      <c r="BA297" s="24">
        <v>0.3</v>
      </c>
      <c r="BB297" s="24">
        <v>0.3</v>
      </c>
      <c r="BC297" s="24">
        <v>0.4</v>
      </c>
      <c r="BD297" s="24">
        <v>0.4</v>
      </c>
      <c r="BE297" s="24">
        <v>0.15</v>
      </c>
      <c r="BF297" s="26"/>
      <c r="BG297" s="20">
        <f t="shared" ref="BG297:BH297" si="1072">(AY297+BA297+BC297+BE297)</f>
        <v>1</v>
      </c>
      <c r="BH297" s="20">
        <f t="shared" si="1072"/>
        <v>0.85</v>
      </c>
      <c r="BI297" s="20">
        <f t="shared" si="1047"/>
        <v>0.85</v>
      </c>
      <c r="BJ297" s="23" t="str">
        <f t="shared" si="1048"/>
        <v>100%</v>
      </c>
      <c r="BK297" s="24">
        <f t="shared" si="1049"/>
        <v>0.85</v>
      </c>
      <c r="BL297" s="22" t="s">
        <v>92</v>
      </c>
      <c r="BM297" s="25" t="s">
        <v>1437</v>
      </c>
      <c r="BN297" s="27">
        <v>380000000</v>
      </c>
      <c r="BO297" s="27">
        <v>329505666</v>
      </c>
      <c r="BP297" s="27">
        <v>116758168</v>
      </c>
      <c r="BQ297" s="27">
        <v>116758168</v>
      </c>
      <c r="BR297" s="27">
        <f t="shared" ref="BR297:BS297" si="1073">+BN297+BP297</f>
        <v>496758168</v>
      </c>
      <c r="BS297" s="27">
        <f t="shared" si="1073"/>
        <v>446263834</v>
      </c>
      <c r="BT297" s="20">
        <f t="shared" si="919"/>
        <v>0.89835228235240616</v>
      </c>
      <c r="BU297" s="27">
        <v>380000000</v>
      </c>
      <c r="BV297" s="27">
        <v>380000000</v>
      </c>
      <c r="BW297" s="27">
        <v>373112332</v>
      </c>
      <c r="BX297" s="27">
        <v>258566667</v>
      </c>
      <c r="BY297" s="28">
        <f t="shared" si="1062"/>
        <v>0.98187455789473688</v>
      </c>
      <c r="BZ297" s="27">
        <v>612000000</v>
      </c>
      <c r="CA297" s="20">
        <v>624240000</v>
      </c>
      <c r="CB297" s="29">
        <v>636724800</v>
      </c>
      <c r="CC297" s="29">
        <v>655826544</v>
      </c>
      <c r="CD297" s="29">
        <v>2528791344</v>
      </c>
    </row>
    <row r="298" spans="1:82" ht="42" customHeight="1">
      <c r="A298" s="12" t="s">
        <v>851</v>
      </c>
      <c r="B298" s="13">
        <v>0.432</v>
      </c>
      <c r="C298" s="12"/>
      <c r="D298" s="14">
        <v>41</v>
      </c>
      <c r="E298" s="14">
        <v>4104</v>
      </c>
      <c r="F298" s="14">
        <v>31</v>
      </c>
      <c r="G298" s="14" t="s">
        <v>1421</v>
      </c>
      <c r="H298" s="14"/>
      <c r="I298" s="14">
        <v>31.1</v>
      </c>
      <c r="J298" s="14" t="s">
        <v>1422</v>
      </c>
      <c r="K298" s="14" t="s">
        <v>1423</v>
      </c>
      <c r="L298" s="14" t="s">
        <v>1424</v>
      </c>
      <c r="M298" s="14" t="s">
        <v>1425</v>
      </c>
      <c r="N298" s="14" t="s">
        <v>1426</v>
      </c>
      <c r="O298" s="14">
        <v>4104020</v>
      </c>
      <c r="P298" s="17">
        <v>2024257990040</v>
      </c>
      <c r="Q298" s="14" t="s">
        <v>1427</v>
      </c>
      <c r="R298" s="18">
        <v>297</v>
      </c>
      <c r="S298" s="14" t="s">
        <v>1438</v>
      </c>
      <c r="T298" s="14">
        <v>80</v>
      </c>
      <c r="U298" s="14" t="s">
        <v>88</v>
      </c>
      <c r="V298" s="14" t="s">
        <v>89</v>
      </c>
      <c r="W298" s="14" t="s">
        <v>1439</v>
      </c>
      <c r="X298" s="14" t="s">
        <v>567</v>
      </c>
      <c r="Y298" s="22"/>
      <c r="Z298" s="14">
        <f t="shared" si="1071"/>
        <v>100</v>
      </c>
      <c r="AA298" s="20">
        <f t="shared" si="913"/>
        <v>1</v>
      </c>
      <c r="AB298" s="20">
        <f t="shared" si="914"/>
        <v>0.01</v>
      </c>
      <c r="AC298" s="21"/>
      <c r="AD298" s="21"/>
      <c r="AE298" s="21">
        <f t="shared" si="915"/>
        <v>0.1535</v>
      </c>
      <c r="AF298" s="14">
        <v>100</v>
      </c>
      <c r="AG298" s="14">
        <v>100</v>
      </c>
      <c r="AH298" s="14">
        <v>100</v>
      </c>
      <c r="AI298" s="14">
        <v>100</v>
      </c>
      <c r="AJ298" s="26"/>
      <c r="AK298" s="26"/>
      <c r="AL298" s="26"/>
      <c r="AM298" s="26"/>
      <c r="AN298" s="26">
        <v>36</v>
      </c>
      <c r="AO298" s="26">
        <v>36</v>
      </c>
      <c r="AP298" s="26">
        <v>64</v>
      </c>
      <c r="AQ298" s="26">
        <v>64</v>
      </c>
      <c r="AR298" s="22">
        <f t="shared" ref="AR298:AS298" si="1074">(AJ298+AL298+AN298+AP298)</f>
        <v>100</v>
      </c>
      <c r="AS298" s="22">
        <f t="shared" si="1074"/>
        <v>100</v>
      </c>
      <c r="AT298" s="22">
        <f t="shared" si="1067"/>
        <v>1</v>
      </c>
      <c r="AU298" s="23" t="str">
        <f t="shared" si="1068"/>
        <v>100%</v>
      </c>
      <c r="AV298" s="24">
        <f t="shared" si="808"/>
        <v>1</v>
      </c>
      <c r="AW298" s="14" t="s">
        <v>92</v>
      </c>
      <c r="AX298" s="30" t="s">
        <v>1440</v>
      </c>
      <c r="AY298" s="26">
        <v>40</v>
      </c>
      <c r="AZ298" s="26">
        <v>38</v>
      </c>
      <c r="BA298" s="26">
        <v>35</v>
      </c>
      <c r="BB298" s="26">
        <v>47</v>
      </c>
      <c r="BC298" s="26">
        <v>25</v>
      </c>
      <c r="BD298" s="26">
        <v>15</v>
      </c>
      <c r="BE298" s="26">
        <v>0</v>
      </c>
      <c r="BF298" s="26"/>
      <c r="BG298" s="22">
        <f t="shared" ref="BG298:BH298" si="1075">(AY298+BA298+BC298+BE298)</f>
        <v>100</v>
      </c>
      <c r="BH298" s="22">
        <f t="shared" si="1075"/>
        <v>100</v>
      </c>
      <c r="BI298" s="22">
        <f t="shared" si="1047"/>
        <v>1</v>
      </c>
      <c r="BJ298" s="23" t="str">
        <f t="shared" si="1048"/>
        <v>100%</v>
      </c>
      <c r="BK298" s="24">
        <f t="shared" si="1049"/>
        <v>1</v>
      </c>
      <c r="BL298" s="22" t="s">
        <v>92</v>
      </c>
      <c r="BM298" s="25" t="s">
        <v>1440</v>
      </c>
      <c r="BN298" s="27">
        <v>70000000</v>
      </c>
      <c r="BO298" s="27">
        <v>30000000</v>
      </c>
      <c r="BP298" s="27">
        <v>27000000</v>
      </c>
      <c r="BQ298" s="27">
        <v>27000000</v>
      </c>
      <c r="BR298" s="27">
        <f t="shared" ref="BR298:BS298" si="1076">+BN298+BP298</f>
        <v>97000000</v>
      </c>
      <c r="BS298" s="27">
        <f t="shared" si="1076"/>
        <v>57000000</v>
      </c>
      <c r="BT298" s="20">
        <f t="shared" si="919"/>
        <v>0.58762886597938147</v>
      </c>
      <c r="BU298" s="27">
        <v>70000000</v>
      </c>
      <c r="BV298" s="27">
        <v>70000000</v>
      </c>
      <c r="BW298" s="27">
        <v>70000000</v>
      </c>
      <c r="BX298" s="27">
        <v>70000000</v>
      </c>
      <c r="BY298" s="28">
        <f t="shared" si="1062"/>
        <v>1</v>
      </c>
      <c r="BZ298" s="27">
        <v>100000000</v>
      </c>
      <c r="CA298" s="20">
        <v>102000000</v>
      </c>
      <c r="CB298" s="29">
        <v>104040000</v>
      </c>
      <c r="CC298" s="29">
        <v>107161200</v>
      </c>
      <c r="CD298" s="29">
        <v>413201200</v>
      </c>
    </row>
    <row r="299" spans="1:82" ht="57.75" customHeight="1">
      <c r="A299" s="12" t="s">
        <v>851</v>
      </c>
      <c r="B299" s="13">
        <v>0.432</v>
      </c>
      <c r="C299" s="12"/>
      <c r="D299" s="14">
        <v>41</v>
      </c>
      <c r="E299" s="14">
        <v>4104</v>
      </c>
      <c r="F299" s="14">
        <v>31</v>
      </c>
      <c r="G299" s="14" t="s">
        <v>1421</v>
      </c>
      <c r="H299" s="14"/>
      <c r="I299" s="14">
        <v>31.1</v>
      </c>
      <c r="J299" s="14" t="s">
        <v>1422</v>
      </c>
      <c r="K299" s="14" t="s">
        <v>1423</v>
      </c>
      <c r="L299" s="14" t="s">
        <v>1424</v>
      </c>
      <c r="M299" s="14" t="s">
        <v>1425</v>
      </c>
      <c r="N299" s="14" t="s">
        <v>1426</v>
      </c>
      <c r="O299" s="14">
        <v>4104020</v>
      </c>
      <c r="P299" s="17">
        <v>2024257990040</v>
      </c>
      <c r="Q299" s="14" t="s">
        <v>1427</v>
      </c>
      <c r="R299" s="18">
        <v>298</v>
      </c>
      <c r="S299" s="14" t="s">
        <v>1441</v>
      </c>
      <c r="T299" s="14" t="s">
        <v>1442</v>
      </c>
      <c r="U299" s="14" t="s">
        <v>109</v>
      </c>
      <c r="V299" s="14" t="s">
        <v>114</v>
      </c>
      <c r="W299" s="14" t="s">
        <v>1443</v>
      </c>
      <c r="X299" s="14" t="s">
        <v>584</v>
      </c>
      <c r="Y299" s="22"/>
      <c r="Z299" s="24">
        <f t="shared" si="1071"/>
        <v>1</v>
      </c>
      <c r="AA299" s="20">
        <f t="shared" si="913"/>
        <v>2</v>
      </c>
      <c r="AB299" s="20">
        <f t="shared" si="914"/>
        <v>0.9</v>
      </c>
      <c r="AC299" s="21"/>
      <c r="AD299" s="21"/>
      <c r="AE299" s="21">
        <f t="shared" si="915"/>
        <v>0.61499999999999999</v>
      </c>
      <c r="AF299" s="20">
        <v>1</v>
      </c>
      <c r="AG299" s="20">
        <v>1</v>
      </c>
      <c r="AH299" s="20">
        <v>1</v>
      </c>
      <c r="AI299" s="20">
        <v>1</v>
      </c>
      <c r="AJ299" s="26"/>
      <c r="AK299" s="26"/>
      <c r="AL299" s="26"/>
      <c r="AM299" s="26"/>
      <c r="AN299" s="26">
        <v>2</v>
      </c>
      <c r="AO299" s="26">
        <v>2</v>
      </c>
      <c r="AP299" s="26">
        <v>0</v>
      </c>
      <c r="AQ299" s="26">
        <v>0</v>
      </c>
      <c r="AR299" s="22">
        <f t="shared" ref="AR299:AS299" si="1077">(AJ299+AL299+AN299+AP299)</f>
        <v>2</v>
      </c>
      <c r="AS299" s="22">
        <f t="shared" si="1077"/>
        <v>2</v>
      </c>
      <c r="AT299" s="22">
        <f t="shared" si="1067"/>
        <v>1</v>
      </c>
      <c r="AU299" s="23" t="str">
        <f t="shared" si="1068"/>
        <v>100%</v>
      </c>
      <c r="AV299" s="24">
        <f t="shared" si="808"/>
        <v>1</v>
      </c>
      <c r="AW299" s="14" t="s">
        <v>92</v>
      </c>
      <c r="AX299" s="30" t="s">
        <v>1444</v>
      </c>
      <c r="AY299" s="24">
        <v>0.1</v>
      </c>
      <c r="AZ299" s="24">
        <v>0.1</v>
      </c>
      <c r="BA299" s="24">
        <v>0.3</v>
      </c>
      <c r="BB299" s="24">
        <v>0.3</v>
      </c>
      <c r="BC299" s="24">
        <v>0.5</v>
      </c>
      <c r="BD299" s="24">
        <v>0.5</v>
      </c>
      <c r="BE299" s="24">
        <v>0.1</v>
      </c>
      <c r="BF299" s="26"/>
      <c r="BG299" s="20">
        <f t="shared" ref="BG299:BH299" si="1078">(AY299+BA299+BC299+BE299)</f>
        <v>1</v>
      </c>
      <c r="BH299" s="20">
        <f t="shared" si="1078"/>
        <v>0.9</v>
      </c>
      <c r="BI299" s="20">
        <f t="shared" si="1047"/>
        <v>0.9</v>
      </c>
      <c r="BJ299" s="23" t="str">
        <f t="shared" si="1048"/>
        <v>100%</v>
      </c>
      <c r="BK299" s="24">
        <f t="shared" si="1049"/>
        <v>0.9</v>
      </c>
      <c r="BL299" s="22" t="s">
        <v>92</v>
      </c>
      <c r="BM299" s="25" t="s">
        <v>1444</v>
      </c>
      <c r="BN299" s="27">
        <v>10000000</v>
      </c>
      <c r="BO299" s="27">
        <v>10000000</v>
      </c>
      <c r="BP299" s="27">
        <v>0</v>
      </c>
      <c r="BQ299" s="27">
        <v>0</v>
      </c>
      <c r="BR299" s="27">
        <f t="shared" ref="BR299:BS299" si="1079">+BN299+BP299</f>
        <v>10000000</v>
      </c>
      <c r="BS299" s="27">
        <f t="shared" si="1079"/>
        <v>10000000</v>
      </c>
      <c r="BT299" s="20">
        <f t="shared" si="919"/>
        <v>1</v>
      </c>
      <c r="BU299" s="27">
        <v>10000000</v>
      </c>
      <c r="BV299" s="27">
        <v>10000000</v>
      </c>
      <c r="BW299" s="27">
        <v>10000000</v>
      </c>
      <c r="BX299" s="27">
        <v>0</v>
      </c>
      <c r="BY299" s="28">
        <f t="shared" si="1062"/>
        <v>1</v>
      </c>
      <c r="BZ299" s="27">
        <v>11000000</v>
      </c>
      <c r="CA299" s="20">
        <v>11220000</v>
      </c>
      <c r="CB299" s="29">
        <v>11444400</v>
      </c>
      <c r="CC299" s="29">
        <v>11787732</v>
      </c>
      <c r="CD299" s="29">
        <v>45452132</v>
      </c>
    </row>
    <row r="300" spans="1:82" ht="57.75" customHeight="1">
      <c r="A300" s="12" t="s">
        <v>851</v>
      </c>
      <c r="B300" s="13">
        <v>0.432</v>
      </c>
      <c r="C300" s="12"/>
      <c r="D300" s="14">
        <v>41</v>
      </c>
      <c r="E300" s="14">
        <v>4104</v>
      </c>
      <c r="F300" s="14">
        <v>31</v>
      </c>
      <c r="G300" s="14" t="s">
        <v>1421</v>
      </c>
      <c r="H300" s="14"/>
      <c r="I300" s="14">
        <v>31.1</v>
      </c>
      <c r="J300" s="14" t="s">
        <v>1422</v>
      </c>
      <c r="K300" s="14" t="s">
        <v>1423</v>
      </c>
      <c r="L300" s="14" t="s">
        <v>1424</v>
      </c>
      <c r="M300" s="14" t="s">
        <v>1425</v>
      </c>
      <c r="N300" s="14" t="s">
        <v>1426</v>
      </c>
      <c r="O300" s="14">
        <v>4104020</v>
      </c>
      <c r="P300" s="17">
        <v>2024257990040</v>
      </c>
      <c r="Q300" s="14" t="s">
        <v>1427</v>
      </c>
      <c r="R300" s="18">
        <v>299</v>
      </c>
      <c r="S300" s="14" t="s">
        <v>1445</v>
      </c>
      <c r="T300" s="14" t="s">
        <v>1446</v>
      </c>
      <c r="U300" s="14" t="s">
        <v>88</v>
      </c>
      <c r="V300" s="14" t="s">
        <v>114</v>
      </c>
      <c r="W300" s="14" t="s">
        <v>1447</v>
      </c>
      <c r="X300" s="14" t="s">
        <v>584</v>
      </c>
      <c r="Y300" s="22"/>
      <c r="Z300" s="14">
        <f t="shared" si="1071"/>
        <v>150</v>
      </c>
      <c r="AA300" s="20">
        <f t="shared" si="913"/>
        <v>0.90666666666666662</v>
      </c>
      <c r="AB300" s="20">
        <f t="shared" si="914"/>
        <v>7.5980392156862744E-3</v>
      </c>
      <c r="AC300" s="21"/>
      <c r="AD300" s="21"/>
      <c r="AE300" s="21">
        <f t="shared" si="915"/>
        <v>0.13865931372549017</v>
      </c>
      <c r="AF300" s="14">
        <v>150</v>
      </c>
      <c r="AG300" s="14">
        <v>150</v>
      </c>
      <c r="AH300" s="14">
        <v>150</v>
      </c>
      <c r="AI300" s="14">
        <v>150</v>
      </c>
      <c r="AJ300" s="26"/>
      <c r="AK300" s="26"/>
      <c r="AL300" s="26"/>
      <c r="AM300" s="26"/>
      <c r="AN300" s="26">
        <v>136</v>
      </c>
      <c r="AO300" s="26">
        <v>136</v>
      </c>
      <c r="AP300" s="26">
        <v>136</v>
      </c>
      <c r="AQ300" s="26">
        <v>0</v>
      </c>
      <c r="AR300" s="26">
        <f>(AJ300+AL300+AN300+AP300)/2</f>
        <v>136</v>
      </c>
      <c r="AS300" s="26">
        <f>(AK300+AM300+AO300+AQ300)</f>
        <v>136</v>
      </c>
      <c r="AT300" s="22">
        <f t="shared" si="1067"/>
        <v>1</v>
      </c>
      <c r="AU300" s="23" t="str">
        <f t="shared" si="1068"/>
        <v>100%</v>
      </c>
      <c r="AV300" s="24">
        <f t="shared" si="808"/>
        <v>1</v>
      </c>
      <c r="AW300" s="14" t="s">
        <v>92</v>
      </c>
      <c r="AX300" s="30" t="s">
        <v>1448</v>
      </c>
      <c r="AY300" s="26">
        <v>136</v>
      </c>
      <c r="AZ300" s="26">
        <v>136</v>
      </c>
      <c r="BA300" s="26">
        <v>136</v>
      </c>
      <c r="BB300" s="26">
        <v>155</v>
      </c>
      <c r="BC300" s="26">
        <v>136</v>
      </c>
      <c r="BD300" s="26">
        <v>174</v>
      </c>
      <c r="BE300" s="26">
        <v>136</v>
      </c>
      <c r="BF300" s="26"/>
      <c r="BG300" s="22">
        <f>(AY300+BA300+BC300+BE300)/4</f>
        <v>136</v>
      </c>
      <c r="BH300" s="22">
        <f>(AZ300+BB300+BD300+BF300)/3</f>
        <v>155</v>
      </c>
      <c r="BI300" s="22">
        <f t="shared" si="1047"/>
        <v>1.1397058823529411</v>
      </c>
      <c r="BJ300" s="23" t="str">
        <f t="shared" si="1048"/>
        <v>100%</v>
      </c>
      <c r="BK300" s="24">
        <f t="shared" si="1049"/>
        <v>1.1397058823529411</v>
      </c>
      <c r="BL300" s="22" t="s">
        <v>92</v>
      </c>
      <c r="BM300" s="25" t="s">
        <v>1448</v>
      </c>
      <c r="BN300" s="27">
        <v>344500000</v>
      </c>
      <c r="BO300" s="27">
        <v>39881725</v>
      </c>
      <c r="BP300" s="27">
        <v>103978249</v>
      </c>
      <c r="BQ300" s="27">
        <v>103978249</v>
      </c>
      <c r="BR300" s="27">
        <f t="shared" ref="BR300:BS300" si="1080">+BN300+BP300</f>
        <v>448478249</v>
      </c>
      <c r="BS300" s="27">
        <f t="shared" si="1080"/>
        <v>143859974</v>
      </c>
      <c r="BT300" s="20">
        <f t="shared" si="919"/>
        <v>0.32077358115086646</v>
      </c>
      <c r="BU300" s="27">
        <v>344500000</v>
      </c>
      <c r="BV300" s="27">
        <v>344500000</v>
      </c>
      <c r="BW300" s="27">
        <v>164627775</v>
      </c>
      <c r="BX300" s="27">
        <v>164627775</v>
      </c>
      <c r="BY300" s="28">
        <f t="shared" si="1062"/>
        <v>0.47787452830188681</v>
      </c>
      <c r="BZ300" s="27">
        <v>360000000</v>
      </c>
      <c r="CA300" s="20">
        <v>367200000</v>
      </c>
      <c r="CB300" s="29">
        <v>374544000</v>
      </c>
      <c r="CC300" s="29">
        <v>385780320</v>
      </c>
      <c r="CD300" s="29">
        <v>1487524320</v>
      </c>
    </row>
    <row r="301" spans="1:82" ht="57.75" customHeight="1">
      <c r="A301" s="12" t="s">
        <v>851</v>
      </c>
      <c r="B301" s="13">
        <v>0.432</v>
      </c>
      <c r="C301" s="12"/>
      <c r="D301" s="14">
        <v>41</v>
      </c>
      <c r="E301" s="14">
        <v>4102</v>
      </c>
      <c r="F301" s="14">
        <v>31</v>
      </c>
      <c r="G301" s="14" t="s">
        <v>1421</v>
      </c>
      <c r="H301" s="14"/>
      <c r="I301" s="14">
        <v>31.1</v>
      </c>
      <c r="J301" s="14" t="s">
        <v>1422</v>
      </c>
      <c r="K301" s="14" t="s">
        <v>1423</v>
      </c>
      <c r="L301" s="14" t="s">
        <v>1424</v>
      </c>
      <c r="M301" s="14" t="s">
        <v>1425</v>
      </c>
      <c r="N301" s="14" t="s">
        <v>1426</v>
      </c>
      <c r="O301" s="14">
        <v>4104020</v>
      </c>
      <c r="P301" s="17">
        <v>2024257990040</v>
      </c>
      <c r="Q301" s="14" t="s">
        <v>1427</v>
      </c>
      <c r="R301" s="18">
        <v>300</v>
      </c>
      <c r="S301" s="14" t="s">
        <v>1449</v>
      </c>
      <c r="T301" s="14">
        <v>4</v>
      </c>
      <c r="U301" s="14" t="s">
        <v>88</v>
      </c>
      <c r="V301" s="14" t="s">
        <v>114</v>
      </c>
      <c r="W301" s="14" t="s">
        <v>1450</v>
      </c>
      <c r="X301" s="14" t="s">
        <v>584</v>
      </c>
      <c r="Y301" s="22"/>
      <c r="Z301" s="14">
        <f>SUM(AF301:AI301)</f>
        <v>4</v>
      </c>
      <c r="AA301" s="20">
        <f t="shared" si="913"/>
        <v>0.25</v>
      </c>
      <c r="AB301" s="20">
        <f t="shared" si="914"/>
        <v>0.25</v>
      </c>
      <c r="AC301" s="21"/>
      <c r="AD301" s="21"/>
      <c r="AE301" s="21">
        <f t="shared" si="915"/>
        <v>0.125</v>
      </c>
      <c r="AF301" s="14">
        <v>1</v>
      </c>
      <c r="AG301" s="14">
        <v>1</v>
      </c>
      <c r="AH301" s="14">
        <v>1</v>
      </c>
      <c r="AI301" s="14">
        <v>1</v>
      </c>
      <c r="AJ301" s="26"/>
      <c r="AK301" s="26"/>
      <c r="AL301" s="26"/>
      <c r="AM301" s="26"/>
      <c r="AN301" s="26">
        <v>0.3</v>
      </c>
      <c r="AO301" s="26">
        <v>0.3</v>
      </c>
      <c r="AP301" s="26">
        <v>0.7</v>
      </c>
      <c r="AQ301" s="26">
        <v>0.7</v>
      </c>
      <c r="AR301" s="22">
        <f t="shared" ref="AR301:AS301" si="1081">(AJ301+AL301+AN301+AP301)</f>
        <v>1</v>
      </c>
      <c r="AS301" s="22">
        <f t="shared" si="1081"/>
        <v>1</v>
      </c>
      <c r="AT301" s="22">
        <f t="shared" si="1067"/>
        <v>1</v>
      </c>
      <c r="AU301" s="23" t="str">
        <f t="shared" si="1068"/>
        <v>100%</v>
      </c>
      <c r="AV301" s="24">
        <f t="shared" si="808"/>
        <v>1</v>
      </c>
      <c r="AW301" s="14" t="s">
        <v>92</v>
      </c>
      <c r="AX301" s="30" t="s">
        <v>1451</v>
      </c>
      <c r="AY301" s="46">
        <v>0</v>
      </c>
      <c r="AZ301" s="46">
        <v>0</v>
      </c>
      <c r="BA301" s="46">
        <v>0.2</v>
      </c>
      <c r="BB301" s="46">
        <v>0.2</v>
      </c>
      <c r="BC301" s="46">
        <v>0.8</v>
      </c>
      <c r="BD301" s="46">
        <v>0.8</v>
      </c>
      <c r="BE301" s="46">
        <v>0</v>
      </c>
      <c r="BF301" s="26"/>
      <c r="BG301" s="22">
        <f t="shared" ref="BG301:BH301" si="1082">(AY301+BA301+BC301+BE301)</f>
        <v>1</v>
      </c>
      <c r="BH301" s="22">
        <f t="shared" si="1082"/>
        <v>1</v>
      </c>
      <c r="BI301" s="22">
        <f t="shared" si="1047"/>
        <v>1</v>
      </c>
      <c r="BJ301" s="23" t="str">
        <f t="shared" si="1048"/>
        <v>100%</v>
      </c>
      <c r="BK301" s="24">
        <f t="shared" si="1049"/>
        <v>1</v>
      </c>
      <c r="BL301" s="22" t="s">
        <v>92</v>
      </c>
      <c r="BM301" s="25" t="s">
        <v>1451</v>
      </c>
      <c r="BN301" s="27">
        <v>60000000</v>
      </c>
      <c r="BO301" s="27">
        <v>0</v>
      </c>
      <c r="BP301" s="27">
        <v>0</v>
      </c>
      <c r="BQ301" s="27">
        <v>0</v>
      </c>
      <c r="BR301" s="27">
        <f t="shared" ref="BR301:BS301" si="1083">+BN301+BP301</f>
        <v>60000000</v>
      </c>
      <c r="BS301" s="27">
        <f t="shared" si="1083"/>
        <v>0</v>
      </c>
      <c r="BT301" s="20">
        <f t="shared" si="919"/>
        <v>0</v>
      </c>
      <c r="BU301" s="27">
        <v>60000000</v>
      </c>
      <c r="BV301" s="27">
        <v>60000000</v>
      </c>
      <c r="BW301" s="27">
        <v>60000000</v>
      </c>
      <c r="BX301" s="27">
        <v>60000000</v>
      </c>
      <c r="BY301" s="28">
        <f t="shared" si="1062"/>
        <v>1</v>
      </c>
      <c r="BZ301" s="27">
        <v>61000000</v>
      </c>
      <c r="CA301" s="20">
        <v>62220000</v>
      </c>
      <c r="CB301" s="29">
        <v>63464400</v>
      </c>
      <c r="CC301" s="29">
        <v>65368332</v>
      </c>
      <c r="CD301" s="29">
        <v>252052732</v>
      </c>
    </row>
    <row r="302" spans="1:82" ht="57.75" customHeight="1">
      <c r="A302" s="12" t="s">
        <v>851</v>
      </c>
      <c r="B302" s="13">
        <v>0.432</v>
      </c>
      <c r="C302" s="12"/>
      <c r="D302" s="14">
        <v>41</v>
      </c>
      <c r="E302" s="14">
        <v>4102</v>
      </c>
      <c r="F302" s="14">
        <v>32</v>
      </c>
      <c r="G302" s="14" t="s">
        <v>1452</v>
      </c>
      <c r="H302" s="14"/>
      <c r="I302" s="14">
        <v>32.1</v>
      </c>
      <c r="J302" s="14" t="s">
        <v>1453</v>
      </c>
      <c r="K302" s="14" t="s">
        <v>1454</v>
      </c>
      <c r="L302" s="14" t="s">
        <v>1455</v>
      </c>
      <c r="M302" s="14" t="s">
        <v>533</v>
      </c>
      <c r="N302" s="20">
        <v>1</v>
      </c>
      <c r="O302" s="16">
        <v>4102042</v>
      </c>
      <c r="P302" s="17">
        <v>2024257990041</v>
      </c>
      <c r="Q302" s="14" t="s">
        <v>1456</v>
      </c>
      <c r="R302" s="18">
        <v>301</v>
      </c>
      <c r="S302" s="14" t="s">
        <v>1457</v>
      </c>
      <c r="T302" s="14" t="s">
        <v>1458</v>
      </c>
      <c r="U302" s="14" t="s">
        <v>109</v>
      </c>
      <c r="V302" s="14" t="s">
        <v>114</v>
      </c>
      <c r="W302" s="14" t="s">
        <v>1459</v>
      </c>
      <c r="X302" s="14" t="s">
        <v>584</v>
      </c>
      <c r="Y302" s="22" t="s">
        <v>124</v>
      </c>
      <c r="Z302" s="24">
        <f>SUM(AF302:AI302)/4</f>
        <v>1</v>
      </c>
      <c r="AA302" s="20">
        <f t="shared" si="913"/>
        <v>1</v>
      </c>
      <c r="AB302" s="20">
        <f t="shared" si="914"/>
        <v>0.85</v>
      </c>
      <c r="AC302" s="21"/>
      <c r="AD302" s="21"/>
      <c r="AE302" s="21">
        <f t="shared" si="915"/>
        <v>0.44750000000000001</v>
      </c>
      <c r="AF302" s="20">
        <v>1</v>
      </c>
      <c r="AG302" s="20">
        <v>1</v>
      </c>
      <c r="AH302" s="20">
        <v>1</v>
      </c>
      <c r="AI302" s="20">
        <v>1</v>
      </c>
      <c r="AJ302" s="26"/>
      <c r="AK302" s="26"/>
      <c r="AL302" s="26"/>
      <c r="AM302" s="26"/>
      <c r="AN302" s="24">
        <v>1</v>
      </c>
      <c r="AO302" s="24">
        <v>1</v>
      </c>
      <c r="AP302" s="24">
        <v>1</v>
      </c>
      <c r="AQ302" s="26">
        <v>0</v>
      </c>
      <c r="AR302" s="24">
        <f t="shared" ref="AR302:AR303" si="1084">(AJ302+AL302+AN302+AP302)/2</f>
        <v>1</v>
      </c>
      <c r="AS302" s="24">
        <f>(AK302+AM302+AO302+AQ302)</f>
        <v>1</v>
      </c>
      <c r="AT302" s="22">
        <f t="shared" si="1067"/>
        <v>1</v>
      </c>
      <c r="AU302" s="23" t="str">
        <f t="shared" si="1068"/>
        <v>100%</v>
      </c>
      <c r="AV302" s="24">
        <f t="shared" si="808"/>
        <v>1</v>
      </c>
      <c r="AW302" s="14" t="s">
        <v>92</v>
      </c>
      <c r="AX302" s="30" t="s">
        <v>1460</v>
      </c>
      <c r="AY302" s="24">
        <v>0.15</v>
      </c>
      <c r="AZ302" s="24">
        <v>0.15</v>
      </c>
      <c r="BA302" s="24">
        <v>0.3</v>
      </c>
      <c r="BB302" s="24">
        <v>0.3</v>
      </c>
      <c r="BC302" s="24">
        <v>0.4</v>
      </c>
      <c r="BD302" s="24">
        <v>0.4</v>
      </c>
      <c r="BE302" s="24">
        <v>0.15</v>
      </c>
      <c r="BF302" s="26"/>
      <c r="BG302" s="20">
        <f t="shared" ref="BG302:BH302" si="1085">(AY302+BA302+BC302+BE302)</f>
        <v>1</v>
      </c>
      <c r="BH302" s="20">
        <f t="shared" si="1085"/>
        <v>0.85</v>
      </c>
      <c r="BI302" s="20">
        <f t="shared" si="1047"/>
        <v>0.85</v>
      </c>
      <c r="BJ302" s="23" t="str">
        <f t="shared" si="1048"/>
        <v>100%</v>
      </c>
      <c r="BK302" s="24">
        <f t="shared" si="1049"/>
        <v>0.85</v>
      </c>
      <c r="BL302" s="22" t="s">
        <v>92</v>
      </c>
      <c r="BM302" s="25" t="s">
        <v>1460</v>
      </c>
      <c r="BN302" s="27">
        <v>85000000</v>
      </c>
      <c r="BO302" s="27">
        <v>83143600</v>
      </c>
      <c r="BP302" s="27">
        <v>28836347</v>
      </c>
      <c r="BQ302" s="27">
        <v>28836347</v>
      </c>
      <c r="BR302" s="27">
        <f t="shared" ref="BR302:BS302" si="1086">+BN302+BP302</f>
        <v>113836347</v>
      </c>
      <c r="BS302" s="27">
        <f t="shared" si="1086"/>
        <v>111979947</v>
      </c>
      <c r="BT302" s="20">
        <f t="shared" si="919"/>
        <v>0.98369237902547946</v>
      </c>
      <c r="BU302" s="27">
        <v>85000000</v>
      </c>
      <c r="BV302" s="27">
        <v>85000000</v>
      </c>
      <c r="BW302" s="27">
        <v>70381199</v>
      </c>
      <c r="BX302" s="27">
        <v>66472499</v>
      </c>
      <c r="BY302" s="28">
        <f t="shared" si="1062"/>
        <v>0.82801410588235291</v>
      </c>
      <c r="BZ302" s="27">
        <v>77000000</v>
      </c>
      <c r="CA302" s="20">
        <v>78540000</v>
      </c>
      <c r="CB302" s="29">
        <v>80110800</v>
      </c>
      <c r="CC302" s="29">
        <v>82514124</v>
      </c>
      <c r="CD302" s="29">
        <v>318164924</v>
      </c>
    </row>
    <row r="303" spans="1:82" ht="57.75" customHeight="1">
      <c r="A303" s="12" t="s">
        <v>851</v>
      </c>
      <c r="B303" s="13">
        <v>0.432</v>
      </c>
      <c r="C303" s="12"/>
      <c r="D303" s="14">
        <v>41</v>
      </c>
      <c r="E303" s="14">
        <v>4102</v>
      </c>
      <c r="F303" s="14">
        <v>32</v>
      </c>
      <c r="G303" s="14" t="s">
        <v>1452</v>
      </c>
      <c r="H303" s="14"/>
      <c r="I303" s="14">
        <v>32.1</v>
      </c>
      <c r="J303" s="14" t="s">
        <v>1453</v>
      </c>
      <c r="K303" s="14" t="s">
        <v>1454</v>
      </c>
      <c r="L303" s="14" t="s">
        <v>1455</v>
      </c>
      <c r="M303" s="14" t="s">
        <v>533</v>
      </c>
      <c r="N303" s="20">
        <v>1</v>
      </c>
      <c r="O303" s="16">
        <v>4102041</v>
      </c>
      <c r="P303" s="17">
        <v>2024257990041</v>
      </c>
      <c r="Q303" s="14" t="s">
        <v>1456</v>
      </c>
      <c r="R303" s="18">
        <v>302</v>
      </c>
      <c r="S303" s="14" t="s">
        <v>1461</v>
      </c>
      <c r="T303" s="14">
        <v>1</v>
      </c>
      <c r="U303" s="14" t="s">
        <v>109</v>
      </c>
      <c r="V303" s="14" t="s">
        <v>114</v>
      </c>
      <c r="W303" s="14" t="s">
        <v>1322</v>
      </c>
      <c r="X303" s="14" t="s">
        <v>584</v>
      </c>
      <c r="Y303" s="22" t="s">
        <v>124</v>
      </c>
      <c r="Z303" s="20">
        <f t="shared" ref="Z303:Z304" si="1087">SUM(AF303:AI303)</f>
        <v>0.45</v>
      </c>
      <c r="AA303" s="20">
        <f t="shared" si="913"/>
        <v>7.7777777777777765E-2</v>
      </c>
      <c r="AB303" s="20">
        <f t="shared" si="914"/>
        <v>1.5384615384615383</v>
      </c>
      <c r="AC303" s="21"/>
      <c r="AD303" s="21"/>
      <c r="AE303" s="21">
        <f t="shared" si="915"/>
        <v>0.55012820512820504</v>
      </c>
      <c r="AF303" s="20">
        <v>7.0000000000000007E-2</v>
      </c>
      <c r="AG303" s="20">
        <v>0.13</v>
      </c>
      <c r="AH303" s="20">
        <v>0.13</v>
      </c>
      <c r="AI303" s="20">
        <v>0.12</v>
      </c>
      <c r="AJ303" s="26"/>
      <c r="AK303" s="26"/>
      <c r="AL303" s="26"/>
      <c r="AM303" s="26"/>
      <c r="AN303" s="24">
        <v>0.06</v>
      </c>
      <c r="AO303" s="24">
        <v>0.06</v>
      </c>
      <c r="AP303" s="24">
        <v>0.01</v>
      </c>
      <c r="AQ303" s="24">
        <v>0.01</v>
      </c>
      <c r="AR303" s="24">
        <f t="shared" si="1084"/>
        <v>3.4999999999999996E-2</v>
      </c>
      <c r="AS303" s="24">
        <f>(AK303+AM303+AO303+AQ303)/2</f>
        <v>3.4999999999999996E-2</v>
      </c>
      <c r="AT303" s="22">
        <f t="shared" si="1067"/>
        <v>1</v>
      </c>
      <c r="AU303" s="23" t="str">
        <f t="shared" si="1068"/>
        <v>100%</v>
      </c>
      <c r="AV303" s="24">
        <f t="shared" si="808"/>
        <v>1</v>
      </c>
      <c r="AW303" s="14" t="s">
        <v>92</v>
      </c>
      <c r="AX303" s="30" t="s">
        <v>1462</v>
      </c>
      <c r="AY303" s="24">
        <v>0.02</v>
      </c>
      <c r="AZ303" s="24">
        <v>0.02</v>
      </c>
      <c r="BA303" s="24">
        <v>0.03</v>
      </c>
      <c r="BB303" s="24">
        <v>0.03</v>
      </c>
      <c r="BC303" s="24">
        <v>0.04</v>
      </c>
      <c r="BD303" s="24">
        <v>0.04</v>
      </c>
      <c r="BE303" s="24">
        <v>0.04</v>
      </c>
      <c r="BF303" s="26"/>
      <c r="BG303" s="20">
        <f t="shared" ref="BG303:BH303" si="1088">(AY303+BA303+BC303+BE303)</f>
        <v>0.13</v>
      </c>
      <c r="BH303" s="20">
        <f t="shared" si="1088"/>
        <v>0.09</v>
      </c>
      <c r="BI303" s="20">
        <f t="shared" si="1047"/>
        <v>0.69230769230769229</v>
      </c>
      <c r="BJ303" s="23" t="str">
        <f t="shared" si="1048"/>
        <v>100%</v>
      </c>
      <c r="BK303" s="24">
        <f t="shared" si="1049"/>
        <v>0.69230769230769229</v>
      </c>
      <c r="BL303" s="22" t="s">
        <v>92</v>
      </c>
      <c r="BM303" s="25" t="s">
        <v>1462</v>
      </c>
      <c r="BN303" s="27">
        <v>80000000</v>
      </c>
      <c r="BO303" s="27">
        <v>40000000</v>
      </c>
      <c r="BP303" s="27">
        <v>191589</v>
      </c>
      <c r="BQ303" s="27">
        <v>191589</v>
      </c>
      <c r="BR303" s="27">
        <f t="shared" ref="BR303:BS303" si="1089">+BN303+BP303</f>
        <v>80191589</v>
      </c>
      <c r="BS303" s="27">
        <f t="shared" si="1089"/>
        <v>40191589</v>
      </c>
      <c r="BT303" s="20">
        <f t="shared" si="919"/>
        <v>0.50119457041810211</v>
      </c>
      <c r="BU303" s="27">
        <v>80000000</v>
      </c>
      <c r="BV303" s="27">
        <v>80000000</v>
      </c>
      <c r="BW303" s="27">
        <v>65000000</v>
      </c>
      <c r="BX303" s="27">
        <v>14639690</v>
      </c>
      <c r="BY303" s="28">
        <f t="shared" si="1062"/>
        <v>0.8125</v>
      </c>
      <c r="BZ303" s="27">
        <v>25000000</v>
      </c>
      <c r="CA303" s="20">
        <v>25500000</v>
      </c>
      <c r="CB303" s="29">
        <v>0</v>
      </c>
      <c r="CC303" s="29">
        <v>0</v>
      </c>
      <c r="CD303" s="29">
        <v>50500000</v>
      </c>
    </row>
    <row r="304" spans="1:82" ht="57.75" customHeight="1">
      <c r="A304" s="12" t="s">
        <v>851</v>
      </c>
      <c r="B304" s="13">
        <v>0.432</v>
      </c>
      <c r="C304" s="12"/>
      <c r="D304" s="14">
        <v>41</v>
      </c>
      <c r="E304" s="14">
        <v>4102</v>
      </c>
      <c r="F304" s="14">
        <v>32</v>
      </c>
      <c r="G304" s="14" t="s">
        <v>1452</v>
      </c>
      <c r="H304" s="14"/>
      <c r="I304" s="14">
        <v>32.1</v>
      </c>
      <c r="J304" s="14" t="s">
        <v>1453</v>
      </c>
      <c r="K304" s="14" t="s">
        <v>1454</v>
      </c>
      <c r="L304" s="14" t="s">
        <v>1455</v>
      </c>
      <c r="M304" s="14" t="s">
        <v>533</v>
      </c>
      <c r="N304" s="20">
        <v>1</v>
      </c>
      <c r="O304" s="16">
        <v>4102042</v>
      </c>
      <c r="P304" s="17">
        <v>2024257990041</v>
      </c>
      <c r="Q304" s="14" t="s">
        <v>1456</v>
      </c>
      <c r="R304" s="18">
        <v>303</v>
      </c>
      <c r="S304" s="14" t="s">
        <v>1463</v>
      </c>
      <c r="T304" s="14">
        <v>1</v>
      </c>
      <c r="U304" s="14" t="s">
        <v>88</v>
      </c>
      <c r="V304" s="14" t="s">
        <v>114</v>
      </c>
      <c r="W304" s="14" t="s">
        <v>1464</v>
      </c>
      <c r="X304" s="14" t="s">
        <v>584</v>
      </c>
      <c r="Y304" s="22" t="s">
        <v>124</v>
      </c>
      <c r="Z304" s="14">
        <f t="shared" si="1087"/>
        <v>4</v>
      </c>
      <c r="AA304" s="20">
        <f t="shared" si="913"/>
        <v>0.25</v>
      </c>
      <c r="AB304" s="20">
        <f t="shared" si="914"/>
        <v>0.25</v>
      </c>
      <c r="AC304" s="21"/>
      <c r="AD304" s="21"/>
      <c r="AE304" s="21">
        <f t="shared" si="915"/>
        <v>0.125</v>
      </c>
      <c r="AF304" s="14">
        <v>1</v>
      </c>
      <c r="AG304" s="14">
        <v>1</v>
      </c>
      <c r="AH304" s="14">
        <v>1</v>
      </c>
      <c r="AI304" s="14">
        <v>1</v>
      </c>
      <c r="AJ304" s="26"/>
      <c r="AK304" s="26"/>
      <c r="AL304" s="26"/>
      <c r="AM304" s="26"/>
      <c r="AN304" s="44">
        <v>1E-3</v>
      </c>
      <c r="AO304" s="26">
        <v>0</v>
      </c>
      <c r="AP304" s="26">
        <v>1</v>
      </c>
      <c r="AQ304" s="26">
        <v>1</v>
      </c>
      <c r="AR304" s="22">
        <f t="shared" ref="AR304:AS304" si="1090">(AJ304+AL304+AN304+AP304)</f>
        <v>1.0009999999999999</v>
      </c>
      <c r="AS304" s="22">
        <f t="shared" si="1090"/>
        <v>1</v>
      </c>
      <c r="AT304" s="22">
        <f t="shared" si="1067"/>
        <v>0.99900099900099915</v>
      </c>
      <c r="AU304" s="23" t="str">
        <f t="shared" si="1068"/>
        <v>100%</v>
      </c>
      <c r="AV304" s="24">
        <f t="shared" si="808"/>
        <v>0.99900099900099915</v>
      </c>
      <c r="AW304" s="14" t="s">
        <v>92</v>
      </c>
      <c r="AX304" s="30" t="s">
        <v>1465</v>
      </c>
      <c r="AY304" s="46">
        <v>0.1</v>
      </c>
      <c r="AZ304" s="46">
        <v>0.1</v>
      </c>
      <c r="BA304" s="46">
        <v>0.9</v>
      </c>
      <c r="BB304" s="46">
        <v>0.9</v>
      </c>
      <c r="BC304" s="46">
        <v>0</v>
      </c>
      <c r="BD304" s="57"/>
      <c r="BE304" s="46">
        <v>0</v>
      </c>
      <c r="BF304" s="26"/>
      <c r="BG304" s="22">
        <f t="shared" ref="BG304:BH304" si="1091">(AY304+BA304+BC304+BE304)</f>
        <v>1</v>
      </c>
      <c r="BH304" s="22">
        <f t="shared" si="1091"/>
        <v>1</v>
      </c>
      <c r="BI304" s="22">
        <f t="shared" si="1047"/>
        <v>1</v>
      </c>
      <c r="BJ304" s="23" t="str">
        <f t="shared" si="1048"/>
        <v>100%</v>
      </c>
      <c r="BK304" s="24">
        <f t="shared" si="1049"/>
        <v>1</v>
      </c>
      <c r="BL304" s="22" t="s">
        <v>92</v>
      </c>
      <c r="BM304" s="25" t="s">
        <v>1465</v>
      </c>
      <c r="BN304" s="27">
        <v>0</v>
      </c>
      <c r="BO304" s="27">
        <v>0</v>
      </c>
      <c r="BP304" s="27">
        <v>54601570</v>
      </c>
      <c r="BQ304" s="27">
        <v>54601570</v>
      </c>
      <c r="BR304" s="27">
        <f t="shared" ref="BR304:BS304" si="1092">+BN304+BP304</f>
        <v>54601570</v>
      </c>
      <c r="BS304" s="27">
        <f t="shared" si="1092"/>
        <v>54601570</v>
      </c>
      <c r="BT304" s="20">
        <f t="shared" si="919"/>
        <v>1</v>
      </c>
      <c r="BU304" s="27">
        <v>50000000</v>
      </c>
      <c r="BV304" s="27">
        <v>50000000</v>
      </c>
      <c r="BW304" s="27">
        <v>49665918</v>
      </c>
      <c r="BX304" s="27">
        <v>49665918</v>
      </c>
      <c r="BY304" s="28">
        <f t="shared" si="1062"/>
        <v>0.99331835999999996</v>
      </c>
      <c r="BZ304" s="27">
        <v>55000000</v>
      </c>
      <c r="CA304" s="20">
        <v>56100000</v>
      </c>
      <c r="CB304" s="29">
        <v>57222000</v>
      </c>
      <c r="CC304" s="29">
        <v>58938660</v>
      </c>
      <c r="CD304" s="29">
        <v>227260660</v>
      </c>
    </row>
    <row r="305" spans="1:82" ht="51.75" customHeight="1">
      <c r="A305" s="12" t="s">
        <v>1466</v>
      </c>
      <c r="B305" s="13">
        <v>8.4000000000000005E-2</v>
      </c>
      <c r="C305" s="12"/>
      <c r="D305" s="14">
        <v>45</v>
      </c>
      <c r="E305" s="14">
        <v>4599</v>
      </c>
      <c r="F305" s="14">
        <v>33</v>
      </c>
      <c r="G305" s="14" t="s">
        <v>1467</v>
      </c>
      <c r="H305" s="14">
        <v>1000</v>
      </c>
      <c r="I305" s="14">
        <v>33.1</v>
      </c>
      <c r="J305" s="14" t="s">
        <v>1468</v>
      </c>
      <c r="K305" s="14" t="s">
        <v>1469</v>
      </c>
      <c r="L305" s="14" t="s">
        <v>1470</v>
      </c>
      <c r="M305" s="14" t="s">
        <v>1471</v>
      </c>
      <c r="N305" s="14" t="s">
        <v>1472</v>
      </c>
      <c r="O305" s="14">
        <v>4599037</v>
      </c>
      <c r="P305" s="17">
        <v>2024257990042</v>
      </c>
      <c r="Q305" s="14" t="s">
        <v>1473</v>
      </c>
      <c r="R305" s="18">
        <v>304</v>
      </c>
      <c r="S305" s="14" t="s">
        <v>1474</v>
      </c>
      <c r="T305" s="14">
        <v>1</v>
      </c>
      <c r="U305" s="14" t="s">
        <v>88</v>
      </c>
      <c r="V305" s="14" t="s">
        <v>114</v>
      </c>
      <c r="W305" s="14" t="s">
        <v>1475</v>
      </c>
      <c r="X305" s="14" t="s">
        <v>1476</v>
      </c>
      <c r="Y305" s="29"/>
      <c r="Z305" s="14">
        <f>SUM(AF305:AI305)/4</f>
        <v>1</v>
      </c>
      <c r="AA305" s="20">
        <f t="shared" si="913"/>
        <v>0.7</v>
      </c>
      <c r="AB305" s="20">
        <f t="shared" si="914"/>
        <v>1</v>
      </c>
      <c r="AC305" s="21"/>
      <c r="AD305" s="21"/>
      <c r="AE305" s="21">
        <f t="shared" si="915"/>
        <v>0.45499999999999996</v>
      </c>
      <c r="AF305" s="14">
        <v>1</v>
      </c>
      <c r="AG305" s="14">
        <v>1</v>
      </c>
      <c r="AH305" s="14">
        <v>1</v>
      </c>
      <c r="AI305" s="14">
        <v>1</v>
      </c>
      <c r="AJ305" s="26"/>
      <c r="AK305" s="26"/>
      <c r="AL305" s="26"/>
      <c r="AM305" s="26"/>
      <c r="AN305" s="26">
        <v>0.7</v>
      </c>
      <c r="AO305" s="26">
        <v>0.7</v>
      </c>
      <c r="AP305" s="26">
        <v>0.3</v>
      </c>
      <c r="AQ305" s="26">
        <v>0</v>
      </c>
      <c r="AR305" s="22">
        <f t="shared" ref="AR305:AS305" si="1093">(AJ305+AL305+AN305+AP305)</f>
        <v>1</v>
      </c>
      <c r="AS305" s="22">
        <f t="shared" si="1093"/>
        <v>0.7</v>
      </c>
      <c r="AT305" s="22">
        <f t="shared" si="1067"/>
        <v>0.7</v>
      </c>
      <c r="AU305" s="23" t="str">
        <f t="shared" si="1068"/>
        <v>100%</v>
      </c>
      <c r="AV305" s="24">
        <f t="shared" si="808"/>
        <v>0.7</v>
      </c>
      <c r="AW305" s="14" t="s">
        <v>92</v>
      </c>
      <c r="AX305" s="30" t="s">
        <v>1477</v>
      </c>
      <c r="AY305" s="46">
        <v>0.2</v>
      </c>
      <c r="AZ305" s="46">
        <v>0.2</v>
      </c>
      <c r="BA305" s="46">
        <v>0.3</v>
      </c>
      <c r="BB305" s="46">
        <v>0.3</v>
      </c>
      <c r="BC305" s="46">
        <v>0.5</v>
      </c>
      <c r="BD305" s="46">
        <v>0.5</v>
      </c>
      <c r="BE305" s="46">
        <v>0</v>
      </c>
      <c r="BF305" s="26">
        <v>0</v>
      </c>
      <c r="BG305" s="22">
        <f t="shared" ref="BG305:BH305" si="1094">(AY305+BA305+BC305+BE305)</f>
        <v>1</v>
      </c>
      <c r="BH305" s="22">
        <f t="shared" si="1094"/>
        <v>1</v>
      </c>
      <c r="BI305" s="22">
        <f t="shared" si="1047"/>
        <v>1</v>
      </c>
      <c r="BJ305" s="23" t="str">
        <f t="shared" si="1048"/>
        <v>100%</v>
      </c>
      <c r="BK305" s="24">
        <f t="shared" si="1049"/>
        <v>1</v>
      </c>
      <c r="BL305" s="22" t="s">
        <v>92</v>
      </c>
      <c r="BM305" s="25" t="s">
        <v>1477</v>
      </c>
      <c r="BN305" s="27">
        <v>263000000</v>
      </c>
      <c r="BO305" s="27">
        <v>136053333</v>
      </c>
      <c r="BP305" s="27">
        <v>10000000</v>
      </c>
      <c r="BQ305" s="27">
        <v>10000000</v>
      </c>
      <c r="BR305" s="27">
        <f t="shared" ref="BR305:BS305" si="1095">+BN305+BP305</f>
        <v>273000000</v>
      </c>
      <c r="BS305" s="27">
        <f t="shared" si="1095"/>
        <v>146053333</v>
      </c>
      <c r="BT305" s="20">
        <f t="shared" si="919"/>
        <v>0.53499389377289375</v>
      </c>
      <c r="BU305" s="27">
        <v>263000000</v>
      </c>
      <c r="BV305" s="27">
        <v>254453333</v>
      </c>
      <c r="BW305" s="27">
        <v>242948064.19999999</v>
      </c>
      <c r="BX305" s="27">
        <v>194254729.19999999</v>
      </c>
      <c r="BY305" s="28">
        <f t="shared" si="1062"/>
        <v>0.95478436590178206</v>
      </c>
      <c r="BZ305" s="27">
        <v>100000000</v>
      </c>
      <c r="CA305" s="20">
        <v>300000000</v>
      </c>
      <c r="CB305" s="29">
        <v>300000000</v>
      </c>
      <c r="CC305" s="29">
        <v>300000000</v>
      </c>
      <c r="CD305" s="29">
        <v>1000000000</v>
      </c>
    </row>
    <row r="306" spans="1:82" ht="51.75" customHeight="1">
      <c r="A306" s="12" t="s">
        <v>1466</v>
      </c>
      <c r="B306" s="13">
        <v>8.4000000000000005E-2</v>
      </c>
      <c r="C306" s="12"/>
      <c r="D306" s="14">
        <v>45</v>
      </c>
      <c r="E306" s="14">
        <v>4599</v>
      </c>
      <c r="F306" s="14">
        <v>33</v>
      </c>
      <c r="G306" s="14" t="s">
        <v>1467</v>
      </c>
      <c r="H306" s="14">
        <v>1000</v>
      </c>
      <c r="I306" s="14">
        <v>33.1</v>
      </c>
      <c r="J306" s="14" t="s">
        <v>1468</v>
      </c>
      <c r="K306" s="14" t="s">
        <v>1469</v>
      </c>
      <c r="L306" s="14" t="s">
        <v>1470</v>
      </c>
      <c r="M306" s="14" t="s">
        <v>1471</v>
      </c>
      <c r="N306" s="14" t="s">
        <v>1472</v>
      </c>
      <c r="O306" s="14">
        <v>4599002</v>
      </c>
      <c r="P306" s="17">
        <v>2024257990042</v>
      </c>
      <c r="Q306" s="14" t="s">
        <v>1473</v>
      </c>
      <c r="R306" s="18">
        <v>305</v>
      </c>
      <c r="S306" s="14" t="s">
        <v>1478</v>
      </c>
      <c r="T306" s="14">
        <v>0</v>
      </c>
      <c r="U306" s="14" t="s">
        <v>88</v>
      </c>
      <c r="V306" s="14" t="s">
        <v>89</v>
      </c>
      <c r="W306" s="14" t="s">
        <v>350</v>
      </c>
      <c r="X306" s="14" t="s">
        <v>1476</v>
      </c>
      <c r="Y306" s="29"/>
      <c r="Z306" s="18">
        <f>SUM(AF306:AI306)</f>
        <v>1</v>
      </c>
      <c r="AA306" s="20">
        <f t="shared" si="913"/>
        <v>0</v>
      </c>
      <c r="AB306" s="20">
        <f t="shared" si="914"/>
        <v>0.4</v>
      </c>
      <c r="AC306" s="21"/>
      <c r="AD306" s="21"/>
      <c r="AE306" s="21">
        <f t="shared" si="915"/>
        <v>0.13999999999999999</v>
      </c>
      <c r="AF306" s="29">
        <v>0</v>
      </c>
      <c r="AG306" s="29">
        <v>1</v>
      </c>
      <c r="AH306" s="29">
        <v>0</v>
      </c>
      <c r="AI306" s="29">
        <v>0</v>
      </c>
      <c r="AJ306" s="26"/>
      <c r="AK306" s="26"/>
      <c r="AL306" s="26"/>
      <c r="AM306" s="26"/>
      <c r="AN306" s="34">
        <v>0</v>
      </c>
      <c r="AO306" s="34">
        <v>0</v>
      </c>
      <c r="AP306" s="34">
        <v>0</v>
      </c>
      <c r="AQ306" s="34">
        <v>0</v>
      </c>
      <c r="AR306" s="34">
        <v>0</v>
      </c>
      <c r="AS306" s="34">
        <f>(AK306+AM306+AO306+AQ306)/2</f>
        <v>0</v>
      </c>
      <c r="AT306" s="24">
        <f>IF(AQ306=0, 0, AR306/AQ306)</f>
        <v>0</v>
      </c>
      <c r="AU306" s="23" t="str">
        <f>IF(AR306&gt; 1, IF(AR306 = AS306, "100%", AR306 &amp; "%"), IF(AR306 &lt;= 0.01, "0%", AR306 * 100 &amp; "%"))</f>
        <v>0%</v>
      </c>
      <c r="AV306" s="24">
        <f t="shared" si="808"/>
        <v>0</v>
      </c>
      <c r="AW306" s="26" t="s">
        <v>192</v>
      </c>
      <c r="AX306" s="26"/>
      <c r="AY306" s="46">
        <v>0.05</v>
      </c>
      <c r="AZ306" s="46">
        <v>0.05</v>
      </c>
      <c r="BA306" s="46">
        <v>0.1</v>
      </c>
      <c r="BB306" s="46">
        <v>0.1</v>
      </c>
      <c r="BC306" s="46">
        <v>0.25</v>
      </c>
      <c r="BD306" s="46">
        <v>0.25</v>
      </c>
      <c r="BE306" s="46">
        <v>0.6</v>
      </c>
      <c r="BF306" s="26"/>
      <c r="BG306" s="22">
        <f t="shared" ref="BG306:BH306" si="1096">(AY306+BA306+BC306+BE306)</f>
        <v>1</v>
      </c>
      <c r="BH306" s="22">
        <f t="shared" si="1096"/>
        <v>0.4</v>
      </c>
      <c r="BI306" s="22">
        <f t="shared" si="1047"/>
        <v>0.4</v>
      </c>
      <c r="BJ306" s="23" t="str">
        <f t="shared" si="1048"/>
        <v>100%</v>
      </c>
      <c r="BK306" s="24">
        <f t="shared" si="1049"/>
        <v>0.4</v>
      </c>
      <c r="BL306" s="22" t="s">
        <v>92</v>
      </c>
      <c r="BM306" s="25" t="s">
        <v>1479</v>
      </c>
      <c r="BN306" s="27">
        <v>30000000</v>
      </c>
      <c r="BO306" s="27">
        <v>0</v>
      </c>
      <c r="BP306" s="27">
        <v>0</v>
      </c>
      <c r="BQ306" s="27">
        <v>0</v>
      </c>
      <c r="BR306" s="27">
        <f t="shared" ref="BR306:BS306" si="1097">+BN306+BP306</f>
        <v>30000000</v>
      </c>
      <c r="BS306" s="27">
        <f t="shared" si="1097"/>
        <v>0</v>
      </c>
      <c r="BT306" s="20">
        <f t="shared" si="919"/>
        <v>0</v>
      </c>
      <c r="BU306" s="27">
        <v>30000000</v>
      </c>
      <c r="BV306" s="27">
        <v>250005001</v>
      </c>
      <c r="BW306" s="27">
        <v>0</v>
      </c>
      <c r="BX306" s="27">
        <v>0</v>
      </c>
      <c r="BY306" s="28">
        <f t="shared" si="1062"/>
        <v>0</v>
      </c>
      <c r="BZ306" s="27">
        <v>500000000</v>
      </c>
      <c r="CA306" s="20">
        <v>0</v>
      </c>
      <c r="CB306" s="29">
        <v>0</v>
      </c>
      <c r="CC306" s="29">
        <v>0</v>
      </c>
      <c r="CD306" s="29">
        <v>500000000</v>
      </c>
    </row>
    <row r="307" spans="1:82" ht="51.75" customHeight="1">
      <c r="A307" s="12" t="s">
        <v>1466</v>
      </c>
      <c r="B307" s="13">
        <v>8.4000000000000005E-2</v>
      </c>
      <c r="C307" s="12"/>
      <c r="D307" s="14">
        <v>45</v>
      </c>
      <c r="E307" s="14">
        <v>4599</v>
      </c>
      <c r="F307" s="14">
        <v>33</v>
      </c>
      <c r="G307" s="14" t="s">
        <v>1467</v>
      </c>
      <c r="H307" s="14">
        <v>1000</v>
      </c>
      <c r="I307" s="14">
        <v>33.1</v>
      </c>
      <c r="J307" s="14" t="s">
        <v>1468</v>
      </c>
      <c r="K307" s="14" t="s">
        <v>1469</v>
      </c>
      <c r="L307" s="14" t="s">
        <v>1470</v>
      </c>
      <c r="M307" s="14" t="s">
        <v>1471</v>
      </c>
      <c r="N307" s="14" t="s">
        <v>1472</v>
      </c>
      <c r="O307" s="14">
        <v>4599023</v>
      </c>
      <c r="P307" s="17">
        <v>2024257990042</v>
      </c>
      <c r="Q307" s="14" t="s">
        <v>1473</v>
      </c>
      <c r="R307" s="18">
        <v>306</v>
      </c>
      <c r="S307" s="14" t="s">
        <v>1480</v>
      </c>
      <c r="T307" s="14">
        <v>2</v>
      </c>
      <c r="U307" s="14" t="s">
        <v>88</v>
      </c>
      <c r="V307" s="14" t="s">
        <v>114</v>
      </c>
      <c r="W307" s="14" t="s">
        <v>1481</v>
      </c>
      <c r="X307" s="14" t="s">
        <v>1476</v>
      </c>
      <c r="Y307" s="29"/>
      <c r="Z307" s="14">
        <f>SUM(AF307:AI307)/4</f>
        <v>2</v>
      </c>
      <c r="AA307" s="20">
        <f t="shared" si="913"/>
        <v>0.5</v>
      </c>
      <c r="AB307" s="20">
        <f t="shared" si="914"/>
        <v>0.42499999999999999</v>
      </c>
      <c r="AC307" s="21"/>
      <c r="AD307" s="21"/>
      <c r="AE307" s="21">
        <f t="shared" si="915"/>
        <v>0.22375</v>
      </c>
      <c r="AF307" s="29">
        <v>2</v>
      </c>
      <c r="AG307" s="29">
        <v>2</v>
      </c>
      <c r="AH307" s="29">
        <v>2</v>
      </c>
      <c r="AI307" s="29">
        <v>2</v>
      </c>
      <c r="AJ307" s="26"/>
      <c r="AK307" s="26"/>
      <c r="AL307" s="26"/>
      <c r="AM307" s="26"/>
      <c r="AN307" s="26">
        <v>1</v>
      </c>
      <c r="AO307" s="26">
        <v>1</v>
      </c>
      <c r="AP307" s="26">
        <v>1</v>
      </c>
      <c r="AQ307" s="26">
        <v>1</v>
      </c>
      <c r="AR307" s="22">
        <f t="shared" ref="AR307:AS307" si="1098">(AJ307+AL307+AN307+AP307)/2</f>
        <v>1</v>
      </c>
      <c r="AS307" s="22">
        <f t="shared" si="1098"/>
        <v>1</v>
      </c>
      <c r="AT307" s="22">
        <f t="shared" ref="AT307:AT313" si="1099">AS307/AR307</f>
        <v>1</v>
      </c>
      <c r="AU307" s="23" t="str">
        <f t="shared" ref="AU307:AU313" si="1100">MIN((AR307 /AR307) * 100, 100) &amp; "%"</f>
        <v>100%</v>
      </c>
      <c r="AV307" s="24">
        <f t="shared" si="808"/>
        <v>1</v>
      </c>
      <c r="AW307" s="14" t="s">
        <v>92</v>
      </c>
      <c r="AX307" s="30" t="s">
        <v>1482</v>
      </c>
      <c r="AY307" s="26">
        <v>0</v>
      </c>
      <c r="AZ307" s="26">
        <v>0</v>
      </c>
      <c r="BA307" s="26">
        <v>0</v>
      </c>
      <c r="BB307" s="26">
        <v>0</v>
      </c>
      <c r="BC307" s="26">
        <v>1</v>
      </c>
      <c r="BD307" s="26">
        <v>1.7</v>
      </c>
      <c r="BE307" s="26">
        <v>1</v>
      </c>
      <c r="BF307" s="26"/>
      <c r="BG307" s="22">
        <f t="shared" ref="BG307:BH307" si="1101">(AY307+BA307+BC307+BE307)</f>
        <v>2</v>
      </c>
      <c r="BH307" s="22">
        <f t="shared" si="1101"/>
        <v>1.7</v>
      </c>
      <c r="BI307" s="22">
        <f t="shared" si="1047"/>
        <v>0.85</v>
      </c>
      <c r="BJ307" s="23" t="str">
        <f t="shared" si="1048"/>
        <v>100%</v>
      </c>
      <c r="BK307" s="24">
        <f t="shared" si="1049"/>
        <v>0.85</v>
      </c>
      <c r="BL307" s="22" t="s">
        <v>92</v>
      </c>
      <c r="BM307" s="25" t="s">
        <v>1482</v>
      </c>
      <c r="BN307" s="27">
        <v>50000000</v>
      </c>
      <c r="BO307" s="27">
        <v>0</v>
      </c>
      <c r="BP307" s="27">
        <v>33449750</v>
      </c>
      <c r="BQ307" s="27">
        <v>33449750</v>
      </c>
      <c r="BR307" s="27">
        <f t="shared" ref="BR307:BS307" si="1102">+BN307+BP307</f>
        <v>83449750</v>
      </c>
      <c r="BS307" s="27">
        <f t="shared" si="1102"/>
        <v>33449750</v>
      </c>
      <c r="BT307" s="20">
        <f t="shared" si="919"/>
        <v>0.40083703066815657</v>
      </c>
      <c r="BU307" s="27">
        <v>50000000</v>
      </c>
      <c r="BV307" s="27">
        <v>42000000</v>
      </c>
      <c r="BW307" s="27">
        <v>12000000</v>
      </c>
      <c r="BX307" s="27">
        <v>12000000</v>
      </c>
      <c r="BY307" s="28">
        <f t="shared" si="1062"/>
        <v>0.2857142857142857</v>
      </c>
      <c r="BZ307" s="27">
        <v>50000000</v>
      </c>
      <c r="CA307" s="20">
        <v>50400000</v>
      </c>
      <c r="CB307" s="29">
        <v>50400000</v>
      </c>
      <c r="CC307" s="29">
        <v>52920000</v>
      </c>
      <c r="CD307" s="29">
        <v>203720000</v>
      </c>
    </row>
    <row r="308" spans="1:82" ht="51.75" customHeight="1">
      <c r="A308" s="12" t="s">
        <v>1466</v>
      </c>
      <c r="B308" s="13">
        <v>8.4000000000000005E-2</v>
      </c>
      <c r="C308" s="12"/>
      <c r="D308" s="14">
        <v>45</v>
      </c>
      <c r="E308" s="14">
        <v>4599</v>
      </c>
      <c r="F308" s="14">
        <v>33</v>
      </c>
      <c r="G308" s="14" t="s">
        <v>1467</v>
      </c>
      <c r="H308" s="14">
        <v>1000</v>
      </c>
      <c r="I308" s="14">
        <v>33.1</v>
      </c>
      <c r="J308" s="14" t="s">
        <v>1468</v>
      </c>
      <c r="K308" s="14" t="s">
        <v>1469</v>
      </c>
      <c r="L308" s="14" t="s">
        <v>1470</v>
      </c>
      <c r="M308" s="14" t="s">
        <v>1471</v>
      </c>
      <c r="N308" s="14" t="s">
        <v>1472</v>
      </c>
      <c r="O308" s="14">
        <v>4599030</v>
      </c>
      <c r="P308" s="17">
        <v>2024257990042</v>
      </c>
      <c r="Q308" s="14" t="s">
        <v>1473</v>
      </c>
      <c r="R308" s="18">
        <v>307</v>
      </c>
      <c r="S308" s="14" t="s">
        <v>1483</v>
      </c>
      <c r="T308" s="14">
        <v>3</v>
      </c>
      <c r="U308" s="14" t="s">
        <v>88</v>
      </c>
      <c r="V308" s="14" t="s">
        <v>114</v>
      </c>
      <c r="W308" s="14" t="s">
        <v>1484</v>
      </c>
      <c r="X308" s="14" t="s">
        <v>1476</v>
      </c>
      <c r="Y308" s="29"/>
      <c r="Z308" s="18">
        <f t="shared" ref="Z308:Z309" si="1103">SUM(AF308:AI308)</f>
        <v>4</v>
      </c>
      <c r="AA308" s="20">
        <f t="shared" si="913"/>
        <v>0.23749999999999999</v>
      </c>
      <c r="AB308" s="20">
        <f t="shared" si="914"/>
        <v>0.2</v>
      </c>
      <c r="AC308" s="21"/>
      <c r="AD308" s="21"/>
      <c r="AE308" s="21">
        <f t="shared" si="915"/>
        <v>0.105625</v>
      </c>
      <c r="AF308" s="29">
        <v>1</v>
      </c>
      <c r="AG308" s="29">
        <v>1</v>
      </c>
      <c r="AH308" s="29">
        <v>1</v>
      </c>
      <c r="AI308" s="29">
        <v>1</v>
      </c>
      <c r="AJ308" s="26"/>
      <c r="AK308" s="26"/>
      <c r="AL308" s="26"/>
      <c r="AM308" s="26"/>
      <c r="AN308" s="26">
        <v>0.3</v>
      </c>
      <c r="AO308" s="26">
        <v>0.3</v>
      </c>
      <c r="AP308" s="26">
        <v>0.7</v>
      </c>
      <c r="AQ308" s="26">
        <v>0.65</v>
      </c>
      <c r="AR308" s="22">
        <f t="shared" ref="AR308:AS308" si="1104">(AJ308+AL308+AN308+AP308)</f>
        <v>1</v>
      </c>
      <c r="AS308" s="22">
        <f t="shared" si="1104"/>
        <v>0.95</v>
      </c>
      <c r="AT308" s="22">
        <f t="shared" si="1099"/>
        <v>0.95</v>
      </c>
      <c r="AU308" s="23" t="str">
        <f t="shared" si="1100"/>
        <v>100%</v>
      </c>
      <c r="AV308" s="24">
        <f t="shared" si="808"/>
        <v>0.95</v>
      </c>
      <c r="AW308" s="14" t="s">
        <v>92</v>
      </c>
      <c r="AX308" s="30" t="s">
        <v>1485</v>
      </c>
      <c r="AY308" s="46">
        <v>0</v>
      </c>
      <c r="AZ308" s="46">
        <v>0</v>
      </c>
      <c r="BA308" s="46">
        <v>0.3</v>
      </c>
      <c r="BB308" s="46">
        <v>0.3</v>
      </c>
      <c r="BC308" s="46">
        <v>0.5</v>
      </c>
      <c r="BD308" s="46">
        <v>0.5</v>
      </c>
      <c r="BE308" s="46">
        <v>0.2</v>
      </c>
      <c r="BF308" s="26"/>
      <c r="BG308" s="22">
        <f t="shared" ref="BG308:BH308" si="1105">(AY308+BA308+BC308+BE308)</f>
        <v>1</v>
      </c>
      <c r="BH308" s="22">
        <f t="shared" si="1105"/>
        <v>0.8</v>
      </c>
      <c r="BI308" s="22">
        <f t="shared" si="1047"/>
        <v>0.8</v>
      </c>
      <c r="BJ308" s="23" t="str">
        <f t="shared" si="1048"/>
        <v>100%</v>
      </c>
      <c r="BK308" s="24">
        <f t="shared" si="1049"/>
        <v>0.8</v>
      </c>
      <c r="BL308" s="22" t="s">
        <v>92</v>
      </c>
      <c r="BM308" s="25" t="s">
        <v>1485</v>
      </c>
      <c r="BN308" s="27">
        <v>80000000</v>
      </c>
      <c r="BO308" s="27">
        <v>0</v>
      </c>
      <c r="BP308" s="27">
        <v>71200000</v>
      </c>
      <c r="BQ308" s="27">
        <v>71200000</v>
      </c>
      <c r="BR308" s="27">
        <f t="shared" ref="BR308:BS308" si="1106">+BN308+BP308</f>
        <v>151200000</v>
      </c>
      <c r="BS308" s="27">
        <f t="shared" si="1106"/>
        <v>71200000</v>
      </c>
      <c r="BT308" s="20">
        <f t="shared" si="919"/>
        <v>0.47089947089947087</v>
      </c>
      <c r="BU308" s="27">
        <v>80000000</v>
      </c>
      <c r="BV308" s="27">
        <v>80000000</v>
      </c>
      <c r="BW308" s="27">
        <v>0</v>
      </c>
      <c r="BX308" s="27">
        <v>0</v>
      </c>
      <c r="BY308" s="28">
        <f t="shared" si="1062"/>
        <v>0</v>
      </c>
      <c r="BZ308" s="27">
        <v>100000000</v>
      </c>
      <c r="CA308" s="20">
        <v>105000000</v>
      </c>
      <c r="CB308" s="29">
        <v>105000000</v>
      </c>
      <c r="CC308" s="29">
        <v>110250000</v>
      </c>
      <c r="CD308" s="29">
        <v>420250000</v>
      </c>
    </row>
    <row r="309" spans="1:82" ht="51.75" customHeight="1">
      <c r="A309" s="12" t="s">
        <v>1466</v>
      </c>
      <c r="B309" s="13">
        <v>8.4000000000000005E-2</v>
      </c>
      <c r="C309" s="12"/>
      <c r="D309" s="14">
        <v>45</v>
      </c>
      <c r="E309" s="14">
        <v>4599</v>
      </c>
      <c r="F309" s="14">
        <v>33</v>
      </c>
      <c r="G309" s="14" t="s">
        <v>1467</v>
      </c>
      <c r="H309" s="14">
        <v>1000</v>
      </c>
      <c r="I309" s="14">
        <v>33.1</v>
      </c>
      <c r="J309" s="14" t="s">
        <v>1468</v>
      </c>
      <c r="K309" s="14" t="s">
        <v>1469</v>
      </c>
      <c r="L309" s="14" t="s">
        <v>1470</v>
      </c>
      <c r="M309" s="14" t="s">
        <v>1471</v>
      </c>
      <c r="N309" s="14" t="s">
        <v>1472</v>
      </c>
      <c r="O309" s="14">
        <v>4599034</v>
      </c>
      <c r="P309" s="17">
        <v>2024257990042</v>
      </c>
      <c r="Q309" s="14" t="s">
        <v>1473</v>
      </c>
      <c r="R309" s="18">
        <v>308</v>
      </c>
      <c r="S309" s="14" t="s">
        <v>1486</v>
      </c>
      <c r="T309" s="14">
        <v>2</v>
      </c>
      <c r="U309" s="14" t="s">
        <v>88</v>
      </c>
      <c r="V309" s="14" t="s">
        <v>89</v>
      </c>
      <c r="W309" s="14" t="s">
        <v>1487</v>
      </c>
      <c r="X309" s="14" t="s">
        <v>1476</v>
      </c>
      <c r="Y309" s="29"/>
      <c r="Z309" s="18">
        <f t="shared" si="1103"/>
        <v>2</v>
      </c>
      <c r="AA309" s="20">
        <f t="shared" si="913"/>
        <v>0.58499999999999996</v>
      </c>
      <c r="AB309" s="20">
        <f t="shared" si="914"/>
        <v>0</v>
      </c>
      <c r="AC309" s="21"/>
      <c r="AD309" s="21"/>
      <c r="AE309" s="21">
        <f t="shared" si="915"/>
        <v>8.7749999999999995E-2</v>
      </c>
      <c r="AF309" s="29">
        <v>1</v>
      </c>
      <c r="AG309" s="29">
        <v>0</v>
      </c>
      <c r="AH309" s="29">
        <v>1</v>
      </c>
      <c r="AI309" s="29">
        <v>0</v>
      </c>
      <c r="AJ309" s="26"/>
      <c r="AK309" s="26"/>
      <c r="AL309" s="26"/>
      <c r="AM309" s="26"/>
      <c r="AN309" s="26">
        <v>0.4</v>
      </c>
      <c r="AO309" s="26">
        <v>0.4</v>
      </c>
      <c r="AP309" s="26">
        <v>0.8</v>
      </c>
      <c r="AQ309" s="26">
        <v>0.77</v>
      </c>
      <c r="AR309" s="22">
        <f t="shared" ref="AR309:AS309" si="1107">(AJ309+AL309+AN309+AP309)</f>
        <v>1.2000000000000002</v>
      </c>
      <c r="AS309" s="22">
        <f t="shared" si="1107"/>
        <v>1.17</v>
      </c>
      <c r="AT309" s="22">
        <f t="shared" si="1099"/>
        <v>0.97499999999999976</v>
      </c>
      <c r="AU309" s="23" t="str">
        <f t="shared" si="1100"/>
        <v>100%</v>
      </c>
      <c r="AV309" s="24">
        <f t="shared" si="808"/>
        <v>0.97499999999999976</v>
      </c>
      <c r="AW309" s="14" t="s">
        <v>92</v>
      </c>
      <c r="AX309" s="30" t="s">
        <v>1488</v>
      </c>
      <c r="AY309" s="32">
        <v>0</v>
      </c>
      <c r="AZ309" s="32"/>
      <c r="BA309" s="32">
        <v>0</v>
      </c>
      <c r="BB309" s="32"/>
      <c r="BC309" s="32">
        <v>0</v>
      </c>
      <c r="BD309" s="32"/>
      <c r="BE309" s="32">
        <v>0</v>
      </c>
      <c r="BF309" s="32"/>
      <c r="BG309" s="36">
        <f t="shared" ref="BG309:BH309" si="1108">(AY309+BA309+BC309+BE309)</f>
        <v>0</v>
      </c>
      <c r="BH309" s="36">
        <f t="shared" si="1108"/>
        <v>0</v>
      </c>
      <c r="BI309" s="37" t="str">
        <f>IF(BF309&gt; 1, IF(BF309 = BG309, "100%", BF309 &amp; "%"), IF(BF309 &lt;= 0.01, "0%", BF309 * 100 &amp; "%"))</f>
        <v>0%</v>
      </c>
      <c r="BJ309" s="38">
        <f t="shared" ref="BJ309:BK309" si="1109">IF(BF309=0, 0, BG309/BF309)</f>
        <v>0</v>
      </c>
      <c r="BK309" s="38">
        <f t="shared" si="1109"/>
        <v>0</v>
      </c>
      <c r="BL309" s="26" t="s">
        <v>192</v>
      </c>
      <c r="BM309" s="25" t="s">
        <v>1488</v>
      </c>
      <c r="BN309" s="70">
        <v>0</v>
      </c>
      <c r="BO309" s="70">
        <v>0</v>
      </c>
      <c r="BP309" s="70">
        <v>407049894</v>
      </c>
      <c r="BQ309" s="70">
        <v>407049894</v>
      </c>
      <c r="BR309" s="70">
        <f t="shared" ref="BR309:BS309" si="1110">+BN309+BP309</f>
        <v>407049894</v>
      </c>
      <c r="BS309" s="70">
        <f t="shared" si="1110"/>
        <v>407049894</v>
      </c>
      <c r="BT309" s="71">
        <f t="shared" si="919"/>
        <v>1</v>
      </c>
      <c r="BU309" s="27">
        <v>0</v>
      </c>
      <c r="BV309" s="27">
        <v>0</v>
      </c>
      <c r="BW309" s="27">
        <v>0</v>
      </c>
      <c r="BX309" s="27">
        <v>0</v>
      </c>
      <c r="BY309" s="28" t="str">
        <f t="shared" si="1062"/>
        <v/>
      </c>
      <c r="BZ309" s="27">
        <v>205408720</v>
      </c>
      <c r="CA309" s="20">
        <v>400000000</v>
      </c>
      <c r="CB309" s="29">
        <v>500000000</v>
      </c>
      <c r="CC309" s="29">
        <v>800000000</v>
      </c>
      <c r="CD309" s="29">
        <v>1905408720</v>
      </c>
    </row>
    <row r="310" spans="1:82" ht="51.75" customHeight="1">
      <c r="A310" s="12" t="s">
        <v>1466</v>
      </c>
      <c r="B310" s="13">
        <v>8.4000000000000005E-2</v>
      </c>
      <c r="C310" s="12"/>
      <c r="D310" s="14">
        <v>45</v>
      </c>
      <c r="E310" s="14">
        <v>4599</v>
      </c>
      <c r="F310" s="14">
        <v>33</v>
      </c>
      <c r="G310" s="14" t="s">
        <v>1467</v>
      </c>
      <c r="H310" s="14">
        <v>1000</v>
      </c>
      <c r="I310" s="14">
        <v>33.200000000000003</v>
      </c>
      <c r="J310" s="14" t="s">
        <v>1489</v>
      </c>
      <c r="K310" s="14" t="s">
        <v>1490</v>
      </c>
      <c r="L310" s="14" t="s">
        <v>1491</v>
      </c>
      <c r="M310" s="14" t="s">
        <v>1492</v>
      </c>
      <c r="N310" s="14" t="s">
        <v>1493</v>
      </c>
      <c r="O310" s="14">
        <v>4599003</v>
      </c>
      <c r="P310" s="17">
        <v>2024257990042</v>
      </c>
      <c r="Q310" s="14" t="s">
        <v>1473</v>
      </c>
      <c r="R310" s="18">
        <v>309</v>
      </c>
      <c r="S310" s="14" t="s">
        <v>1494</v>
      </c>
      <c r="T310" s="14">
        <v>1</v>
      </c>
      <c r="U310" s="14" t="s">
        <v>88</v>
      </c>
      <c r="V310" s="14" t="s">
        <v>114</v>
      </c>
      <c r="W310" s="14" t="s">
        <v>1495</v>
      </c>
      <c r="X310" s="14" t="s">
        <v>1496</v>
      </c>
      <c r="Y310" s="29"/>
      <c r="Z310" s="14">
        <f t="shared" ref="Z310:Z312" si="1111">SUM(AF310:AI310)/4</f>
        <v>1</v>
      </c>
      <c r="AA310" s="20">
        <f t="shared" si="913"/>
        <v>0.95</v>
      </c>
      <c r="AB310" s="20">
        <f t="shared" si="914"/>
        <v>0.8</v>
      </c>
      <c r="AC310" s="21"/>
      <c r="AD310" s="21"/>
      <c r="AE310" s="21">
        <f t="shared" si="915"/>
        <v>0.42249999999999999</v>
      </c>
      <c r="AF310" s="14">
        <v>1</v>
      </c>
      <c r="AG310" s="14">
        <v>1</v>
      </c>
      <c r="AH310" s="14">
        <v>1</v>
      </c>
      <c r="AI310" s="14">
        <v>1</v>
      </c>
      <c r="AJ310" s="26"/>
      <c r="AK310" s="26"/>
      <c r="AL310" s="26"/>
      <c r="AM310" s="26"/>
      <c r="AN310" s="26">
        <v>0.7</v>
      </c>
      <c r="AO310" s="26">
        <v>0.7</v>
      </c>
      <c r="AP310" s="26">
        <v>0.3</v>
      </c>
      <c r="AQ310" s="26">
        <v>0.25</v>
      </c>
      <c r="AR310" s="22">
        <f t="shared" ref="AR310:AS310" si="1112">(AJ310+AL310+AN310+AP310)</f>
        <v>1</v>
      </c>
      <c r="AS310" s="22">
        <f t="shared" si="1112"/>
        <v>0.95</v>
      </c>
      <c r="AT310" s="22">
        <f t="shared" si="1099"/>
        <v>0.95</v>
      </c>
      <c r="AU310" s="23" t="str">
        <f t="shared" si="1100"/>
        <v>100%</v>
      </c>
      <c r="AV310" s="24">
        <f t="shared" si="808"/>
        <v>0.95</v>
      </c>
      <c r="AW310" s="14" t="s">
        <v>92</v>
      </c>
      <c r="AX310" s="30" t="s">
        <v>1497</v>
      </c>
      <c r="AY310" s="46">
        <v>0.1</v>
      </c>
      <c r="AZ310" s="46">
        <v>0.1</v>
      </c>
      <c r="BA310" s="46">
        <v>0.3</v>
      </c>
      <c r="BB310" s="46">
        <v>0.3</v>
      </c>
      <c r="BC310" s="46">
        <v>0.4</v>
      </c>
      <c r="BD310" s="46">
        <v>0.4</v>
      </c>
      <c r="BE310" s="46">
        <v>0.2</v>
      </c>
      <c r="BF310" s="26"/>
      <c r="BG310" s="22">
        <f t="shared" ref="BG310:BH310" si="1113">(AY310+BA310+BC310+BE310)</f>
        <v>1</v>
      </c>
      <c r="BH310" s="22">
        <f t="shared" si="1113"/>
        <v>0.8</v>
      </c>
      <c r="BI310" s="22">
        <f t="shared" ref="BI310:BI319" si="1114">BH310/BG310</f>
        <v>0.8</v>
      </c>
      <c r="BJ310" s="23" t="str">
        <f t="shared" ref="BJ310:BJ319" si="1115">MIN((BG310 /BG310) * 100, 100) &amp; "%"</f>
        <v>100%</v>
      </c>
      <c r="BK310" s="24">
        <f t="shared" ref="BK310:BK328" si="1116">IF(BG310=0, 0, BH310/BG310)</f>
        <v>0.8</v>
      </c>
      <c r="BL310" s="22" t="s">
        <v>92</v>
      </c>
      <c r="BM310" s="25" t="s">
        <v>1497</v>
      </c>
      <c r="BN310" s="27">
        <v>550000000</v>
      </c>
      <c r="BO310" s="27">
        <v>433500000</v>
      </c>
      <c r="BP310" s="27">
        <v>91083333</v>
      </c>
      <c r="BQ310" s="27">
        <v>91083333</v>
      </c>
      <c r="BR310" s="27">
        <f t="shared" ref="BR310:BS310" si="1117">+BN310+BP310</f>
        <v>641083333</v>
      </c>
      <c r="BS310" s="27">
        <f t="shared" si="1117"/>
        <v>524583333</v>
      </c>
      <c r="BT310" s="20">
        <f t="shared" si="919"/>
        <v>0.81827635503355067</v>
      </c>
      <c r="BU310" s="27">
        <v>550000000</v>
      </c>
      <c r="BV310" s="27">
        <v>433500000</v>
      </c>
      <c r="BW310" s="27">
        <v>433500000</v>
      </c>
      <c r="BX310" s="27">
        <v>323690000</v>
      </c>
      <c r="BY310" s="28">
        <f t="shared" si="1062"/>
        <v>1</v>
      </c>
      <c r="BZ310" s="27">
        <v>650000000</v>
      </c>
      <c r="CA310" s="20">
        <v>750000000</v>
      </c>
      <c r="CB310" s="29">
        <v>800000000</v>
      </c>
      <c r="CC310" s="29">
        <v>850000000</v>
      </c>
      <c r="CD310" s="29">
        <v>3050000000</v>
      </c>
    </row>
    <row r="311" spans="1:82" ht="51.75" customHeight="1">
      <c r="A311" s="12" t="s">
        <v>1466</v>
      </c>
      <c r="B311" s="13">
        <v>8.4000000000000005E-2</v>
      </c>
      <c r="C311" s="12"/>
      <c r="D311" s="14">
        <v>45</v>
      </c>
      <c r="E311" s="14">
        <v>4599</v>
      </c>
      <c r="F311" s="14">
        <v>33</v>
      </c>
      <c r="G311" s="14" t="s">
        <v>1467</v>
      </c>
      <c r="H311" s="14">
        <v>1000</v>
      </c>
      <c r="I311" s="14">
        <v>33.200000000000003</v>
      </c>
      <c r="J311" s="14" t="s">
        <v>1489</v>
      </c>
      <c r="K311" s="14" t="s">
        <v>1490</v>
      </c>
      <c r="L311" s="14" t="s">
        <v>1498</v>
      </c>
      <c r="M311" s="14" t="s">
        <v>1499</v>
      </c>
      <c r="N311" s="14" t="s">
        <v>1500</v>
      </c>
      <c r="O311" s="14">
        <v>4599026</v>
      </c>
      <c r="P311" s="17">
        <v>2024257990042</v>
      </c>
      <c r="Q311" s="14" t="s">
        <v>1473</v>
      </c>
      <c r="R311" s="18">
        <v>310</v>
      </c>
      <c r="S311" s="14" t="s">
        <v>1501</v>
      </c>
      <c r="T311" s="14">
        <v>0</v>
      </c>
      <c r="U311" s="14" t="s">
        <v>109</v>
      </c>
      <c r="V311" s="14" t="s">
        <v>89</v>
      </c>
      <c r="W311" s="14" t="s">
        <v>1502</v>
      </c>
      <c r="X311" s="14" t="s">
        <v>1503</v>
      </c>
      <c r="Y311" s="29"/>
      <c r="Z311" s="24">
        <f t="shared" si="1111"/>
        <v>1</v>
      </c>
      <c r="AA311" s="20">
        <f t="shared" si="913"/>
        <v>0.94</v>
      </c>
      <c r="AB311" s="20">
        <f t="shared" si="914"/>
        <v>0.85</v>
      </c>
      <c r="AC311" s="21"/>
      <c r="AD311" s="21"/>
      <c r="AE311" s="21">
        <f t="shared" si="915"/>
        <v>0.4385</v>
      </c>
      <c r="AF311" s="20">
        <v>1</v>
      </c>
      <c r="AG311" s="20">
        <v>1</v>
      </c>
      <c r="AH311" s="20">
        <v>1</v>
      </c>
      <c r="AI311" s="20">
        <v>1</v>
      </c>
      <c r="AJ311" s="26"/>
      <c r="AK311" s="26"/>
      <c r="AL311" s="26"/>
      <c r="AM311" s="26"/>
      <c r="AN311" s="26">
        <v>0.7</v>
      </c>
      <c r="AO311" s="26">
        <v>0.7</v>
      </c>
      <c r="AP311" s="26">
        <v>0.3</v>
      </c>
      <c r="AQ311" s="26">
        <v>0.24</v>
      </c>
      <c r="AR311" s="22">
        <f t="shared" ref="AR311:AS311" si="1118">(AJ311+AL311+AN311+AP311)</f>
        <v>1</v>
      </c>
      <c r="AS311" s="22">
        <f t="shared" si="1118"/>
        <v>0.94</v>
      </c>
      <c r="AT311" s="22">
        <f t="shared" si="1099"/>
        <v>0.94</v>
      </c>
      <c r="AU311" s="23" t="str">
        <f t="shared" si="1100"/>
        <v>100%</v>
      </c>
      <c r="AV311" s="24">
        <f t="shared" si="808"/>
        <v>0.94</v>
      </c>
      <c r="AW311" s="14" t="s">
        <v>92</v>
      </c>
      <c r="AX311" s="30" t="s">
        <v>1504</v>
      </c>
      <c r="AY311" s="24">
        <v>0.15</v>
      </c>
      <c r="AZ311" s="24">
        <v>0.15</v>
      </c>
      <c r="BA311" s="24">
        <v>0.3</v>
      </c>
      <c r="BB311" s="24">
        <v>0.3</v>
      </c>
      <c r="BC311" s="24">
        <v>0.4</v>
      </c>
      <c r="BD311" s="24">
        <v>0.4</v>
      </c>
      <c r="BE311" s="24">
        <v>0.15</v>
      </c>
      <c r="BF311" s="26"/>
      <c r="BG311" s="20">
        <f t="shared" ref="BG311:BH311" si="1119">(AY311+BA311+BC311+BE311)</f>
        <v>1</v>
      </c>
      <c r="BH311" s="20">
        <f t="shared" si="1119"/>
        <v>0.85</v>
      </c>
      <c r="BI311" s="20">
        <f t="shared" si="1114"/>
        <v>0.85</v>
      </c>
      <c r="BJ311" s="23" t="str">
        <f t="shared" si="1115"/>
        <v>100%</v>
      </c>
      <c r="BK311" s="24">
        <f t="shared" si="1116"/>
        <v>0.85</v>
      </c>
      <c r="BL311" s="22" t="s">
        <v>92</v>
      </c>
      <c r="BM311" s="25" t="s">
        <v>1504</v>
      </c>
      <c r="BN311" s="27">
        <v>310000000</v>
      </c>
      <c r="BO311" s="27">
        <v>223884000</v>
      </c>
      <c r="BP311" s="27">
        <v>0</v>
      </c>
      <c r="BQ311" s="27">
        <v>0</v>
      </c>
      <c r="BR311" s="27">
        <f t="shared" ref="BR311:BS311" si="1120">+BN311+BP311</f>
        <v>310000000</v>
      </c>
      <c r="BS311" s="27">
        <f t="shared" si="1120"/>
        <v>223884000</v>
      </c>
      <c r="BT311" s="20">
        <f t="shared" si="919"/>
        <v>0.7222064516129032</v>
      </c>
      <c r="BU311" s="27">
        <v>250000000</v>
      </c>
      <c r="BV311" s="27">
        <v>321000000</v>
      </c>
      <c r="BW311" s="27">
        <v>318240067</v>
      </c>
      <c r="BX311" s="27">
        <v>151751727</v>
      </c>
      <c r="BY311" s="28">
        <f t="shared" si="1062"/>
        <v>0.99140207788161994</v>
      </c>
      <c r="BZ311" s="27">
        <v>150000000</v>
      </c>
      <c r="CA311" s="20">
        <v>155000000</v>
      </c>
      <c r="CB311" s="29">
        <v>160000000</v>
      </c>
      <c r="CC311" s="29">
        <v>165000000</v>
      </c>
      <c r="CD311" s="29">
        <v>630000000</v>
      </c>
    </row>
    <row r="312" spans="1:82" ht="51.75" customHeight="1">
      <c r="A312" s="12" t="s">
        <v>1466</v>
      </c>
      <c r="B312" s="13">
        <v>8.4000000000000005E-2</v>
      </c>
      <c r="C312" s="12"/>
      <c r="D312" s="14">
        <v>45</v>
      </c>
      <c r="E312" s="14">
        <v>4599</v>
      </c>
      <c r="F312" s="14">
        <v>33</v>
      </c>
      <c r="G312" s="14" t="s">
        <v>1467</v>
      </c>
      <c r="H312" s="14">
        <v>1000</v>
      </c>
      <c r="I312" s="14">
        <v>33.200000000000003</v>
      </c>
      <c r="J312" s="14" t="s">
        <v>1489</v>
      </c>
      <c r="K312" s="14" t="s">
        <v>1490</v>
      </c>
      <c r="L312" s="14" t="s">
        <v>1498</v>
      </c>
      <c r="M312" s="14" t="s">
        <v>1499</v>
      </c>
      <c r="N312" s="14" t="s">
        <v>1500</v>
      </c>
      <c r="O312" s="14">
        <v>4599031</v>
      </c>
      <c r="P312" s="17">
        <v>2024257990042</v>
      </c>
      <c r="Q312" s="14" t="s">
        <v>1473</v>
      </c>
      <c r="R312" s="18">
        <v>311</v>
      </c>
      <c r="S312" s="14" t="s">
        <v>1505</v>
      </c>
      <c r="T312" s="14">
        <v>0</v>
      </c>
      <c r="U312" s="14" t="s">
        <v>109</v>
      </c>
      <c r="V312" s="14" t="s">
        <v>89</v>
      </c>
      <c r="W312" s="14" t="s">
        <v>1502</v>
      </c>
      <c r="X312" s="14" t="s">
        <v>1503</v>
      </c>
      <c r="Y312" s="29"/>
      <c r="Z312" s="24">
        <f t="shared" si="1111"/>
        <v>1</v>
      </c>
      <c r="AA312" s="20">
        <f t="shared" si="913"/>
        <v>0.97</v>
      </c>
      <c r="AB312" s="20">
        <f t="shared" si="914"/>
        <v>0.8</v>
      </c>
      <c r="AC312" s="21"/>
      <c r="AD312" s="21"/>
      <c r="AE312" s="21">
        <f t="shared" si="915"/>
        <v>0.42549999999999999</v>
      </c>
      <c r="AF312" s="20">
        <v>1</v>
      </c>
      <c r="AG312" s="20">
        <v>1</v>
      </c>
      <c r="AH312" s="20">
        <v>1</v>
      </c>
      <c r="AI312" s="20">
        <v>1</v>
      </c>
      <c r="AJ312" s="26"/>
      <c r="AK312" s="26"/>
      <c r="AL312" s="26"/>
      <c r="AM312" s="26"/>
      <c r="AN312" s="24">
        <v>0.7</v>
      </c>
      <c r="AO312" s="24">
        <v>0.7</v>
      </c>
      <c r="AP312" s="24">
        <v>0.3</v>
      </c>
      <c r="AQ312" s="26">
        <v>0.27</v>
      </c>
      <c r="AR312" s="22">
        <f t="shared" ref="AR312:AS312" si="1121">(AJ312+AL312+AN312+AP312)</f>
        <v>1</v>
      </c>
      <c r="AS312" s="22">
        <f t="shared" si="1121"/>
        <v>0.97</v>
      </c>
      <c r="AT312" s="22">
        <f t="shared" si="1099"/>
        <v>0.97</v>
      </c>
      <c r="AU312" s="23" t="str">
        <f t="shared" si="1100"/>
        <v>100%</v>
      </c>
      <c r="AV312" s="24">
        <f t="shared" si="808"/>
        <v>0.97</v>
      </c>
      <c r="AW312" s="14" t="s">
        <v>92</v>
      </c>
      <c r="AX312" s="30" t="s">
        <v>1506</v>
      </c>
      <c r="AY312" s="24">
        <v>0.1</v>
      </c>
      <c r="AZ312" s="24">
        <v>0.1</v>
      </c>
      <c r="BA312" s="24">
        <v>0.3</v>
      </c>
      <c r="BB312" s="24">
        <v>0.3</v>
      </c>
      <c r="BC312" s="24">
        <v>0.4</v>
      </c>
      <c r="BD312" s="24">
        <v>0.4</v>
      </c>
      <c r="BE312" s="24">
        <v>0.2</v>
      </c>
      <c r="BF312" s="26"/>
      <c r="BG312" s="20">
        <f t="shared" ref="BG312:BH312" si="1122">(AY312+BA312+BC312+BE312)</f>
        <v>1</v>
      </c>
      <c r="BH312" s="20">
        <f t="shared" si="1122"/>
        <v>0.8</v>
      </c>
      <c r="BI312" s="20">
        <f t="shared" si="1114"/>
        <v>0.8</v>
      </c>
      <c r="BJ312" s="23" t="str">
        <f t="shared" si="1115"/>
        <v>100%</v>
      </c>
      <c r="BK312" s="24">
        <f t="shared" si="1116"/>
        <v>0.8</v>
      </c>
      <c r="BL312" s="22" t="s">
        <v>92</v>
      </c>
      <c r="BM312" s="25" t="s">
        <v>1506</v>
      </c>
      <c r="BN312" s="27">
        <v>280000000</v>
      </c>
      <c r="BO312" s="27">
        <v>152640000</v>
      </c>
      <c r="BP312" s="27">
        <v>0</v>
      </c>
      <c r="BQ312" s="27">
        <v>0</v>
      </c>
      <c r="BR312" s="27">
        <f t="shared" ref="BR312:BS312" si="1123">+BN312+BP312</f>
        <v>280000000</v>
      </c>
      <c r="BS312" s="27">
        <f t="shared" si="1123"/>
        <v>152640000</v>
      </c>
      <c r="BT312" s="20">
        <f t="shared" si="919"/>
        <v>0.54514285714285715</v>
      </c>
      <c r="BU312" s="27">
        <v>180000000</v>
      </c>
      <c r="BV312" s="27">
        <v>280500000</v>
      </c>
      <c r="BW312" s="27">
        <v>278608000</v>
      </c>
      <c r="BX312" s="27">
        <v>216944441</v>
      </c>
      <c r="BY312" s="28">
        <f t="shared" si="1062"/>
        <v>0.99325490196078436</v>
      </c>
      <c r="BZ312" s="27">
        <v>150000000</v>
      </c>
      <c r="CA312" s="20">
        <v>155000000</v>
      </c>
      <c r="CB312" s="29">
        <v>160000000</v>
      </c>
      <c r="CC312" s="29">
        <v>165000000</v>
      </c>
      <c r="CD312" s="29">
        <v>630000000</v>
      </c>
    </row>
    <row r="313" spans="1:82" ht="51.75" customHeight="1">
      <c r="A313" s="12" t="s">
        <v>1466</v>
      </c>
      <c r="B313" s="13">
        <v>8.4000000000000005E-2</v>
      </c>
      <c r="C313" s="12"/>
      <c r="D313" s="14">
        <v>45</v>
      </c>
      <c r="E313" s="14">
        <v>4599</v>
      </c>
      <c r="F313" s="14">
        <v>33</v>
      </c>
      <c r="G313" s="14" t="s">
        <v>1467</v>
      </c>
      <c r="H313" s="14">
        <v>1000</v>
      </c>
      <c r="I313" s="14">
        <v>33.299999999999997</v>
      </c>
      <c r="J313" s="14" t="s">
        <v>1507</v>
      </c>
      <c r="K313" s="14" t="s">
        <v>1508</v>
      </c>
      <c r="L313" s="14" t="s">
        <v>1509</v>
      </c>
      <c r="M313" s="14" t="s">
        <v>1510</v>
      </c>
      <c r="N313" s="14" t="s">
        <v>1511</v>
      </c>
      <c r="O313" s="14">
        <v>4599007</v>
      </c>
      <c r="P313" s="17">
        <v>2024257990042</v>
      </c>
      <c r="Q313" s="14" t="s">
        <v>1473</v>
      </c>
      <c r="R313" s="18">
        <v>312</v>
      </c>
      <c r="S313" s="14" t="s">
        <v>1512</v>
      </c>
      <c r="T313" s="14">
        <v>4</v>
      </c>
      <c r="U313" s="14" t="s">
        <v>88</v>
      </c>
      <c r="V313" s="14" t="s">
        <v>89</v>
      </c>
      <c r="W313" s="14" t="s">
        <v>1513</v>
      </c>
      <c r="X313" s="14" t="s">
        <v>1476</v>
      </c>
      <c r="Y313" s="29"/>
      <c r="Z313" s="14">
        <f>SUM(AF313:AI313)</f>
        <v>4</v>
      </c>
      <c r="AA313" s="20">
        <f t="shared" si="913"/>
        <v>0.15</v>
      </c>
      <c r="AB313" s="20">
        <f t="shared" si="914"/>
        <v>0.22500000000000001</v>
      </c>
      <c r="AC313" s="21"/>
      <c r="AD313" s="21"/>
      <c r="AE313" s="21">
        <f t="shared" si="915"/>
        <v>0.10125000000000001</v>
      </c>
      <c r="AF313" s="14">
        <v>1</v>
      </c>
      <c r="AG313" s="14">
        <v>1</v>
      </c>
      <c r="AH313" s="14">
        <v>1</v>
      </c>
      <c r="AI313" s="14">
        <v>1</v>
      </c>
      <c r="AJ313" s="26"/>
      <c r="AK313" s="26"/>
      <c r="AL313" s="26"/>
      <c r="AM313" s="26"/>
      <c r="AN313" s="26">
        <v>0.3</v>
      </c>
      <c r="AO313" s="26">
        <v>0.3</v>
      </c>
      <c r="AP313" s="26">
        <v>0.7</v>
      </c>
      <c r="AQ313" s="26">
        <v>0.3</v>
      </c>
      <c r="AR313" s="22">
        <f t="shared" ref="AR313:AS313" si="1124">(AJ313+AL313+AN313+AP313)</f>
        <v>1</v>
      </c>
      <c r="AS313" s="22">
        <f t="shared" si="1124"/>
        <v>0.6</v>
      </c>
      <c r="AT313" s="22">
        <f t="shared" si="1099"/>
        <v>0.6</v>
      </c>
      <c r="AU313" s="23" t="str">
        <f t="shared" si="1100"/>
        <v>100%</v>
      </c>
      <c r="AV313" s="24">
        <f t="shared" si="808"/>
        <v>0.6</v>
      </c>
      <c r="AW313" s="14" t="s">
        <v>92</v>
      </c>
      <c r="AX313" s="30" t="s">
        <v>1514</v>
      </c>
      <c r="AY313" s="46">
        <v>0.1</v>
      </c>
      <c r="AZ313" s="46">
        <v>0.1</v>
      </c>
      <c r="BA313" s="46">
        <v>0.3</v>
      </c>
      <c r="BB313" s="46">
        <v>0.3</v>
      </c>
      <c r="BC313" s="46">
        <v>0.5</v>
      </c>
      <c r="BD313" s="46">
        <v>0.5</v>
      </c>
      <c r="BE313" s="46">
        <v>0.1</v>
      </c>
      <c r="BF313" s="26"/>
      <c r="BG313" s="22">
        <f t="shared" ref="BG313:BH313" si="1125">(AY313+BA313+BC313+BE313)</f>
        <v>1</v>
      </c>
      <c r="BH313" s="22">
        <f t="shared" si="1125"/>
        <v>0.9</v>
      </c>
      <c r="BI313" s="22">
        <f t="shared" si="1114"/>
        <v>0.9</v>
      </c>
      <c r="BJ313" s="23" t="str">
        <f t="shared" si="1115"/>
        <v>100%</v>
      </c>
      <c r="BK313" s="24">
        <f t="shared" si="1116"/>
        <v>0.9</v>
      </c>
      <c r="BL313" s="22" t="s">
        <v>92</v>
      </c>
      <c r="BM313" s="25" t="s">
        <v>1514</v>
      </c>
      <c r="BN313" s="27">
        <v>275000000</v>
      </c>
      <c r="BO313" s="27">
        <v>66523332</v>
      </c>
      <c r="BP313" s="27">
        <v>48626000</v>
      </c>
      <c r="BQ313" s="27">
        <v>48626000</v>
      </c>
      <c r="BR313" s="27">
        <f t="shared" ref="BR313:BS313" si="1126">+BN313+BP313</f>
        <v>323626000</v>
      </c>
      <c r="BS313" s="27">
        <f t="shared" si="1126"/>
        <v>115149332</v>
      </c>
      <c r="BT313" s="20">
        <f t="shared" si="919"/>
        <v>0.35580989166507015</v>
      </c>
      <c r="BU313" s="27">
        <v>275000000</v>
      </c>
      <c r="BV313" s="27">
        <v>288300000</v>
      </c>
      <c r="BW313" s="27">
        <v>70215108.659999996</v>
      </c>
      <c r="BX313" s="27">
        <v>47436666</v>
      </c>
      <c r="BY313" s="28">
        <f t="shared" si="1062"/>
        <v>0.24354876399583766</v>
      </c>
      <c r="BZ313" s="27">
        <v>400000000</v>
      </c>
      <c r="CA313" s="20">
        <v>580000000</v>
      </c>
      <c r="CB313" s="26">
        <v>500000000</v>
      </c>
      <c r="CC313" s="26">
        <v>400000000</v>
      </c>
      <c r="CD313" s="26">
        <v>1880000000</v>
      </c>
    </row>
    <row r="314" spans="1:82" ht="51.75" customHeight="1">
      <c r="A314" s="12" t="s">
        <v>1466</v>
      </c>
      <c r="B314" s="13">
        <v>8.4000000000000005E-2</v>
      </c>
      <c r="C314" s="12"/>
      <c r="D314" s="14">
        <v>45</v>
      </c>
      <c r="E314" s="14">
        <v>4599</v>
      </c>
      <c r="F314" s="14">
        <v>33</v>
      </c>
      <c r="G314" s="14" t="s">
        <v>1467</v>
      </c>
      <c r="H314" s="14">
        <v>1000</v>
      </c>
      <c r="I314" s="14">
        <v>33.299999999999997</v>
      </c>
      <c r="J314" s="14" t="s">
        <v>1507</v>
      </c>
      <c r="K314" s="14" t="s">
        <v>1508</v>
      </c>
      <c r="L314" s="14" t="s">
        <v>1509</v>
      </c>
      <c r="M314" s="14" t="s">
        <v>1510</v>
      </c>
      <c r="N314" s="14" t="s">
        <v>1511</v>
      </c>
      <c r="O314" s="14">
        <v>4599037</v>
      </c>
      <c r="P314" s="17">
        <v>2024257990042</v>
      </c>
      <c r="Q314" s="14" t="s">
        <v>1473</v>
      </c>
      <c r="R314" s="18">
        <v>313</v>
      </c>
      <c r="S314" s="14" t="s">
        <v>1515</v>
      </c>
      <c r="T314" s="14">
        <v>0</v>
      </c>
      <c r="U314" s="14" t="s">
        <v>88</v>
      </c>
      <c r="V314" s="14" t="s">
        <v>89</v>
      </c>
      <c r="W314" s="14" t="s">
        <v>1516</v>
      </c>
      <c r="X314" s="14" t="s">
        <v>1476</v>
      </c>
      <c r="Y314" s="29"/>
      <c r="Z314" s="14">
        <f>SUM(AF314:AI314)/3</f>
        <v>1</v>
      </c>
      <c r="AA314" s="20">
        <f t="shared" si="913"/>
        <v>0</v>
      </c>
      <c r="AB314" s="20">
        <f t="shared" si="914"/>
        <v>0.6</v>
      </c>
      <c r="AC314" s="21"/>
      <c r="AD314" s="21"/>
      <c r="AE314" s="21">
        <f t="shared" si="915"/>
        <v>0.21</v>
      </c>
      <c r="AF314" s="14">
        <v>0</v>
      </c>
      <c r="AG314" s="14">
        <v>1</v>
      </c>
      <c r="AH314" s="14">
        <v>1</v>
      </c>
      <c r="AI314" s="14">
        <v>1</v>
      </c>
      <c r="AJ314" s="26"/>
      <c r="AK314" s="26"/>
      <c r="AL314" s="26"/>
      <c r="AM314" s="26"/>
      <c r="AN314" s="34">
        <v>0</v>
      </c>
      <c r="AO314" s="34">
        <v>0</v>
      </c>
      <c r="AP314" s="34">
        <v>0</v>
      </c>
      <c r="AQ314" s="34">
        <v>0</v>
      </c>
      <c r="AR314" s="34">
        <v>0</v>
      </c>
      <c r="AS314" s="34">
        <f>(AK314+AM314+AO314+AQ314)/2</f>
        <v>0</v>
      </c>
      <c r="AT314" s="24">
        <f>IF(AQ314=0, 0, AR314/AQ314)</f>
        <v>0</v>
      </c>
      <c r="AU314" s="23" t="str">
        <f>IF(AR314&gt; 1, IF(AR314 = AS314, "100%", AR314 &amp; "%"), IF(AR314 &lt;= 0.01, "0%", AR314 * 100 &amp; "%"))</f>
        <v>0%</v>
      </c>
      <c r="AV314" s="24">
        <f t="shared" si="808"/>
        <v>0</v>
      </c>
      <c r="AW314" s="26" t="s">
        <v>192</v>
      </c>
      <c r="AX314" s="26"/>
      <c r="AY314" s="46">
        <v>0</v>
      </c>
      <c r="AZ314" s="46">
        <v>0</v>
      </c>
      <c r="BA314" s="46">
        <v>0</v>
      </c>
      <c r="BB314" s="46">
        <v>0</v>
      </c>
      <c r="BC314" s="46">
        <v>0.6</v>
      </c>
      <c r="BD314" s="46">
        <v>0.6</v>
      </c>
      <c r="BE314" s="46">
        <v>0.4</v>
      </c>
      <c r="BF314" s="26"/>
      <c r="BG314" s="22">
        <f t="shared" ref="BG314:BH314" si="1127">(AY314+BA314+BC314+BE314)</f>
        <v>1</v>
      </c>
      <c r="BH314" s="22">
        <f t="shared" si="1127"/>
        <v>0.6</v>
      </c>
      <c r="BI314" s="22">
        <f t="shared" si="1114"/>
        <v>0.6</v>
      </c>
      <c r="BJ314" s="23" t="str">
        <f t="shared" si="1115"/>
        <v>100%</v>
      </c>
      <c r="BK314" s="24">
        <f t="shared" si="1116"/>
        <v>0.6</v>
      </c>
      <c r="BL314" s="22" t="s">
        <v>92</v>
      </c>
      <c r="BM314" s="25" t="s">
        <v>1517</v>
      </c>
      <c r="BN314" s="27">
        <v>200000000</v>
      </c>
      <c r="BO314" s="27">
        <v>0</v>
      </c>
      <c r="BP314" s="27">
        <v>0</v>
      </c>
      <c r="BQ314" s="27">
        <v>0</v>
      </c>
      <c r="BR314" s="27">
        <f t="shared" ref="BR314:BS314" si="1128">+BN314+BP314</f>
        <v>200000000</v>
      </c>
      <c r="BS314" s="27">
        <f t="shared" si="1128"/>
        <v>0</v>
      </c>
      <c r="BT314" s="20">
        <f t="shared" si="919"/>
        <v>0</v>
      </c>
      <c r="BU314" s="27">
        <v>200000000</v>
      </c>
      <c r="BV314" s="27">
        <v>250000000</v>
      </c>
      <c r="BW314" s="27">
        <v>0</v>
      </c>
      <c r="BX314" s="27">
        <v>0</v>
      </c>
      <c r="BY314" s="28">
        <f t="shared" si="1062"/>
        <v>0</v>
      </c>
      <c r="BZ314" s="27">
        <v>150000000</v>
      </c>
      <c r="CA314" s="20">
        <v>550000000</v>
      </c>
      <c r="CB314" s="26">
        <v>150000000</v>
      </c>
      <c r="CC314" s="26">
        <v>150000000</v>
      </c>
      <c r="CD314" s="26">
        <v>1000000000</v>
      </c>
    </row>
    <row r="315" spans="1:82" ht="51.75" customHeight="1">
      <c r="A315" s="12" t="s">
        <v>1466</v>
      </c>
      <c r="B315" s="13">
        <v>8.4000000000000005E-2</v>
      </c>
      <c r="C315" s="12"/>
      <c r="D315" s="14">
        <v>45</v>
      </c>
      <c r="E315" s="14">
        <v>4599</v>
      </c>
      <c r="F315" s="14">
        <v>33</v>
      </c>
      <c r="G315" s="14" t="s">
        <v>1467</v>
      </c>
      <c r="H315" s="14">
        <v>1000</v>
      </c>
      <c r="I315" s="14">
        <v>33.299999999999997</v>
      </c>
      <c r="J315" s="14" t="s">
        <v>1507</v>
      </c>
      <c r="K315" s="14" t="s">
        <v>1508</v>
      </c>
      <c r="L315" s="14" t="s">
        <v>1509</v>
      </c>
      <c r="M315" s="14" t="s">
        <v>1510</v>
      </c>
      <c r="N315" s="14" t="s">
        <v>1511</v>
      </c>
      <c r="O315" s="14">
        <v>4599007</v>
      </c>
      <c r="P315" s="17">
        <v>2024257990042</v>
      </c>
      <c r="Q315" s="14" t="s">
        <v>1473</v>
      </c>
      <c r="R315" s="18">
        <v>314</v>
      </c>
      <c r="S315" s="14" t="s">
        <v>1518</v>
      </c>
      <c r="T315" s="14">
        <v>3</v>
      </c>
      <c r="U315" s="14" t="s">
        <v>88</v>
      </c>
      <c r="V315" s="14" t="s">
        <v>89</v>
      </c>
      <c r="W315" s="14" t="s">
        <v>1519</v>
      </c>
      <c r="X315" s="14" t="s">
        <v>1476</v>
      </c>
      <c r="Y315" s="29"/>
      <c r="Z315" s="18">
        <f>SUM(AF315:AI315)</f>
        <v>4</v>
      </c>
      <c r="AA315" s="20">
        <f t="shared" si="913"/>
        <v>0.25</v>
      </c>
      <c r="AB315" s="20">
        <f t="shared" si="914"/>
        <v>0.20238095238095236</v>
      </c>
      <c r="AC315" s="21"/>
      <c r="AD315" s="21"/>
      <c r="AE315" s="21">
        <f t="shared" si="915"/>
        <v>0.10833333333333331</v>
      </c>
      <c r="AF315" s="29">
        <v>1</v>
      </c>
      <c r="AG315" s="29">
        <v>1</v>
      </c>
      <c r="AH315" s="29">
        <v>1</v>
      </c>
      <c r="AI315" s="29">
        <v>1</v>
      </c>
      <c r="AJ315" s="26"/>
      <c r="AK315" s="26"/>
      <c r="AL315" s="26"/>
      <c r="AM315" s="26"/>
      <c r="AN315" s="26">
        <v>0.3</v>
      </c>
      <c r="AO315" s="26">
        <v>0.3</v>
      </c>
      <c r="AP315" s="26">
        <v>0.7</v>
      </c>
      <c r="AQ315" s="26">
        <v>0.7</v>
      </c>
      <c r="AR315" s="22">
        <f t="shared" ref="AR315:AS315" si="1129">(AJ315+AL315+AN315+AP315)</f>
        <v>1</v>
      </c>
      <c r="AS315" s="22">
        <f t="shared" si="1129"/>
        <v>1</v>
      </c>
      <c r="AT315" s="22">
        <f t="shared" ref="AT315:AT318" si="1130">AS315/AR315</f>
        <v>1</v>
      </c>
      <c r="AU315" s="23" t="str">
        <f t="shared" ref="AU315:AU318" si="1131">MIN((AR315 /AR315) * 100, 100) &amp; "%"</f>
        <v>100%</v>
      </c>
      <c r="AV315" s="24">
        <f t="shared" si="808"/>
        <v>1</v>
      </c>
      <c r="AW315" s="14" t="s">
        <v>92</v>
      </c>
      <c r="AX315" s="30" t="s">
        <v>1520</v>
      </c>
      <c r="AY315" s="46">
        <v>0.05</v>
      </c>
      <c r="AZ315" s="46">
        <v>0.05</v>
      </c>
      <c r="BA315" s="46">
        <v>0.3</v>
      </c>
      <c r="BB315" s="46">
        <v>0.3</v>
      </c>
      <c r="BC315" s="46">
        <v>0.5</v>
      </c>
      <c r="BD315" s="46">
        <v>0.5</v>
      </c>
      <c r="BE315" s="46">
        <v>0.2</v>
      </c>
      <c r="BF315" s="26"/>
      <c r="BG315" s="22">
        <f t="shared" ref="BG315:BH315" si="1132">(AY315+BA315+BC315+BE315)</f>
        <v>1.05</v>
      </c>
      <c r="BH315" s="22">
        <f t="shared" si="1132"/>
        <v>0.85</v>
      </c>
      <c r="BI315" s="22">
        <f t="shared" si="1114"/>
        <v>0.80952380952380942</v>
      </c>
      <c r="BJ315" s="23" t="str">
        <f t="shared" si="1115"/>
        <v>100%</v>
      </c>
      <c r="BK315" s="24">
        <f t="shared" si="1116"/>
        <v>0.80952380952380942</v>
      </c>
      <c r="BL315" s="22" t="s">
        <v>92</v>
      </c>
      <c r="BM315" s="25" t="s">
        <v>1520</v>
      </c>
      <c r="BN315" s="27">
        <v>450000000</v>
      </c>
      <c r="BO315" s="27">
        <v>82543999</v>
      </c>
      <c r="BP315" s="27">
        <v>277949153</v>
      </c>
      <c r="BQ315" s="27">
        <v>277949153</v>
      </c>
      <c r="BR315" s="27">
        <f t="shared" ref="BR315:BS315" si="1133">+BN315+BP315</f>
        <v>727949153</v>
      </c>
      <c r="BS315" s="27">
        <f t="shared" si="1133"/>
        <v>360493152</v>
      </c>
      <c r="BT315" s="20">
        <f t="shared" si="919"/>
        <v>0.49521748945561311</v>
      </c>
      <c r="BU315" s="27">
        <v>450000000</v>
      </c>
      <c r="BV315" s="27">
        <v>450000000</v>
      </c>
      <c r="BW315" s="27">
        <v>202631434</v>
      </c>
      <c r="BX315" s="27">
        <v>91753063</v>
      </c>
      <c r="BY315" s="28">
        <f t="shared" si="1062"/>
        <v>0.45029207555555556</v>
      </c>
      <c r="BZ315" s="27">
        <v>300000000</v>
      </c>
      <c r="CA315" s="20">
        <v>615000000</v>
      </c>
      <c r="CB315" s="26">
        <v>300000000</v>
      </c>
      <c r="CC315" s="26">
        <v>300000000</v>
      </c>
      <c r="CD315" s="26">
        <v>1515000000</v>
      </c>
    </row>
    <row r="316" spans="1:82" ht="51.75" customHeight="1">
      <c r="A316" s="12" t="s">
        <v>1466</v>
      </c>
      <c r="B316" s="13">
        <v>8.4000000000000005E-2</v>
      </c>
      <c r="C316" s="12"/>
      <c r="D316" s="14">
        <v>45</v>
      </c>
      <c r="E316" s="14">
        <v>4599</v>
      </c>
      <c r="F316" s="14">
        <v>33</v>
      </c>
      <c r="G316" s="14" t="s">
        <v>1467</v>
      </c>
      <c r="H316" s="14">
        <v>1000</v>
      </c>
      <c r="I316" s="14">
        <v>33.299999999999997</v>
      </c>
      <c r="J316" s="14" t="s">
        <v>1507</v>
      </c>
      <c r="K316" s="14" t="s">
        <v>1508</v>
      </c>
      <c r="L316" s="14" t="s">
        <v>1509</v>
      </c>
      <c r="M316" s="14" t="s">
        <v>1510</v>
      </c>
      <c r="N316" s="14" t="s">
        <v>1511</v>
      </c>
      <c r="O316" s="14">
        <v>4599023</v>
      </c>
      <c r="P316" s="17">
        <v>2024257990042</v>
      </c>
      <c r="Q316" s="14" t="s">
        <v>1473</v>
      </c>
      <c r="R316" s="18">
        <v>315</v>
      </c>
      <c r="S316" s="14" t="s">
        <v>1521</v>
      </c>
      <c r="T316" s="14" t="s">
        <v>1522</v>
      </c>
      <c r="U316" s="14" t="s">
        <v>88</v>
      </c>
      <c r="V316" s="14" t="s">
        <v>89</v>
      </c>
      <c r="W316" s="14" t="s">
        <v>1523</v>
      </c>
      <c r="X316" s="14" t="s">
        <v>1476</v>
      </c>
      <c r="Y316" s="29"/>
      <c r="Z316" s="14">
        <f>SUM(AF316:AI316)/4</f>
        <v>1</v>
      </c>
      <c r="AA316" s="20">
        <f t="shared" si="913"/>
        <v>0.79999999999999993</v>
      </c>
      <c r="AB316" s="20">
        <f t="shared" si="914"/>
        <v>1</v>
      </c>
      <c r="AC316" s="21"/>
      <c r="AD316" s="21"/>
      <c r="AE316" s="21">
        <f t="shared" si="915"/>
        <v>0.47</v>
      </c>
      <c r="AF316" s="29">
        <v>1</v>
      </c>
      <c r="AG316" s="29">
        <v>1</v>
      </c>
      <c r="AH316" s="29">
        <v>1</v>
      </c>
      <c r="AI316" s="29">
        <v>1</v>
      </c>
      <c r="AJ316" s="26"/>
      <c r="AK316" s="26"/>
      <c r="AL316" s="26"/>
      <c r="AM316" s="26"/>
      <c r="AN316" s="26">
        <v>0.7</v>
      </c>
      <c r="AO316" s="26">
        <v>0.7</v>
      </c>
      <c r="AP316" s="26">
        <v>0.3</v>
      </c>
      <c r="AQ316" s="26">
        <v>0.1</v>
      </c>
      <c r="AR316" s="22">
        <f t="shared" ref="AR316:AS316" si="1134">(AJ316+AL316+AN316+AP316)</f>
        <v>1</v>
      </c>
      <c r="AS316" s="22">
        <f t="shared" si="1134"/>
        <v>0.79999999999999993</v>
      </c>
      <c r="AT316" s="22">
        <f t="shared" si="1130"/>
        <v>0.79999999999999993</v>
      </c>
      <c r="AU316" s="23" t="str">
        <f t="shared" si="1131"/>
        <v>100%</v>
      </c>
      <c r="AV316" s="24">
        <f t="shared" si="808"/>
        <v>0.79999999999999993</v>
      </c>
      <c r="AW316" s="14" t="s">
        <v>92</v>
      </c>
      <c r="AX316" s="30" t="s">
        <v>1524</v>
      </c>
      <c r="AY316" s="46">
        <v>0.15</v>
      </c>
      <c r="AZ316" s="46">
        <v>0.15</v>
      </c>
      <c r="BA316" s="46">
        <v>0.3</v>
      </c>
      <c r="BB316" s="46">
        <v>0.3</v>
      </c>
      <c r="BC316" s="46">
        <v>0.55000000000000004</v>
      </c>
      <c r="BD316" s="46">
        <v>0.55000000000000004</v>
      </c>
      <c r="BE316" s="46">
        <v>0</v>
      </c>
      <c r="BF316" s="26"/>
      <c r="BG316" s="22">
        <f t="shared" ref="BG316:BH316" si="1135">(AY316+BA316+BC316+BE316)</f>
        <v>1</v>
      </c>
      <c r="BH316" s="22">
        <f t="shared" si="1135"/>
        <v>1</v>
      </c>
      <c r="BI316" s="22">
        <f t="shared" si="1114"/>
        <v>1</v>
      </c>
      <c r="BJ316" s="23" t="str">
        <f t="shared" si="1115"/>
        <v>100%</v>
      </c>
      <c r="BK316" s="24">
        <f t="shared" si="1116"/>
        <v>1</v>
      </c>
      <c r="BL316" s="22" t="s">
        <v>92</v>
      </c>
      <c r="BM316" s="25" t="s">
        <v>1524</v>
      </c>
      <c r="BN316" s="27">
        <v>150000000</v>
      </c>
      <c r="BO316" s="27">
        <v>96433333</v>
      </c>
      <c r="BP316" s="27">
        <v>82371026</v>
      </c>
      <c r="BQ316" s="27">
        <v>82371026</v>
      </c>
      <c r="BR316" s="27">
        <f t="shared" ref="BR316:BS316" si="1136">+BN316+BP316</f>
        <v>232371026</v>
      </c>
      <c r="BS316" s="27">
        <f t="shared" si="1136"/>
        <v>178804359</v>
      </c>
      <c r="BT316" s="20">
        <f t="shared" si="919"/>
        <v>0.76947785650350398</v>
      </c>
      <c r="BU316" s="27">
        <v>150000000</v>
      </c>
      <c r="BV316" s="27">
        <v>135428333</v>
      </c>
      <c r="BW316" s="27">
        <v>135428333</v>
      </c>
      <c r="BX316" s="27">
        <v>107916666</v>
      </c>
      <c r="BY316" s="28">
        <f t="shared" si="1062"/>
        <v>1</v>
      </c>
      <c r="BZ316" s="27">
        <v>90000000</v>
      </c>
      <c r="CA316" s="20">
        <v>150000000</v>
      </c>
      <c r="CB316" s="26">
        <v>90000000</v>
      </c>
      <c r="CC316" s="26">
        <v>90000000</v>
      </c>
      <c r="CD316" s="26">
        <v>420000000</v>
      </c>
    </row>
    <row r="317" spans="1:82" ht="51.75" customHeight="1">
      <c r="A317" s="12" t="s">
        <v>1466</v>
      </c>
      <c r="B317" s="13">
        <v>8.4000000000000005E-2</v>
      </c>
      <c r="C317" s="12"/>
      <c r="D317" s="14">
        <v>45</v>
      </c>
      <c r="E317" s="14">
        <v>4599</v>
      </c>
      <c r="F317" s="14">
        <v>33</v>
      </c>
      <c r="G317" s="14" t="s">
        <v>1467</v>
      </c>
      <c r="H317" s="14">
        <v>1000</v>
      </c>
      <c r="I317" s="14">
        <v>33.4</v>
      </c>
      <c r="J317" s="14" t="s">
        <v>1525</v>
      </c>
      <c r="K317" s="14" t="s">
        <v>1526</v>
      </c>
      <c r="L317" s="14" t="s">
        <v>1527</v>
      </c>
      <c r="M317" s="14" t="s">
        <v>1528</v>
      </c>
      <c r="N317" s="14" t="s">
        <v>1529</v>
      </c>
      <c r="O317" s="14">
        <v>4599023</v>
      </c>
      <c r="P317" s="17">
        <v>2024257990042</v>
      </c>
      <c r="Q317" s="14" t="s">
        <v>1473</v>
      </c>
      <c r="R317" s="18">
        <v>316</v>
      </c>
      <c r="S317" s="14" t="s">
        <v>1530</v>
      </c>
      <c r="T317" s="14" t="s">
        <v>1531</v>
      </c>
      <c r="U317" s="14" t="s">
        <v>1532</v>
      </c>
      <c r="V317" s="14" t="s">
        <v>89</v>
      </c>
      <c r="W317" s="14" t="s">
        <v>1533</v>
      </c>
      <c r="X317" s="14" t="s">
        <v>1476</v>
      </c>
      <c r="Y317" s="29"/>
      <c r="Z317" s="72">
        <f>SUM(AI317)</f>
        <v>81.2</v>
      </c>
      <c r="AA317" s="20">
        <f t="shared" si="913"/>
        <v>0.9076354679802956</v>
      </c>
      <c r="AB317" s="20">
        <f t="shared" si="914"/>
        <v>1.231527093596059E-2</v>
      </c>
      <c r="AC317" s="21"/>
      <c r="AD317" s="21"/>
      <c r="AE317" s="21">
        <f t="shared" si="915"/>
        <v>0.14045566502463055</v>
      </c>
      <c r="AF317" s="33">
        <v>74</v>
      </c>
      <c r="AG317" s="33">
        <v>76.7</v>
      </c>
      <c r="AH317" s="33">
        <v>79</v>
      </c>
      <c r="AI317" s="33">
        <v>81.2</v>
      </c>
      <c r="AJ317" s="26"/>
      <c r="AK317" s="26"/>
      <c r="AL317" s="26"/>
      <c r="AM317" s="26"/>
      <c r="AN317" s="26">
        <v>74</v>
      </c>
      <c r="AO317" s="26">
        <v>73.7</v>
      </c>
      <c r="AP317" s="26">
        <v>0.3</v>
      </c>
      <c r="AQ317" s="26">
        <v>0</v>
      </c>
      <c r="AR317" s="22">
        <f t="shared" ref="AR317:AS317" si="1137">(AJ317+AL317+AN317+AP317)</f>
        <v>74.3</v>
      </c>
      <c r="AS317" s="22">
        <f t="shared" si="1137"/>
        <v>73.7</v>
      </c>
      <c r="AT317" s="22">
        <f t="shared" si="1130"/>
        <v>0.99192462987886953</v>
      </c>
      <c r="AU317" s="23" t="str">
        <f t="shared" si="1131"/>
        <v>100%</v>
      </c>
      <c r="AV317" s="24">
        <f t="shared" si="808"/>
        <v>0.99192462987886953</v>
      </c>
      <c r="AW317" s="14" t="s">
        <v>92</v>
      </c>
      <c r="AX317" s="30" t="s">
        <v>1534</v>
      </c>
      <c r="AY317" s="26">
        <v>0.7</v>
      </c>
      <c r="AZ317" s="26">
        <v>0.7</v>
      </c>
      <c r="BA317" s="26">
        <v>76</v>
      </c>
      <c r="BB317" s="26">
        <v>76</v>
      </c>
      <c r="BC317" s="26">
        <v>0</v>
      </c>
      <c r="BD317" s="26">
        <v>0</v>
      </c>
      <c r="BE317" s="26">
        <v>0</v>
      </c>
      <c r="BF317" s="26"/>
      <c r="BG317" s="22">
        <f t="shared" ref="BG317:BH317" si="1138">(AY317+BA317+BC317+BE317)</f>
        <v>76.7</v>
      </c>
      <c r="BH317" s="22">
        <f t="shared" si="1138"/>
        <v>76.7</v>
      </c>
      <c r="BI317" s="22">
        <f t="shared" si="1114"/>
        <v>1</v>
      </c>
      <c r="BJ317" s="23" t="str">
        <f t="shared" si="1115"/>
        <v>100%</v>
      </c>
      <c r="BK317" s="24">
        <f t="shared" si="1116"/>
        <v>1</v>
      </c>
      <c r="BL317" s="22" t="s">
        <v>92</v>
      </c>
      <c r="BM317" s="25" t="s">
        <v>1534</v>
      </c>
      <c r="BN317" s="27">
        <v>150000000</v>
      </c>
      <c r="BO317" s="27">
        <v>88206667</v>
      </c>
      <c r="BP317" s="27">
        <v>88334967</v>
      </c>
      <c r="BQ317" s="27">
        <v>88334967</v>
      </c>
      <c r="BR317" s="27">
        <f t="shared" ref="BR317:BS317" si="1139">+BN317+BP317</f>
        <v>238334967</v>
      </c>
      <c r="BS317" s="27">
        <f t="shared" si="1139"/>
        <v>176541634</v>
      </c>
      <c r="BT317" s="20">
        <f t="shared" si="919"/>
        <v>0.74072905131037692</v>
      </c>
      <c r="BU317" s="27">
        <v>150000000</v>
      </c>
      <c r="BV317" s="27">
        <v>145000000</v>
      </c>
      <c r="BW317" s="27">
        <v>144423024</v>
      </c>
      <c r="BX317" s="27">
        <v>67723333</v>
      </c>
      <c r="BY317" s="28">
        <f t="shared" si="1062"/>
        <v>0.99602085517241379</v>
      </c>
      <c r="BZ317" s="27">
        <v>150000000</v>
      </c>
      <c r="CA317" s="20">
        <v>180000000</v>
      </c>
      <c r="CB317" s="26">
        <v>200000000</v>
      </c>
      <c r="CC317" s="26">
        <v>150000000</v>
      </c>
      <c r="CD317" s="26">
        <v>680000000</v>
      </c>
    </row>
    <row r="318" spans="1:82" ht="51.75" customHeight="1">
      <c r="A318" s="12" t="s">
        <v>1466</v>
      </c>
      <c r="B318" s="13">
        <v>8.4000000000000005E-2</v>
      </c>
      <c r="C318" s="12"/>
      <c r="D318" s="14">
        <v>45</v>
      </c>
      <c r="E318" s="14">
        <v>4599</v>
      </c>
      <c r="F318" s="14">
        <v>33</v>
      </c>
      <c r="G318" s="14" t="s">
        <v>1467</v>
      </c>
      <c r="H318" s="14">
        <v>1000</v>
      </c>
      <c r="I318" s="14">
        <v>33.4</v>
      </c>
      <c r="J318" s="14" t="s">
        <v>1525</v>
      </c>
      <c r="K318" s="14" t="s">
        <v>1526</v>
      </c>
      <c r="L318" s="14" t="s">
        <v>1527</v>
      </c>
      <c r="M318" s="14" t="s">
        <v>1528</v>
      </c>
      <c r="N318" s="14" t="s">
        <v>1529</v>
      </c>
      <c r="O318" s="14">
        <v>4599016</v>
      </c>
      <c r="P318" s="17">
        <v>2024257990042</v>
      </c>
      <c r="Q318" s="14" t="s">
        <v>1473</v>
      </c>
      <c r="R318" s="18">
        <v>317</v>
      </c>
      <c r="S318" s="14" t="s">
        <v>1535</v>
      </c>
      <c r="T318" s="14">
        <v>4</v>
      </c>
      <c r="U318" s="14" t="s">
        <v>88</v>
      </c>
      <c r="V318" s="14" t="s">
        <v>114</v>
      </c>
      <c r="W318" s="14" t="s">
        <v>1536</v>
      </c>
      <c r="X318" s="14" t="s">
        <v>1476</v>
      </c>
      <c r="Y318" s="29" t="s">
        <v>124</v>
      </c>
      <c r="Z318" s="18">
        <f t="shared" ref="Z318:Z319" si="1140">SUM(AF318:AI318)</f>
        <v>4</v>
      </c>
      <c r="AA318" s="20">
        <f t="shared" si="913"/>
        <v>0.19499999999999998</v>
      </c>
      <c r="AB318" s="20">
        <f t="shared" si="914"/>
        <v>0.22500000000000001</v>
      </c>
      <c r="AC318" s="21"/>
      <c r="AD318" s="21"/>
      <c r="AE318" s="21">
        <f t="shared" si="915"/>
        <v>0.108</v>
      </c>
      <c r="AF318" s="29">
        <v>1</v>
      </c>
      <c r="AG318" s="29">
        <v>1</v>
      </c>
      <c r="AH318" s="29">
        <v>1</v>
      </c>
      <c r="AI318" s="29">
        <v>1</v>
      </c>
      <c r="AJ318" s="26"/>
      <c r="AK318" s="26"/>
      <c r="AL318" s="26"/>
      <c r="AM318" s="26"/>
      <c r="AN318" s="26">
        <v>0.7</v>
      </c>
      <c r="AO318" s="26">
        <v>0.7</v>
      </c>
      <c r="AP318" s="26">
        <v>0.3</v>
      </c>
      <c r="AQ318" s="26">
        <v>0.08</v>
      </c>
      <c r="AR318" s="22">
        <f t="shared" ref="AR318:AS318" si="1141">(AJ318+AL318+AN318+AP318)</f>
        <v>1</v>
      </c>
      <c r="AS318" s="22">
        <f t="shared" si="1141"/>
        <v>0.77999999999999992</v>
      </c>
      <c r="AT318" s="22">
        <f t="shared" si="1130"/>
        <v>0.77999999999999992</v>
      </c>
      <c r="AU318" s="23" t="str">
        <f t="shared" si="1131"/>
        <v>100%</v>
      </c>
      <c r="AV318" s="24">
        <f t="shared" si="808"/>
        <v>0.77999999999999992</v>
      </c>
      <c r="AW318" s="14" t="s">
        <v>92</v>
      </c>
      <c r="AX318" s="30" t="s">
        <v>1537</v>
      </c>
      <c r="AY318" s="46">
        <v>0.1</v>
      </c>
      <c r="AZ318" s="46">
        <v>0.1</v>
      </c>
      <c r="BA318" s="46">
        <v>0.3</v>
      </c>
      <c r="BB318" s="46">
        <v>0.3</v>
      </c>
      <c r="BC318" s="46">
        <v>0.4</v>
      </c>
      <c r="BD318" s="46">
        <v>0.5</v>
      </c>
      <c r="BE318" s="46">
        <v>0.2</v>
      </c>
      <c r="BF318" s="26"/>
      <c r="BG318" s="22">
        <f t="shared" ref="BG318:BH318" si="1142">(AY318+BA318+BC318+BE318)</f>
        <v>1</v>
      </c>
      <c r="BH318" s="22">
        <f t="shared" si="1142"/>
        <v>0.9</v>
      </c>
      <c r="BI318" s="22">
        <f t="shared" si="1114"/>
        <v>0.9</v>
      </c>
      <c r="BJ318" s="23" t="str">
        <f t="shared" si="1115"/>
        <v>100%</v>
      </c>
      <c r="BK318" s="24">
        <f t="shared" si="1116"/>
        <v>0.9</v>
      </c>
      <c r="BL318" s="22" t="s">
        <v>92</v>
      </c>
      <c r="BM318" s="25" t="s">
        <v>1537</v>
      </c>
      <c r="BN318" s="27">
        <v>72000000</v>
      </c>
      <c r="BO318" s="27">
        <v>36213333</v>
      </c>
      <c r="BP318" s="27">
        <v>35042000</v>
      </c>
      <c r="BQ318" s="27">
        <v>35042000</v>
      </c>
      <c r="BR318" s="27">
        <f t="shared" ref="BR318:BS318" si="1143">+BN318+BP318</f>
        <v>107042000</v>
      </c>
      <c r="BS318" s="27">
        <f t="shared" si="1143"/>
        <v>71255333</v>
      </c>
      <c r="BT318" s="20">
        <f t="shared" si="919"/>
        <v>0.66567639804936385</v>
      </c>
      <c r="BU318" s="27">
        <v>72000000</v>
      </c>
      <c r="BV318" s="27">
        <v>36213333</v>
      </c>
      <c r="BW318" s="27">
        <v>36213333</v>
      </c>
      <c r="BX318" s="27">
        <v>21000000</v>
      </c>
      <c r="BY318" s="28">
        <f t="shared" si="1062"/>
        <v>1</v>
      </c>
      <c r="BZ318" s="27">
        <v>70000000</v>
      </c>
      <c r="CA318" s="20">
        <v>70000000</v>
      </c>
      <c r="CB318" s="26">
        <v>70000000</v>
      </c>
      <c r="CC318" s="26">
        <v>70000000</v>
      </c>
      <c r="CD318" s="26">
        <v>280000000</v>
      </c>
    </row>
    <row r="319" spans="1:82" ht="51.75" customHeight="1">
      <c r="A319" s="12" t="s">
        <v>1466</v>
      </c>
      <c r="B319" s="13">
        <v>8.4000000000000005E-2</v>
      </c>
      <c r="C319" s="12"/>
      <c r="D319" s="14">
        <v>45</v>
      </c>
      <c r="E319" s="14">
        <v>4599</v>
      </c>
      <c r="F319" s="14">
        <v>33</v>
      </c>
      <c r="G319" s="14" t="s">
        <v>1467</v>
      </c>
      <c r="H319" s="14">
        <v>1000</v>
      </c>
      <c r="I319" s="14">
        <v>33.4</v>
      </c>
      <c r="J319" s="14" t="s">
        <v>1525</v>
      </c>
      <c r="K319" s="14" t="s">
        <v>1526</v>
      </c>
      <c r="L319" s="14" t="s">
        <v>1527</v>
      </c>
      <c r="M319" s="14" t="s">
        <v>1528</v>
      </c>
      <c r="N319" s="14" t="s">
        <v>1529</v>
      </c>
      <c r="O319" s="14">
        <v>4599005</v>
      </c>
      <c r="P319" s="17">
        <v>2024257990042</v>
      </c>
      <c r="Q319" s="14" t="s">
        <v>1473</v>
      </c>
      <c r="R319" s="18">
        <v>318</v>
      </c>
      <c r="S319" s="14" t="s">
        <v>1538</v>
      </c>
      <c r="T319" s="14" t="s">
        <v>1522</v>
      </c>
      <c r="U319" s="14" t="s">
        <v>88</v>
      </c>
      <c r="V319" s="14" t="s">
        <v>89</v>
      </c>
      <c r="W319" s="14" t="s">
        <v>1539</v>
      </c>
      <c r="X319" s="14" t="s">
        <v>1476</v>
      </c>
      <c r="Y319" s="29"/>
      <c r="Z319" s="18">
        <f t="shared" si="1140"/>
        <v>1</v>
      </c>
      <c r="AA319" s="20">
        <f t="shared" si="913"/>
        <v>0</v>
      </c>
      <c r="AB319" s="20">
        <f t="shared" si="914"/>
        <v>1</v>
      </c>
      <c r="AC319" s="21"/>
      <c r="AD319" s="21"/>
      <c r="AE319" s="21">
        <f t="shared" si="915"/>
        <v>0.35</v>
      </c>
      <c r="AF319" s="29">
        <v>0</v>
      </c>
      <c r="AG319" s="33">
        <v>0.3</v>
      </c>
      <c r="AH319" s="33">
        <v>0.7</v>
      </c>
      <c r="AI319" s="29">
        <v>0</v>
      </c>
      <c r="AJ319" s="26"/>
      <c r="AK319" s="26"/>
      <c r="AL319" s="26"/>
      <c r="AM319" s="26"/>
      <c r="AN319" s="34">
        <v>0</v>
      </c>
      <c r="AO319" s="34">
        <v>0</v>
      </c>
      <c r="AP319" s="34">
        <v>0</v>
      </c>
      <c r="AQ319" s="34">
        <v>0</v>
      </c>
      <c r="AR319" s="34">
        <v>0</v>
      </c>
      <c r="AS319" s="34">
        <f>(AK319+AM319+AO319+AQ319)/2</f>
        <v>0</v>
      </c>
      <c r="AT319" s="24">
        <f>IF(AQ319=0, 0, AR319/AQ319)</f>
        <v>0</v>
      </c>
      <c r="AU319" s="23" t="str">
        <f>IF(AR319&gt; 1, IF(AR319 = AS319, "100%", AR319 &amp; "%"), IF(AR319 &lt;= 0.01, "0%", AR319 * 100 &amp; "%"))</f>
        <v>0%</v>
      </c>
      <c r="AV319" s="24">
        <f t="shared" si="808"/>
        <v>0</v>
      </c>
      <c r="AW319" s="26" t="s">
        <v>192</v>
      </c>
      <c r="AX319" s="30" t="s">
        <v>1540</v>
      </c>
      <c r="AY319" s="46">
        <v>0.1</v>
      </c>
      <c r="AZ319" s="46">
        <v>0.1</v>
      </c>
      <c r="BA319" s="14">
        <v>0.1</v>
      </c>
      <c r="BB319" s="14">
        <v>0.1</v>
      </c>
      <c r="BC319" s="14">
        <v>0.8</v>
      </c>
      <c r="BD319" s="14">
        <v>0.8</v>
      </c>
      <c r="BE319" s="14">
        <v>0</v>
      </c>
      <c r="BF319" s="26"/>
      <c r="BG319" s="22">
        <f t="shared" ref="BG319:BH319" si="1144">(AY319+BA319+BC319+BE319)</f>
        <v>1</v>
      </c>
      <c r="BH319" s="22">
        <f t="shared" si="1144"/>
        <v>1</v>
      </c>
      <c r="BI319" s="22">
        <f t="shared" si="1114"/>
        <v>1</v>
      </c>
      <c r="BJ319" s="23" t="str">
        <f t="shared" si="1115"/>
        <v>100%</v>
      </c>
      <c r="BK319" s="24">
        <f t="shared" si="1116"/>
        <v>1</v>
      </c>
      <c r="BL319" s="22" t="s">
        <v>92</v>
      </c>
      <c r="BM319" s="25" t="s">
        <v>1540</v>
      </c>
      <c r="BN319" s="27">
        <v>40000000</v>
      </c>
      <c r="BO319" s="27">
        <v>8700000</v>
      </c>
      <c r="BP319" s="27">
        <v>0</v>
      </c>
      <c r="BQ319" s="27">
        <v>0</v>
      </c>
      <c r="BR319" s="27">
        <f t="shared" ref="BR319:BS319" si="1145">+BN319+BP319</f>
        <v>40000000</v>
      </c>
      <c r="BS319" s="27">
        <f t="shared" si="1145"/>
        <v>8700000</v>
      </c>
      <c r="BT319" s="20">
        <f t="shared" si="919"/>
        <v>0.2175</v>
      </c>
      <c r="BU319" s="27">
        <v>40000000</v>
      </c>
      <c r="BV319" s="27">
        <v>40000000</v>
      </c>
      <c r="BW319" s="27">
        <v>8700000</v>
      </c>
      <c r="BX319" s="27">
        <v>6075000</v>
      </c>
      <c r="BY319" s="28">
        <f t="shared" si="1062"/>
        <v>0.2175</v>
      </c>
      <c r="BZ319" s="27">
        <v>0</v>
      </c>
      <c r="CA319" s="20">
        <v>180000000</v>
      </c>
      <c r="CB319" s="26">
        <v>190000000</v>
      </c>
      <c r="CC319" s="26">
        <v>200000000</v>
      </c>
      <c r="CD319" s="26">
        <v>570000000</v>
      </c>
    </row>
    <row r="320" spans="1:82" ht="51.75" customHeight="1">
      <c r="A320" s="12" t="s">
        <v>1466</v>
      </c>
      <c r="B320" s="13">
        <v>8.4000000000000005E-2</v>
      </c>
      <c r="C320" s="12"/>
      <c r="D320" s="14">
        <v>45</v>
      </c>
      <c r="E320" s="14">
        <v>4599</v>
      </c>
      <c r="F320" s="14">
        <v>33</v>
      </c>
      <c r="G320" s="14" t="s">
        <v>1467</v>
      </c>
      <c r="H320" s="14">
        <v>1000</v>
      </c>
      <c r="I320" s="14">
        <v>33.4</v>
      </c>
      <c r="J320" s="14" t="s">
        <v>1525</v>
      </c>
      <c r="K320" s="14" t="s">
        <v>1526</v>
      </c>
      <c r="L320" s="14" t="s">
        <v>1527</v>
      </c>
      <c r="M320" s="14" t="s">
        <v>1528</v>
      </c>
      <c r="N320" s="14" t="s">
        <v>1529</v>
      </c>
      <c r="O320" s="14">
        <v>4599023</v>
      </c>
      <c r="P320" s="17">
        <v>2024257990042</v>
      </c>
      <c r="Q320" s="14" t="s">
        <v>1473</v>
      </c>
      <c r="R320" s="18">
        <v>319</v>
      </c>
      <c r="S320" s="14" t="s">
        <v>1541</v>
      </c>
      <c r="T320" s="14">
        <v>0</v>
      </c>
      <c r="U320" s="14" t="s">
        <v>88</v>
      </c>
      <c r="V320" s="14" t="s">
        <v>89</v>
      </c>
      <c r="W320" s="14" t="s">
        <v>1542</v>
      </c>
      <c r="X320" s="14" t="s">
        <v>1476</v>
      </c>
      <c r="Y320" s="29" t="s">
        <v>124</v>
      </c>
      <c r="Z320" s="14">
        <f t="shared" ref="Z320:Z321" si="1146">SUM(AF320:AI320)/4</f>
        <v>1</v>
      </c>
      <c r="AA320" s="20">
        <f t="shared" si="913"/>
        <v>1</v>
      </c>
      <c r="AB320" s="20">
        <f t="shared" si="914"/>
        <v>0</v>
      </c>
      <c r="AC320" s="21"/>
      <c r="AD320" s="21"/>
      <c r="AE320" s="21">
        <f t="shared" si="915"/>
        <v>0.15</v>
      </c>
      <c r="AF320" s="14">
        <v>1</v>
      </c>
      <c r="AG320" s="14">
        <v>1</v>
      </c>
      <c r="AH320" s="14">
        <v>1</v>
      </c>
      <c r="AI320" s="14">
        <v>1</v>
      </c>
      <c r="AJ320" s="26"/>
      <c r="AK320" s="26"/>
      <c r="AL320" s="26"/>
      <c r="AM320" s="26"/>
      <c r="AN320" s="26">
        <v>0.3</v>
      </c>
      <c r="AO320" s="26">
        <v>0.3</v>
      </c>
      <c r="AP320" s="26">
        <v>0.7</v>
      </c>
      <c r="AQ320" s="26">
        <v>0.7</v>
      </c>
      <c r="AR320" s="22">
        <f t="shared" ref="AR320:AS320" si="1147">(AJ320+AL320+AN320+AP320)</f>
        <v>1</v>
      </c>
      <c r="AS320" s="22">
        <f t="shared" si="1147"/>
        <v>1</v>
      </c>
      <c r="AT320" s="22">
        <f t="shared" ref="AT320:AT321" si="1148">AS320/AR320</f>
        <v>1</v>
      </c>
      <c r="AU320" s="23" t="str">
        <f t="shared" ref="AU320:AU321" si="1149">MIN((AR320 /AR320) * 100, 100) &amp; "%"</f>
        <v>100%</v>
      </c>
      <c r="AV320" s="24">
        <f t="shared" si="808"/>
        <v>1</v>
      </c>
      <c r="AW320" s="14" t="s">
        <v>92</v>
      </c>
      <c r="AX320" s="30" t="s">
        <v>1543</v>
      </c>
      <c r="AY320" s="46">
        <v>0</v>
      </c>
      <c r="AZ320" s="46">
        <v>0</v>
      </c>
      <c r="BA320" s="46">
        <v>0</v>
      </c>
      <c r="BB320" s="46"/>
      <c r="BC320" s="46">
        <v>0</v>
      </c>
      <c r="BD320" s="57"/>
      <c r="BE320" s="46">
        <v>0</v>
      </c>
      <c r="BF320" s="26"/>
      <c r="BG320" s="22">
        <f t="shared" ref="BG320:BH320" si="1150">(AY320+BA320+BC320+BE320)</f>
        <v>0</v>
      </c>
      <c r="BH320" s="22">
        <f t="shared" si="1150"/>
        <v>0</v>
      </c>
      <c r="BI320" s="23" t="str">
        <f>IF(BF320&gt; 1, IF(BF320 = BG320, "100%", BF320 &amp; "%"), IF(BF320 &lt;= 0.01, "0%", BF320 * 100 &amp; "%"))</f>
        <v>0%</v>
      </c>
      <c r="BJ320" s="23">
        <f>IF(BF322=0, 0, BG322/BF322)</f>
        <v>0</v>
      </c>
      <c r="BK320" s="24">
        <f t="shared" si="1116"/>
        <v>0</v>
      </c>
      <c r="BL320" s="22" t="s">
        <v>192</v>
      </c>
      <c r="BM320" s="25" t="s">
        <v>1543</v>
      </c>
      <c r="BN320" s="27">
        <v>20000000</v>
      </c>
      <c r="BO320" s="27">
        <v>0</v>
      </c>
      <c r="BP320" s="27">
        <v>425095116</v>
      </c>
      <c r="BQ320" s="27">
        <v>425095116</v>
      </c>
      <c r="BR320" s="27">
        <f t="shared" ref="BR320:BS320" si="1151">+BN320+BP320</f>
        <v>445095116</v>
      </c>
      <c r="BS320" s="27">
        <f t="shared" si="1151"/>
        <v>425095116</v>
      </c>
      <c r="BT320" s="20">
        <f t="shared" si="919"/>
        <v>0.95506578418622778</v>
      </c>
      <c r="BU320" s="27">
        <v>0</v>
      </c>
      <c r="BV320" s="27">
        <v>0</v>
      </c>
      <c r="BW320" s="27">
        <v>0</v>
      </c>
      <c r="BX320" s="27">
        <v>0</v>
      </c>
      <c r="BY320" s="28" t="str">
        <f t="shared" si="1062"/>
        <v/>
      </c>
      <c r="BZ320" s="27">
        <v>300000000</v>
      </c>
      <c r="CA320" s="20">
        <v>380000000</v>
      </c>
      <c r="CB320" s="26">
        <v>300000000</v>
      </c>
      <c r="CC320" s="26">
        <v>300000000</v>
      </c>
      <c r="CD320" s="26">
        <v>1280000000</v>
      </c>
    </row>
    <row r="321" spans="1:82" ht="51.75" customHeight="1">
      <c r="A321" s="12" t="s">
        <v>1466</v>
      </c>
      <c r="B321" s="13">
        <v>8.4000000000000005E-2</v>
      </c>
      <c r="C321" s="12"/>
      <c r="D321" s="14">
        <v>45</v>
      </c>
      <c r="E321" s="14">
        <v>4599</v>
      </c>
      <c r="F321" s="14">
        <v>33</v>
      </c>
      <c r="G321" s="14" t="s">
        <v>1467</v>
      </c>
      <c r="H321" s="14">
        <v>1000</v>
      </c>
      <c r="I321" s="14">
        <v>33.4</v>
      </c>
      <c r="J321" s="14" t="s">
        <v>1525</v>
      </c>
      <c r="K321" s="14" t="s">
        <v>1526</v>
      </c>
      <c r="L321" s="14" t="s">
        <v>1527</v>
      </c>
      <c r="M321" s="14" t="s">
        <v>1528</v>
      </c>
      <c r="N321" s="14" t="s">
        <v>1529</v>
      </c>
      <c r="O321" s="14">
        <v>4599031</v>
      </c>
      <c r="P321" s="17">
        <v>2024257990042</v>
      </c>
      <c r="Q321" s="14" t="s">
        <v>1473</v>
      </c>
      <c r="R321" s="18">
        <v>320</v>
      </c>
      <c r="S321" s="14" t="s">
        <v>1544</v>
      </c>
      <c r="T321" s="20">
        <v>1</v>
      </c>
      <c r="U321" s="14" t="s">
        <v>109</v>
      </c>
      <c r="V321" s="14" t="s">
        <v>114</v>
      </c>
      <c r="W321" s="14" t="s">
        <v>1545</v>
      </c>
      <c r="X321" s="14" t="s">
        <v>1476</v>
      </c>
      <c r="Y321" s="29" t="s">
        <v>124</v>
      </c>
      <c r="Z321" s="24">
        <f t="shared" si="1146"/>
        <v>1</v>
      </c>
      <c r="AA321" s="20">
        <f t="shared" si="913"/>
        <v>1</v>
      </c>
      <c r="AB321" s="20">
        <f t="shared" si="914"/>
        <v>0.8</v>
      </c>
      <c r="AC321" s="21"/>
      <c r="AD321" s="21"/>
      <c r="AE321" s="21">
        <f t="shared" si="915"/>
        <v>0.42999999999999994</v>
      </c>
      <c r="AF321" s="20">
        <v>1</v>
      </c>
      <c r="AG321" s="20">
        <v>1</v>
      </c>
      <c r="AH321" s="20">
        <v>1</v>
      </c>
      <c r="AI321" s="20">
        <v>1</v>
      </c>
      <c r="AJ321" s="26"/>
      <c r="AK321" s="26"/>
      <c r="AL321" s="26"/>
      <c r="AM321" s="26"/>
      <c r="AN321" s="26">
        <v>0.3</v>
      </c>
      <c r="AO321" s="26">
        <v>0.3</v>
      </c>
      <c r="AP321" s="26">
        <v>0.7</v>
      </c>
      <c r="AQ321" s="26">
        <v>0.7</v>
      </c>
      <c r="AR321" s="22">
        <f t="shared" ref="AR321:AS321" si="1152">(AJ321+AL321+AN321+AP321)</f>
        <v>1</v>
      </c>
      <c r="AS321" s="22">
        <f t="shared" si="1152"/>
        <v>1</v>
      </c>
      <c r="AT321" s="22">
        <f t="shared" si="1148"/>
        <v>1</v>
      </c>
      <c r="AU321" s="23" t="str">
        <f t="shared" si="1149"/>
        <v>100%</v>
      </c>
      <c r="AV321" s="24">
        <f t="shared" si="808"/>
        <v>1</v>
      </c>
      <c r="AW321" s="14" t="s">
        <v>92</v>
      </c>
      <c r="AX321" s="30" t="s">
        <v>1546</v>
      </c>
      <c r="AY321" s="24">
        <v>0.25</v>
      </c>
      <c r="AZ321" s="24">
        <v>0.25</v>
      </c>
      <c r="BA321" s="24">
        <v>0.25</v>
      </c>
      <c r="BB321" s="24">
        <v>0.25</v>
      </c>
      <c r="BC321" s="24">
        <v>0.3</v>
      </c>
      <c r="BD321" s="24">
        <v>0.3</v>
      </c>
      <c r="BE321" s="24">
        <v>0.2</v>
      </c>
      <c r="BF321" s="26"/>
      <c r="BG321" s="20">
        <f t="shared" ref="BG321:BH321" si="1153">(AY321+BA321+BC321+BE321)</f>
        <v>1</v>
      </c>
      <c r="BH321" s="20">
        <f t="shared" si="1153"/>
        <v>0.8</v>
      </c>
      <c r="BI321" s="20">
        <f t="shared" ref="BI321:BI323" si="1154">BH321/BG321</f>
        <v>0.8</v>
      </c>
      <c r="BJ321" s="23" t="str">
        <f t="shared" ref="BJ321:BJ323" si="1155">MIN((BG321 /BG321) * 100, 100) &amp; "%"</f>
        <v>100%</v>
      </c>
      <c r="BK321" s="24">
        <f t="shared" si="1116"/>
        <v>0.8</v>
      </c>
      <c r="BL321" s="22" t="s">
        <v>92</v>
      </c>
      <c r="BM321" s="25" t="s">
        <v>1546</v>
      </c>
      <c r="BN321" s="27">
        <v>120000000</v>
      </c>
      <c r="BO321" s="27">
        <v>100000000</v>
      </c>
      <c r="BP321" s="27">
        <v>0</v>
      </c>
      <c r="BQ321" s="27">
        <v>0</v>
      </c>
      <c r="BR321" s="27">
        <f t="shared" ref="BR321:BS321" si="1156">+BN321+BP321</f>
        <v>120000000</v>
      </c>
      <c r="BS321" s="27">
        <f t="shared" si="1156"/>
        <v>100000000</v>
      </c>
      <c r="BT321" s="20">
        <f t="shared" si="919"/>
        <v>0.83333333333333337</v>
      </c>
      <c r="BU321" s="27">
        <v>120000000</v>
      </c>
      <c r="BV321" s="27">
        <v>120000000</v>
      </c>
      <c r="BW321" s="27">
        <v>100000000</v>
      </c>
      <c r="BX321" s="27">
        <v>70442250</v>
      </c>
      <c r="BY321" s="28">
        <f t="shared" si="1062"/>
        <v>0.83333333333333337</v>
      </c>
      <c r="BZ321" s="27">
        <v>120000000</v>
      </c>
      <c r="CA321" s="20">
        <v>130000000</v>
      </c>
      <c r="CB321" s="26">
        <v>140000000</v>
      </c>
      <c r="CC321" s="26">
        <v>150000000</v>
      </c>
      <c r="CD321" s="26">
        <v>540000000</v>
      </c>
    </row>
    <row r="322" spans="1:82" ht="51.75" customHeight="1">
      <c r="A322" s="12" t="s">
        <v>1466</v>
      </c>
      <c r="B322" s="13">
        <v>8.4000000000000005E-2</v>
      </c>
      <c r="C322" s="12"/>
      <c r="D322" s="14">
        <v>45</v>
      </c>
      <c r="E322" s="14">
        <v>4599</v>
      </c>
      <c r="F322" s="14">
        <v>33</v>
      </c>
      <c r="G322" s="14" t="s">
        <v>1467</v>
      </c>
      <c r="H322" s="14">
        <v>1000</v>
      </c>
      <c r="I322" s="14">
        <v>33.5</v>
      </c>
      <c r="J322" s="14" t="s">
        <v>1547</v>
      </c>
      <c r="K322" s="14" t="s">
        <v>1548</v>
      </c>
      <c r="L322" s="14" t="s">
        <v>1549</v>
      </c>
      <c r="M322" s="14" t="s">
        <v>1550</v>
      </c>
      <c r="N322" s="14">
        <v>100</v>
      </c>
      <c r="O322" s="14">
        <v>4599005</v>
      </c>
      <c r="P322" s="17">
        <v>2024257990042</v>
      </c>
      <c r="Q322" s="14" t="s">
        <v>1473</v>
      </c>
      <c r="R322" s="18">
        <v>321</v>
      </c>
      <c r="S322" s="14" t="s">
        <v>1551</v>
      </c>
      <c r="T322" s="14">
        <v>1</v>
      </c>
      <c r="U322" s="14" t="s">
        <v>88</v>
      </c>
      <c r="V322" s="14" t="s">
        <v>114</v>
      </c>
      <c r="W322" s="14" t="s">
        <v>1552</v>
      </c>
      <c r="X322" s="14" t="s">
        <v>1476</v>
      </c>
      <c r="Y322" s="29"/>
      <c r="Z322" s="18">
        <f t="shared" ref="Z322:Z324" si="1157">SUM(AF322:AI322)</f>
        <v>1</v>
      </c>
      <c r="AA322" s="20">
        <f t="shared" si="913"/>
        <v>0</v>
      </c>
      <c r="AB322" s="20">
        <f t="shared" si="914"/>
        <v>0.4</v>
      </c>
      <c r="AC322" s="21"/>
      <c r="AD322" s="21"/>
      <c r="AE322" s="21">
        <f t="shared" si="915"/>
        <v>0.13999999999999999</v>
      </c>
      <c r="AF322" s="29">
        <v>0</v>
      </c>
      <c r="AG322" s="33">
        <v>1</v>
      </c>
      <c r="AH322" s="33">
        <v>0</v>
      </c>
      <c r="AI322" s="29">
        <v>0</v>
      </c>
      <c r="AJ322" s="26"/>
      <c r="AK322" s="26"/>
      <c r="AL322" s="26"/>
      <c r="AM322" s="26"/>
      <c r="AN322" s="34">
        <v>0</v>
      </c>
      <c r="AO322" s="34">
        <v>0</v>
      </c>
      <c r="AP322" s="34">
        <v>0</v>
      </c>
      <c r="AQ322" s="34">
        <v>0</v>
      </c>
      <c r="AR322" s="34">
        <v>0</v>
      </c>
      <c r="AS322" s="34">
        <f>(AK322+AM322+AO322+AQ322)/2</f>
        <v>0</v>
      </c>
      <c r="AT322" s="24">
        <f>IF(AQ322=0, 0, AR322/AQ322)</f>
        <v>0</v>
      </c>
      <c r="AU322" s="23" t="str">
        <f>IF(AR322&gt; 1, IF(AR322 = AS322, "100%", AR322 &amp; "%"), IF(AR322 &lt;= 0.01, "0%", AR322 * 100 &amp; "%"))</f>
        <v>0%</v>
      </c>
      <c r="AV322" s="24">
        <f t="shared" si="808"/>
        <v>0</v>
      </c>
      <c r="AW322" s="26" t="s">
        <v>192</v>
      </c>
      <c r="AX322" s="26"/>
      <c r="AY322" s="14">
        <v>0</v>
      </c>
      <c r="AZ322" s="26">
        <v>0</v>
      </c>
      <c r="BA322" s="14">
        <v>0</v>
      </c>
      <c r="BB322" s="26">
        <v>0</v>
      </c>
      <c r="BC322" s="14">
        <v>0.4</v>
      </c>
      <c r="BD322" s="14">
        <v>0.4</v>
      </c>
      <c r="BE322" s="14">
        <v>0.6</v>
      </c>
      <c r="BF322" s="26"/>
      <c r="BG322" s="22">
        <f t="shared" ref="BG322:BH322" si="1158">(AY322+BA322+BC322+BE322)</f>
        <v>1</v>
      </c>
      <c r="BH322" s="22">
        <f t="shared" si="1158"/>
        <v>0.4</v>
      </c>
      <c r="BI322" s="22">
        <f t="shared" si="1154"/>
        <v>0.4</v>
      </c>
      <c r="BJ322" s="23" t="str">
        <f t="shared" si="1155"/>
        <v>100%</v>
      </c>
      <c r="BK322" s="24">
        <f t="shared" si="1116"/>
        <v>0.4</v>
      </c>
      <c r="BL322" s="22" t="s">
        <v>92</v>
      </c>
      <c r="BM322" s="25" t="s">
        <v>1553</v>
      </c>
      <c r="BN322" s="27">
        <v>80000000</v>
      </c>
      <c r="BO322" s="27">
        <v>0</v>
      </c>
      <c r="BP322" s="27">
        <v>0</v>
      </c>
      <c r="BQ322" s="27">
        <v>0</v>
      </c>
      <c r="BR322" s="27">
        <f t="shared" ref="BR322:BS322" si="1159">+BN322+BP322</f>
        <v>80000000</v>
      </c>
      <c r="BS322" s="27">
        <f t="shared" si="1159"/>
        <v>0</v>
      </c>
      <c r="BT322" s="20">
        <f t="shared" si="919"/>
        <v>0</v>
      </c>
      <c r="BU322" s="27">
        <v>80000000</v>
      </c>
      <c r="BV322" s="27">
        <v>21700000</v>
      </c>
      <c r="BW322" s="27">
        <v>0</v>
      </c>
      <c r="BX322" s="27">
        <v>0</v>
      </c>
      <c r="BY322" s="28">
        <f t="shared" si="1062"/>
        <v>0</v>
      </c>
      <c r="BZ322" s="27">
        <v>100000000</v>
      </c>
      <c r="CA322" s="20">
        <v>90000000</v>
      </c>
      <c r="CB322" s="26">
        <v>100000000</v>
      </c>
      <c r="CC322" s="26">
        <v>100000000</v>
      </c>
      <c r="CD322" s="26">
        <v>390000000</v>
      </c>
    </row>
    <row r="323" spans="1:82" ht="51.75" customHeight="1">
      <c r="A323" s="12" t="s">
        <v>1466</v>
      </c>
      <c r="B323" s="13">
        <v>8.4000000000000005E-2</v>
      </c>
      <c r="C323" s="12"/>
      <c r="D323" s="14">
        <v>45</v>
      </c>
      <c r="E323" s="14">
        <v>4599</v>
      </c>
      <c r="F323" s="14">
        <v>33</v>
      </c>
      <c r="G323" s="14" t="s">
        <v>1467</v>
      </c>
      <c r="H323" s="14">
        <v>1000</v>
      </c>
      <c r="I323" s="14">
        <v>33.5</v>
      </c>
      <c r="J323" s="14" t="s">
        <v>1547</v>
      </c>
      <c r="K323" s="14" t="s">
        <v>1548</v>
      </c>
      <c r="L323" s="14" t="s">
        <v>1549</v>
      </c>
      <c r="M323" s="14" t="s">
        <v>1550</v>
      </c>
      <c r="N323" s="14">
        <v>100</v>
      </c>
      <c r="O323" s="14">
        <v>4599008</v>
      </c>
      <c r="P323" s="17">
        <v>2024257990042</v>
      </c>
      <c r="Q323" s="14" t="s">
        <v>1473</v>
      </c>
      <c r="R323" s="18">
        <v>322</v>
      </c>
      <c r="S323" s="14" t="s">
        <v>1554</v>
      </c>
      <c r="T323" s="14" t="s">
        <v>1555</v>
      </c>
      <c r="U323" s="14" t="s">
        <v>88</v>
      </c>
      <c r="V323" s="14" t="s">
        <v>89</v>
      </c>
      <c r="W323" s="14" t="s">
        <v>1556</v>
      </c>
      <c r="X323" s="14" t="s">
        <v>206</v>
      </c>
      <c r="Y323" s="29" t="s">
        <v>124</v>
      </c>
      <c r="Z323" s="18">
        <f t="shared" si="1157"/>
        <v>1</v>
      </c>
      <c r="AA323" s="20">
        <f t="shared" si="913"/>
        <v>0.2</v>
      </c>
      <c r="AB323" s="20">
        <f t="shared" si="914"/>
        <v>0.19999999999999998</v>
      </c>
      <c r="AC323" s="21"/>
      <c r="AD323" s="21"/>
      <c r="AE323" s="21">
        <f t="shared" si="915"/>
        <v>9.9999999999999992E-2</v>
      </c>
      <c r="AF323" s="33">
        <v>0.2</v>
      </c>
      <c r="AG323" s="33">
        <v>0.3</v>
      </c>
      <c r="AH323" s="33">
        <v>0.3</v>
      </c>
      <c r="AI323" s="33">
        <v>0.2</v>
      </c>
      <c r="AJ323" s="26"/>
      <c r="AK323" s="26"/>
      <c r="AL323" s="26"/>
      <c r="AM323" s="26"/>
      <c r="AN323" s="26">
        <v>0.05</v>
      </c>
      <c r="AO323" s="26">
        <v>0.05</v>
      </c>
      <c r="AP323" s="26">
        <v>0.15</v>
      </c>
      <c r="AQ323" s="26">
        <v>0.15</v>
      </c>
      <c r="AR323" s="22">
        <f t="shared" ref="AR323:AS323" si="1160">(AJ323+AL323+AN323+AP323)</f>
        <v>0.2</v>
      </c>
      <c r="AS323" s="22">
        <f t="shared" si="1160"/>
        <v>0.2</v>
      </c>
      <c r="AT323" s="22">
        <f>AS323/AR323</f>
        <v>1</v>
      </c>
      <c r="AU323" s="23" t="str">
        <f>MIN((AR323 /AR323) * 100, 100) &amp; "%"</f>
        <v>100%</v>
      </c>
      <c r="AV323" s="24">
        <f t="shared" si="808"/>
        <v>1</v>
      </c>
      <c r="AW323" s="14" t="s">
        <v>92</v>
      </c>
      <c r="AX323" s="30" t="s">
        <v>1557</v>
      </c>
      <c r="AY323" s="14">
        <v>0</v>
      </c>
      <c r="AZ323" s="26">
        <v>0</v>
      </c>
      <c r="BA323" s="14">
        <v>0.1</v>
      </c>
      <c r="BB323" s="14">
        <v>0.05</v>
      </c>
      <c r="BC323" s="14">
        <v>0.1</v>
      </c>
      <c r="BD323" s="14">
        <v>0.01</v>
      </c>
      <c r="BE323" s="14">
        <v>0.1</v>
      </c>
      <c r="BF323" s="26"/>
      <c r="BG323" s="22">
        <f t="shared" ref="BG323:BH323" si="1161">(AY323+BA323+BC323+BE323)</f>
        <v>0.30000000000000004</v>
      </c>
      <c r="BH323" s="22">
        <f t="shared" si="1161"/>
        <v>6.0000000000000005E-2</v>
      </c>
      <c r="BI323" s="22">
        <f t="shared" si="1154"/>
        <v>0.19999999999999998</v>
      </c>
      <c r="BJ323" s="23" t="str">
        <f t="shared" si="1155"/>
        <v>100%</v>
      </c>
      <c r="BK323" s="24">
        <f t="shared" si="1116"/>
        <v>0.19999999999999998</v>
      </c>
      <c r="BL323" s="22" t="s">
        <v>92</v>
      </c>
      <c r="BM323" s="25" t="s">
        <v>1558</v>
      </c>
      <c r="BN323" s="27">
        <v>6300000000</v>
      </c>
      <c r="BO323" s="27">
        <v>0</v>
      </c>
      <c r="BP323" s="27">
        <v>10462918000</v>
      </c>
      <c r="BQ323" s="27">
        <v>10462918000</v>
      </c>
      <c r="BR323" s="27">
        <f t="shared" ref="BR323:BS323" si="1162">+BN323+BP323</f>
        <v>16762918000</v>
      </c>
      <c r="BS323" s="27">
        <f t="shared" si="1162"/>
        <v>10462918000</v>
      </c>
      <c r="BT323" s="20">
        <f t="shared" si="919"/>
        <v>0.62417044574220315</v>
      </c>
      <c r="BU323" s="27">
        <v>0</v>
      </c>
      <c r="BV323" s="27">
        <v>36300000000</v>
      </c>
      <c r="BW323" s="27">
        <v>32787843775</v>
      </c>
      <c r="BX323" s="27">
        <v>0</v>
      </c>
      <c r="BY323" s="28">
        <f t="shared" si="1062"/>
        <v>0.90324638498622589</v>
      </c>
      <c r="BZ323" s="27">
        <v>0</v>
      </c>
      <c r="CA323" s="20">
        <v>8000000000</v>
      </c>
      <c r="CB323" s="26">
        <v>19000000000</v>
      </c>
      <c r="CC323" s="26">
        <v>0</v>
      </c>
      <c r="CD323" s="26">
        <v>27000000000</v>
      </c>
    </row>
    <row r="324" spans="1:82" ht="51.75" customHeight="1">
      <c r="A324" s="12" t="s">
        <v>1466</v>
      </c>
      <c r="B324" s="13">
        <v>8.4000000000000005E-2</v>
      </c>
      <c r="C324" s="12"/>
      <c r="D324" s="14">
        <v>45</v>
      </c>
      <c r="E324" s="14">
        <v>4599</v>
      </c>
      <c r="F324" s="14">
        <v>33</v>
      </c>
      <c r="G324" s="14" t="s">
        <v>1467</v>
      </c>
      <c r="H324" s="14">
        <v>1000</v>
      </c>
      <c r="I324" s="14">
        <v>33.5</v>
      </c>
      <c r="J324" s="14" t="s">
        <v>1547</v>
      </c>
      <c r="K324" s="14" t="s">
        <v>1548</v>
      </c>
      <c r="L324" s="14" t="s">
        <v>1549</v>
      </c>
      <c r="M324" s="14" t="s">
        <v>1550</v>
      </c>
      <c r="N324" s="14">
        <v>100</v>
      </c>
      <c r="O324" s="14">
        <v>4599016</v>
      </c>
      <c r="P324" s="17">
        <v>2024257990042</v>
      </c>
      <c r="Q324" s="14" t="s">
        <v>1473</v>
      </c>
      <c r="R324" s="18">
        <v>323</v>
      </c>
      <c r="S324" s="14" t="s">
        <v>1559</v>
      </c>
      <c r="T324" s="14" t="s">
        <v>1560</v>
      </c>
      <c r="U324" s="14" t="s">
        <v>88</v>
      </c>
      <c r="V324" s="14" t="s">
        <v>89</v>
      </c>
      <c r="W324" s="14" t="s">
        <v>1561</v>
      </c>
      <c r="X324" s="14" t="s">
        <v>206</v>
      </c>
      <c r="Y324" s="29"/>
      <c r="Z324" s="18">
        <f t="shared" si="1157"/>
        <v>1</v>
      </c>
      <c r="AA324" s="20">
        <f t="shared" si="913"/>
        <v>0</v>
      </c>
      <c r="AB324" s="20">
        <f t="shared" si="914"/>
        <v>0</v>
      </c>
      <c r="AC324" s="21"/>
      <c r="AD324" s="21"/>
      <c r="AE324" s="21">
        <f t="shared" si="915"/>
        <v>0</v>
      </c>
      <c r="AF324" s="29">
        <v>0</v>
      </c>
      <c r="AG324" s="33">
        <v>0.4</v>
      </c>
      <c r="AH324" s="33">
        <v>0.6</v>
      </c>
      <c r="AI324" s="33">
        <v>0</v>
      </c>
      <c r="AJ324" s="26"/>
      <c r="AK324" s="26"/>
      <c r="AL324" s="26"/>
      <c r="AM324" s="26"/>
      <c r="AN324" s="34">
        <v>0</v>
      </c>
      <c r="AO324" s="34">
        <v>0</v>
      </c>
      <c r="AP324" s="34">
        <v>0</v>
      </c>
      <c r="AQ324" s="34">
        <v>0</v>
      </c>
      <c r="AR324" s="34">
        <v>0</v>
      </c>
      <c r="AS324" s="34">
        <f>(AK324+AM324+AO324+AQ324)/2</f>
        <v>0</v>
      </c>
      <c r="AT324" s="24">
        <f>IF(AQ324=0, 0, AR324/AQ324)</f>
        <v>0</v>
      </c>
      <c r="AU324" s="23" t="str">
        <f>IF(AR324&gt; 1, IF(AR324 = AS324, "100%", AR324 &amp; "%"), IF(AR324 &lt;= 0.01, "0%", AR324 * 100 &amp; "%"))</f>
        <v>0%</v>
      </c>
      <c r="AV324" s="24">
        <f t="shared" si="808"/>
        <v>0</v>
      </c>
      <c r="AW324" s="26" t="s">
        <v>192</v>
      </c>
      <c r="AX324" s="26"/>
      <c r="AY324" s="14">
        <v>0</v>
      </c>
      <c r="AZ324" s="26"/>
      <c r="BA324" s="14">
        <v>0</v>
      </c>
      <c r="BB324" s="26"/>
      <c r="BC324" s="14">
        <v>0</v>
      </c>
      <c r="BD324" s="14"/>
      <c r="BE324" s="14">
        <v>0</v>
      </c>
      <c r="BF324" s="26"/>
      <c r="BG324" s="22">
        <f t="shared" ref="BG324:BH324" si="1163">(AY324+BA324+BC324+BE324)</f>
        <v>0</v>
      </c>
      <c r="BH324" s="22">
        <f t="shared" si="1163"/>
        <v>0</v>
      </c>
      <c r="BI324" s="23" t="str">
        <f>IF(BF324&gt; 1, IF(BF324 = BG324, "100%", BF324 &amp; "%"), IF(BF324 &lt;= 0.01, "0%", BF324 * 100 &amp; "%"))</f>
        <v>0%</v>
      </c>
      <c r="BJ324" s="23">
        <f>IF(BF326=0, 0, BG326/BF326)</f>
        <v>0</v>
      </c>
      <c r="BK324" s="24">
        <f t="shared" si="1116"/>
        <v>0</v>
      </c>
      <c r="BL324" s="22" t="s">
        <v>192</v>
      </c>
      <c r="BM324" s="25" t="s">
        <v>1562</v>
      </c>
      <c r="BN324" s="27">
        <v>100000000</v>
      </c>
      <c r="BO324" s="27">
        <v>0</v>
      </c>
      <c r="BP324" s="27">
        <v>0</v>
      </c>
      <c r="BQ324" s="27">
        <v>0</v>
      </c>
      <c r="BR324" s="27">
        <f t="shared" ref="BR324:BS324" si="1164">+BN324+BP324</f>
        <v>100000000</v>
      </c>
      <c r="BS324" s="27">
        <f t="shared" si="1164"/>
        <v>0</v>
      </c>
      <c r="BT324" s="20">
        <f t="shared" si="919"/>
        <v>0</v>
      </c>
      <c r="BU324" s="27">
        <v>100000000</v>
      </c>
      <c r="BV324" s="27">
        <v>0</v>
      </c>
      <c r="BW324" s="27">
        <v>0</v>
      </c>
      <c r="BX324" s="27">
        <v>0</v>
      </c>
      <c r="BY324" s="28" t="str">
        <f t="shared" si="1062"/>
        <v/>
      </c>
      <c r="BZ324" s="27">
        <v>115000000</v>
      </c>
      <c r="CA324" s="20">
        <v>100000000</v>
      </c>
      <c r="CB324" s="26">
        <v>125000000</v>
      </c>
      <c r="CC324" s="26">
        <v>130000000</v>
      </c>
      <c r="CD324" s="26">
        <v>470000000</v>
      </c>
    </row>
    <row r="325" spans="1:82" ht="51.75" customHeight="1">
      <c r="A325" s="12" t="s">
        <v>1466</v>
      </c>
      <c r="B325" s="13">
        <v>8.4000000000000005E-2</v>
      </c>
      <c r="C325" s="12"/>
      <c r="D325" s="14">
        <v>45</v>
      </c>
      <c r="E325" s="14">
        <v>4599</v>
      </c>
      <c r="F325" s="14">
        <v>33</v>
      </c>
      <c r="G325" s="14" t="s">
        <v>1467</v>
      </c>
      <c r="H325" s="14">
        <v>1000</v>
      </c>
      <c r="I325" s="14">
        <v>33.5</v>
      </c>
      <c r="J325" s="14" t="s">
        <v>1547</v>
      </c>
      <c r="K325" s="14" t="s">
        <v>1548</v>
      </c>
      <c r="L325" s="14" t="s">
        <v>1549</v>
      </c>
      <c r="M325" s="14" t="s">
        <v>1550</v>
      </c>
      <c r="N325" s="14">
        <v>100</v>
      </c>
      <c r="O325" s="14">
        <v>4599016</v>
      </c>
      <c r="P325" s="17">
        <v>2024257990042</v>
      </c>
      <c r="Q325" s="14" t="s">
        <v>1473</v>
      </c>
      <c r="R325" s="18">
        <v>324</v>
      </c>
      <c r="S325" s="14" t="s">
        <v>1563</v>
      </c>
      <c r="T325" s="14">
        <v>31</v>
      </c>
      <c r="U325" s="14" t="s">
        <v>88</v>
      </c>
      <c r="V325" s="14" t="s">
        <v>114</v>
      </c>
      <c r="W325" s="14" t="s">
        <v>1564</v>
      </c>
      <c r="X325" s="14" t="s">
        <v>1476</v>
      </c>
      <c r="Y325" s="29"/>
      <c r="Z325" s="18">
        <f>SUM(AF325:AI325)/4</f>
        <v>31</v>
      </c>
      <c r="AA325" s="20">
        <f t="shared" si="913"/>
        <v>1</v>
      </c>
      <c r="AB325" s="20">
        <f t="shared" si="914"/>
        <v>3.2258064516129031E-2</v>
      </c>
      <c r="AC325" s="21"/>
      <c r="AD325" s="21"/>
      <c r="AE325" s="21">
        <f t="shared" si="915"/>
        <v>0.16129032258064516</v>
      </c>
      <c r="AF325" s="29">
        <v>31</v>
      </c>
      <c r="AG325" s="29">
        <v>31</v>
      </c>
      <c r="AH325" s="29">
        <v>31</v>
      </c>
      <c r="AI325" s="29">
        <v>31</v>
      </c>
      <c r="AJ325" s="26"/>
      <c r="AK325" s="26"/>
      <c r="AL325" s="26"/>
      <c r="AM325" s="26"/>
      <c r="AN325" s="26">
        <v>31</v>
      </c>
      <c r="AO325" s="26">
        <v>31</v>
      </c>
      <c r="AP325" s="26">
        <v>31</v>
      </c>
      <c r="AQ325" s="26">
        <v>31</v>
      </c>
      <c r="AR325" s="22">
        <f t="shared" ref="AR325:AS325" si="1165">(AJ325+AL325+AN325+AP325)/2</f>
        <v>31</v>
      </c>
      <c r="AS325" s="22">
        <f t="shared" si="1165"/>
        <v>31</v>
      </c>
      <c r="AT325" s="22">
        <f t="shared" ref="AT325:AT328" si="1166">AS325/AR325</f>
        <v>1</v>
      </c>
      <c r="AU325" s="23" t="str">
        <f t="shared" ref="AU325:AU328" si="1167">MIN((AR325 /AR325) * 100, 100) &amp; "%"</f>
        <v>100%</v>
      </c>
      <c r="AV325" s="24">
        <f t="shared" si="808"/>
        <v>1</v>
      </c>
      <c r="AW325" s="14" t="s">
        <v>92</v>
      </c>
      <c r="AX325" s="30" t="s">
        <v>1565</v>
      </c>
      <c r="AY325" s="26">
        <v>31</v>
      </c>
      <c r="AZ325" s="26">
        <v>31</v>
      </c>
      <c r="BA325" s="26">
        <v>31</v>
      </c>
      <c r="BB325" s="26">
        <v>31</v>
      </c>
      <c r="BC325" s="26">
        <v>31</v>
      </c>
      <c r="BD325" s="26">
        <v>31</v>
      </c>
      <c r="BE325" s="26">
        <v>31</v>
      </c>
      <c r="BF325" s="26">
        <v>31</v>
      </c>
      <c r="BG325" s="22">
        <f t="shared" ref="BG325:BH325" si="1168">(AY325+BA325+BC325+BE325)/4</f>
        <v>31</v>
      </c>
      <c r="BH325" s="22">
        <f t="shared" si="1168"/>
        <v>31</v>
      </c>
      <c r="BI325" s="22">
        <f t="shared" ref="BI325:BI328" si="1169">BH325/BG325</f>
        <v>1</v>
      </c>
      <c r="BJ325" s="23" t="str">
        <f t="shared" ref="BJ325:BJ328" si="1170">MIN((BG325 /BG325) * 100, 100) &amp; "%"</f>
        <v>100%</v>
      </c>
      <c r="BK325" s="24">
        <f t="shared" si="1116"/>
        <v>1</v>
      </c>
      <c r="BL325" s="22" t="s">
        <v>92</v>
      </c>
      <c r="BM325" s="25" t="s">
        <v>1566</v>
      </c>
      <c r="BN325" s="27">
        <v>4452000000</v>
      </c>
      <c r="BO325" s="27">
        <v>2974815870</v>
      </c>
      <c r="BP325" s="27">
        <v>468547085</v>
      </c>
      <c r="BQ325" s="27">
        <v>468547085</v>
      </c>
      <c r="BR325" s="27">
        <f t="shared" ref="BR325:BS325" si="1171">+BN325+BP325</f>
        <v>4920547085</v>
      </c>
      <c r="BS325" s="27">
        <f t="shared" si="1171"/>
        <v>3443362955</v>
      </c>
      <c r="BT325" s="20">
        <f t="shared" si="919"/>
        <v>0.69979270506259161</v>
      </c>
      <c r="BU325" s="27">
        <v>3500000000</v>
      </c>
      <c r="BV325" s="27">
        <v>4352000000</v>
      </c>
      <c r="BW325" s="27">
        <v>3408184912</v>
      </c>
      <c r="BX325" s="27">
        <v>1970123565</v>
      </c>
      <c r="BY325" s="28">
        <f t="shared" si="1062"/>
        <v>0.78313072426470587</v>
      </c>
      <c r="BZ325" s="27">
        <v>3500000000</v>
      </c>
      <c r="CA325" s="20">
        <v>3000000000</v>
      </c>
      <c r="CB325" s="26">
        <v>3000000000</v>
      </c>
      <c r="CC325" s="26">
        <v>3000000000</v>
      </c>
      <c r="CD325" s="26">
        <v>12500000000</v>
      </c>
    </row>
    <row r="326" spans="1:82" ht="51.75" customHeight="1">
      <c r="A326" s="12" t="s">
        <v>1466</v>
      </c>
      <c r="B326" s="13">
        <v>8.4000000000000005E-2</v>
      </c>
      <c r="C326" s="12"/>
      <c r="D326" s="14">
        <v>45</v>
      </c>
      <c r="E326" s="14">
        <v>4599</v>
      </c>
      <c r="F326" s="14">
        <v>34</v>
      </c>
      <c r="G326" s="14" t="s">
        <v>1567</v>
      </c>
      <c r="H326" s="14">
        <v>1000</v>
      </c>
      <c r="I326" s="14">
        <v>34.1</v>
      </c>
      <c r="J326" s="14" t="s">
        <v>1568</v>
      </c>
      <c r="K326" s="14" t="s">
        <v>1569</v>
      </c>
      <c r="L326" s="14" t="s">
        <v>1570</v>
      </c>
      <c r="M326" s="14" t="s">
        <v>1571</v>
      </c>
      <c r="N326" s="14" t="s">
        <v>1572</v>
      </c>
      <c r="O326" s="14">
        <v>45990260</v>
      </c>
      <c r="P326" s="17">
        <v>2024257990043</v>
      </c>
      <c r="Q326" s="14" t="s">
        <v>1573</v>
      </c>
      <c r="R326" s="18">
        <v>325</v>
      </c>
      <c r="S326" s="14" t="s">
        <v>1574</v>
      </c>
      <c r="T326" s="20">
        <v>1</v>
      </c>
      <c r="U326" s="14" t="s">
        <v>109</v>
      </c>
      <c r="V326" s="14" t="s">
        <v>114</v>
      </c>
      <c r="W326" s="14" t="s">
        <v>1575</v>
      </c>
      <c r="X326" s="14" t="s">
        <v>1576</v>
      </c>
      <c r="Y326" s="29"/>
      <c r="Z326" s="20">
        <f>SUM(AF326:AI326)</f>
        <v>1</v>
      </c>
      <c r="AA326" s="20">
        <f t="shared" si="913"/>
        <v>0.18</v>
      </c>
      <c r="AB326" s="20">
        <f t="shared" si="914"/>
        <v>0.83443708609271527</v>
      </c>
      <c r="AC326" s="21"/>
      <c r="AD326" s="21"/>
      <c r="AE326" s="21">
        <f t="shared" si="915"/>
        <v>0.31905298013245037</v>
      </c>
      <c r="AF326" s="20">
        <v>0.2</v>
      </c>
      <c r="AG326" s="20">
        <v>0.3</v>
      </c>
      <c r="AH326" s="20">
        <v>0.4</v>
      </c>
      <c r="AI326" s="20">
        <v>0.1</v>
      </c>
      <c r="AJ326" s="26"/>
      <c r="AK326" s="26"/>
      <c r="AL326" s="26"/>
      <c r="AM326" s="26"/>
      <c r="AN326" s="24">
        <v>0.05</v>
      </c>
      <c r="AO326" s="24">
        <v>0.05</v>
      </c>
      <c r="AP326" s="24">
        <v>0.15</v>
      </c>
      <c r="AQ326" s="24">
        <v>0.13</v>
      </c>
      <c r="AR326" s="22">
        <f t="shared" ref="AR326:AS326" si="1172">(AJ326+AL326+AN326+AP326)</f>
        <v>0.2</v>
      </c>
      <c r="AS326" s="22">
        <f t="shared" si="1172"/>
        <v>0.18</v>
      </c>
      <c r="AT326" s="22">
        <f t="shared" si="1166"/>
        <v>0.89999999999999991</v>
      </c>
      <c r="AU326" s="23" t="str">
        <f t="shared" si="1167"/>
        <v>100%</v>
      </c>
      <c r="AV326" s="24">
        <f t="shared" si="808"/>
        <v>0.89999999999999991</v>
      </c>
      <c r="AW326" s="14" t="s">
        <v>92</v>
      </c>
      <c r="AX326" s="30" t="s">
        <v>1577</v>
      </c>
      <c r="AY326" s="24">
        <v>5.1999999999999998E-2</v>
      </c>
      <c r="AZ326" s="24">
        <v>5.1999999999999998E-2</v>
      </c>
      <c r="BA326" s="24">
        <v>0.05</v>
      </c>
      <c r="BB326" s="24">
        <v>0.05</v>
      </c>
      <c r="BC326" s="24">
        <v>0.15</v>
      </c>
      <c r="BD326" s="24">
        <v>0.15</v>
      </c>
      <c r="BE326" s="24">
        <v>0.05</v>
      </c>
      <c r="BF326" s="24"/>
      <c r="BG326" s="20">
        <f t="shared" ref="BG326:BH326" si="1173">(AY326+BA326+BC326+BE326)</f>
        <v>0.30199999999999999</v>
      </c>
      <c r="BH326" s="20">
        <f t="shared" si="1173"/>
        <v>0.252</v>
      </c>
      <c r="BI326" s="20">
        <f t="shared" si="1169"/>
        <v>0.83443708609271527</v>
      </c>
      <c r="BJ326" s="23" t="str">
        <f t="shared" si="1170"/>
        <v>100%</v>
      </c>
      <c r="BK326" s="24">
        <f t="shared" si="1116"/>
        <v>0.83443708609271527</v>
      </c>
      <c r="BL326" s="22" t="s">
        <v>92</v>
      </c>
      <c r="BM326" s="25" t="s">
        <v>1578</v>
      </c>
      <c r="BN326" s="27">
        <v>451200000</v>
      </c>
      <c r="BO326" s="27">
        <v>88000000</v>
      </c>
      <c r="BP326" s="27">
        <v>41262699</v>
      </c>
      <c r="BQ326" s="27">
        <v>41262699</v>
      </c>
      <c r="BR326" s="27">
        <f t="shared" ref="BR326:BS326" si="1174">+BN326+BP326</f>
        <v>492462699</v>
      </c>
      <c r="BS326" s="27">
        <f t="shared" si="1174"/>
        <v>129262699</v>
      </c>
      <c r="BT326" s="20">
        <f t="shared" si="919"/>
        <v>0.26248221289141738</v>
      </c>
      <c r="BU326" s="27">
        <v>90000000</v>
      </c>
      <c r="BV326" s="27">
        <v>424950000</v>
      </c>
      <c r="BW326" s="27">
        <v>115800000</v>
      </c>
      <c r="BX326" s="27">
        <v>82100000</v>
      </c>
      <c r="BY326" s="28">
        <f t="shared" si="1062"/>
        <v>0.27250264737027885</v>
      </c>
      <c r="BZ326" s="27">
        <v>120000000</v>
      </c>
      <c r="CA326" s="20">
        <v>120000000</v>
      </c>
      <c r="CB326" s="26">
        <v>120000000</v>
      </c>
      <c r="CC326" s="26">
        <v>120000000</v>
      </c>
      <c r="CD326" s="26">
        <v>480000000</v>
      </c>
    </row>
    <row r="327" spans="1:82" ht="51.75" customHeight="1">
      <c r="A327" s="12" t="s">
        <v>1466</v>
      </c>
      <c r="B327" s="13">
        <v>8.4000000000000005E-2</v>
      </c>
      <c r="C327" s="12"/>
      <c r="D327" s="14">
        <v>45</v>
      </c>
      <c r="E327" s="14">
        <v>4599</v>
      </c>
      <c r="F327" s="14">
        <v>34</v>
      </c>
      <c r="G327" s="14" t="s">
        <v>1567</v>
      </c>
      <c r="H327" s="14">
        <v>1000</v>
      </c>
      <c r="I327" s="14">
        <v>34.1</v>
      </c>
      <c r="J327" s="14" t="s">
        <v>1568</v>
      </c>
      <c r="K327" s="14" t="s">
        <v>1569</v>
      </c>
      <c r="L327" s="14" t="s">
        <v>1570</v>
      </c>
      <c r="M327" s="14" t="s">
        <v>1571</v>
      </c>
      <c r="N327" s="14" t="s">
        <v>1572</v>
      </c>
      <c r="O327" s="14">
        <v>4599025</v>
      </c>
      <c r="P327" s="17">
        <v>2024257990043</v>
      </c>
      <c r="Q327" s="14" t="s">
        <v>1573</v>
      </c>
      <c r="R327" s="18">
        <v>326</v>
      </c>
      <c r="S327" s="14" t="s">
        <v>1579</v>
      </c>
      <c r="T327" s="14">
        <v>0</v>
      </c>
      <c r="U327" s="14" t="s">
        <v>88</v>
      </c>
      <c r="V327" s="14" t="s">
        <v>89</v>
      </c>
      <c r="W327" s="14" t="s">
        <v>1580</v>
      </c>
      <c r="X327" s="14" t="s">
        <v>1576</v>
      </c>
      <c r="Y327" s="29"/>
      <c r="Z327" s="24">
        <f>SUM(AF327:AI327)/4</f>
        <v>1</v>
      </c>
      <c r="AA327" s="20">
        <f t="shared" si="913"/>
        <v>1</v>
      </c>
      <c r="AB327" s="20">
        <f t="shared" si="914"/>
        <v>0.8</v>
      </c>
      <c r="AC327" s="21"/>
      <c r="AD327" s="21"/>
      <c r="AE327" s="21">
        <f t="shared" si="915"/>
        <v>0.42999999999999994</v>
      </c>
      <c r="AF327" s="20">
        <v>1</v>
      </c>
      <c r="AG327" s="20">
        <v>1</v>
      </c>
      <c r="AH327" s="20">
        <v>1</v>
      </c>
      <c r="AI327" s="20">
        <v>1</v>
      </c>
      <c r="AJ327" s="26"/>
      <c r="AK327" s="26"/>
      <c r="AL327" s="26"/>
      <c r="AM327" s="26"/>
      <c r="AN327" s="24">
        <v>0.7</v>
      </c>
      <c r="AO327" s="24">
        <v>0.7</v>
      </c>
      <c r="AP327" s="24">
        <v>0.3</v>
      </c>
      <c r="AQ327" s="24">
        <v>0.3</v>
      </c>
      <c r="AR327" s="22">
        <f t="shared" ref="AR327:AS327" si="1175">(AJ327+AL327+AN327+AP327)</f>
        <v>1</v>
      </c>
      <c r="AS327" s="22">
        <f t="shared" si="1175"/>
        <v>1</v>
      </c>
      <c r="AT327" s="22">
        <f t="shared" si="1166"/>
        <v>1</v>
      </c>
      <c r="AU327" s="23" t="str">
        <f t="shared" si="1167"/>
        <v>100%</v>
      </c>
      <c r="AV327" s="24">
        <f t="shared" si="808"/>
        <v>1</v>
      </c>
      <c r="AW327" s="14" t="s">
        <v>92</v>
      </c>
      <c r="AX327" s="30" t="s">
        <v>1581</v>
      </c>
      <c r="AY327" s="24">
        <v>0.1</v>
      </c>
      <c r="AZ327" s="24">
        <v>0.1</v>
      </c>
      <c r="BA327" s="24">
        <v>0.3</v>
      </c>
      <c r="BB327" s="24">
        <v>0.3</v>
      </c>
      <c r="BC327" s="24">
        <v>0.4</v>
      </c>
      <c r="BD327" s="24">
        <v>0.4</v>
      </c>
      <c r="BE327" s="24">
        <v>0.2</v>
      </c>
      <c r="BF327" s="26"/>
      <c r="BG327" s="20">
        <f t="shared" ref="BG327:BH327" si="1176">(AY327+BA327+BC327+BE327)</f>
        <v>1</v>
      </c>
      <c r="BH327" s="20">
        <f t="shared" si="1176"/>
        <v>0.8</v>
      </c>
      <c r="BI327" s="20">
        <f t="shared" si="1169"/>
        <v>0.8</v>
      </c>
      <c r="BJ327" s="23" t="str">
        <f t="shared" si="1170"/>
        <v>100%</v>
      </c>
      <c r="BK327" s="24">
        <f t="shared" si="1116"/>
        <v>0.8</v>
      </c>
      <c r="BL327" s="22" t="s">
        <v>92</v>
      </c>
      <c r="BM327" s="25" t="s">
        <v>1582</v>
      </c>
      <c r="BN327" s="27">
        <v>90000000</v>
      </c>
      <c r="BO327" s="27">
        <v>84000000</v>
      </c>
      <c r="BP327" s="27">
        <v>18400000</v>
      </c>
      <c r="BQ327" s="27">
        <v>18400000</v>
      </c>
      <c r="BR327" s="27">
        <f t="shared" ref="BR327:BS327" si="1177">+BN327+BP327</f>
        <v>108400000</v>
      </c>
      <c r="BS327" s="27">
        <f t="shared" si="1177"/>
        <v>102400000</v>
      </c>
      <c r="BT327" s="20">
        <f t="shared" si="919"/>
        <v>0.94464944649446492</v>
      </c>
      <c r="BU327" s="27">
        <v>90000000</v>
      </c>
      <c r="BV327" s="27">
        <v>116250000</v>
      </c>
      <c r="BW327" s="27">
        <v>116250000</v>
      </c>
      <c r="BX327" s="27">
        <v>78950000</v>
      </c>
      <c r="BY327" s="28">
        <f t="shared" si="1062"/>
        <v>1</v>
      </c>
      <c r="BZ327" s="27">
        <v>91204113</v>
      </c>
      <c r="CA327" s="20">
        <v>91514319</v>
      </c>
      <c r="CB327" s="26">
        <v>85000000</v>
      </c>
      <c r="CC327" s="26">
        <v>92281569</v>
      </c>
      <c r="CD327" s="26">
        <v>360000000</v>
      </c>
    </row>
    <row r="328" spans="1:82" ht="51.75" customHeight="1">
      <c r="A328" s="12" t="s">
        <v>1466</v>
      </c>
      <c r="B328" s="13">
        <v>8.4000000000000005E-2</v>
      </c>
      <c r="C328" s="12"/>
      <c r="D328" s="14">
        <v>45</v>
      </c>
      <c r="E328" s="14">
        <v>4599</v>
      </c>
      <c r="F328" s="14">
        <v>34</v>
      </c>
      <c r="G328" s="14" t="s">
        <v>1567</v>
      </c>
      <c r="H328" s="14">
        <v>1000</v>
      </c>
      <c r="I328" s="14">
        <v>34.1</v>
      </c>
      <c r="J328" s="14" t="s">
        <v>1583</v>
      </c>
      <c r="K328" s="14" t="s">
        <v>1569</v>
      </c>
      <c r="L328" s="14" t="s">
        <v>1570</v>
      </c>
      <c r="M328" s="14" t="s">
        <v>1571</v>
      </c>
      <c r="N328" s="14" t="s">
        <v>1572</v>
      </c>
      <c r="O328" s="14">
        <v>4599025</v>
      </c>
      <c r="P328" s="17">
        <v>2024257990043</v>
      </c>
      <c r="Q328" s="14" t="s">
        <v>1573</v>
      </c>
      <c r="R328" s="18">
        <v>327</v>
      </c>
      <c r="S328" s="14" t="s">
        <v>1584</v>
      </c>
      <c r="T328" s="14">
        <v>0</v>
      </c>
      <c r="U328" s="14" t="s">
        <v>88</v>
      </c>
      <c r="V328" s="14" t="s">
        <v>89</v>
      </c>
      <c r="W328" s="14" t="s">
        <v>1585</v>
      </c>
      <c r="X328" s="14" t="s">
        <v>1576</v>
      </c>
      <c r="Y328" s="29"/>
      <c r="Z328" s="18">
        <f t="shared" ref="Z328:Z331" si="1178">SUM(AF328:AI328)</f>
        <v>2</v>
      </c>
      <c r="AA328" s="20">
        <f t="shared" si="913"/>
        <v>0.35</v>
      </c>
      <c r="AB328" s="20">
        <f t="shared" si="914"/>
        <v>0.5</v>
      </c>
      <c r="AC328" s="21"/>
      <c r="AD328" s="21"/>
      <c r="AE328" s="21">
        <f t="shared" si="915"/>
        <v>0.22749999999999998</v>
      </c>
      <c r="AF328" s="29">
        <v>1</v>
      </c>
      <c r="AG328" s="29">
        <v>1</v>
      </c>
      <c r="AH328" s="29">
        <v>0</v>
      </c>
      <c r="AI328" s="29">
        <v>0</v>
      </c>
      <c r="AJ328" s="26"/>
      <c r="AK328" s="26"/>
      <c r="AL328" s="26"/>
      <c r="AM328" s="26"/>
      <c r="AN328" s="26">
        <v>0.2</v>
      </c>
      <c r="AO328" s="26">
        <v>0.2</v>
      </c>
      <c r="AP328" s="26">
        <v>0.5</v>
      </c>
      <c r="AQ328" s="26">
        <v>0.5</v>
      </c>
      <c r="AR328" s="22">
        <f t="shared" ref="AR328:AS328" si="1179">(AJ328+AL328+AN328+AP328)</f>
        <v>0.7</v>
      </c>
      <c r="AS328" s="22">
        <f t="shared" si="1179"/>
        <v>0.7</v>
      </c>
      <c r="AT328" s="22">
        <f t="shared" si="1166"/>
        <v>1</v>
      </c>
      <c r="AU328" s="23" t="str">
        <f t="shared" si="1167"/>
        <v>100%</v>
      </c>
      <c r="AV328" s="24">
        <f t="shared" si="808"/>
        <v>1</v>
      </c>
      <c r="AW328" s="14" t="s">
        <v>92</v>
      </c>
      <c r="AX328" s="30" t="s">
        <v>1586</v>
      </c>
      <c r="AY328" s="26">
        <v>0</v>
      </c>
      <c r="AZ328" s="26">
        <v>0</v>
      </c>
      <c r="BA328" s="26">
        <v>0.3</v>
      </c>
      <c r="BB328" s="26">
        <v>0.3</v>
      </c>
      <c r="BC328" s="26">
        <v>0.7</v>
      </c>
      <c r="BD328" s="26">
        <v>0.7</v>
      </c>
      <c r="BE328" s="26">
        <v>0</v>
      </c>
      <c r="BF328" s="26"/>
      <c r="BG328" s="22">
        <f t="shared" ref="BG328:BH328" si="1180">(AY328+BA328+BC328+BE328)</f>
        <v>1</v>
      </c>
      <c r="BH328" s="22">
        <f t="shared" si="1180"/>
        <v>1</v>
      </c>
      <c r="BI328" s="22">
        <f t="shared" si="1169"/>
        <v>1</v>
      </c>
      <c r="BJ328" s="23" t="str">
        <f t="shared" si="1170"/>
        <v>100%</v>
      </c>
      <c r="BK328" s="24">
        <f t="shared" si="1116"/>
        <v>1</v>
      </c>
      <c r="BL328" s="26" t="s">
        <v>192</v>
      </c>
      <c r="BM328" s="25" t="s">
        <v>1587</v>
      </c>
      <c r="BN328" s="27">
        <v>0</v>
      </c>
      <c r="BO328" s="27">
        <v>0</v>
      </c>
      <c r="BP328" s="27">
        <v>25000000</v>
      </c>
      <c r="BQ328" s="27">
        <v>25000000</v>
      </c>
      <c r="BR328" s="27">
        <f t="shared" ref="BR328:BS328" si="1181">+BN328+BP328</f>
        <v>25000000</v>
      </c>
      <c r="BS328" s="27">
        <f t="shared" si="1181"/>
        <v>25000000</v>
      </c>
      <c r="BT328" s="20">
        <f t="shared" si="919"/>
        <v>1</v>
      </c>
      <c r="BU328" s="27">
        <v>0</v>
      </c>
      <c r="BV328" s="27">
        <v>0</v>
      </c>
      <c r="BW328" s="27">
        <v>0</v>
      </c>
      <c r="BX328" s="27">
        <v>0</v>
      </c>
      <c r="BY328" s="28" t="str">
        <f t="shared" si="1062"/>
        <v/>
      </c>
      <c r="BZ328" s="27">
        <v>195000000</v>
      </c>
      <c r="CA328" s="20">
        <v>150000000</v>
      </c>
      <c r="CB328" s="26">
        <v>0</v>
      </c>
      <c r="CC328" s="26">
        <v>0</v>
      </c>
      <c r="CD328" s="26">
        <v>345000000</v>
      </c>
    </row>
    <row r="329" spans="1:82" ht="51.75" customHeight="1">
      <c r="A329" s="12" t="s">
        <v>1466</v>
      </c>
      <c r="B329" s="13">
        <v>8.4000000000000005E-2</v>
      </c>
      <c r="C329" s="12"/>
      <c r="D329" s="14">
        <v>45</v>
      </c>
      <c r="E329" s="14">
        <v>4599</v>
      </c>
      <c r="F329" s="14">
        <v>34</v>
      </c>
      <c r="G329" s="73" t="s">
        <v>1567</v>
      </c>
      <c r="H329" s="14">
        <v>1000</v>
      </c>
      <c r="I329" s="14">
        <v>34.1</v>
      </c>
      <c r="J329" s="14" t="s">
        <v>1583</v>
      </c>
      <c r="K329" s="14" t="s">
        <v>1569</v>
      </c>
      <c r="L329" s="14" t="s">
        <v>1570</v>
      </c>
      <c r="M329" s="14" t="s">
        <v>1571</v>
      </c>
      <c r="N329" s="14" t="s">
        <v>1572</v>
      </c>
      <c r="O329" s="14">
        <v>4599025</v>
      </c>
      <c r="P329" s="17">
        <v>2024257990043</v>
      </c>
      <c r="Q329" s="14" t="s">
        <v>1573</v>
      </c>
      <c r="R329" s="18">
        <v>328</v>
      </c>
      <c r="S329" s="14" t="s">
        <v>1588</v>
      </c>
      <c r="T329" s="14">
        <v>0</v>
      </c>
      <c r="U329" s="14" t="s">
        <v>88</v>
      </c>
      <c r="V329" s="14" t="s">
        <v>89</v>
      </c>
      <c r="W329" s="14" t="s">
        <v>1589</v>
      </c>
      <c r="X329" s="14" t="s">
        <v>1576</v>
      </c>
      <c r="Y329" s="29"/>
      <c r="Z329" s="18">
        <f t="shared" si="1178"/>
        <v>2</v>
      </c>
      <c r="AA329" s="20">
        <f t="shared" si="913"/>
        <v>0</v>
      </c>
      <c r="AB329" s="20">
        <f t="shared" si="914"/>
        <v>0</v>
      </c>
      <c r="AC329" s="21"/>
      <c r="AD329" s="21"/>
      <c r="AE329" s="21">
        <f t="shared" si="915"/>
        <v>0</v>
      </c>
      <c r="AF329" s="29">
        <v>0</v>
      </c>
      <c r="AG329" s="29">
        <v>0</v>
      </c>
      <c r="AH329" s="29">
        <v>1</v>
      </c>
      <c r="AI329" s="29">
        <v>1</v>
      </c>
      <c r="AJ329" s="26"/>
      <c r="AK329" s="26"/>
      <c r="AL329" s="26"/>
      <c r="AM329" s="26"/>
      <c r="AN329" s="34">
        <v>0</v>
      </c>
      <c r="AO329" s="34">
        <v>0</v>
      </c>
      <c r="AP329" s="34">
        <v>0</v>
      </c>
      <c r="AQ329" s="34">
        <v>0</v>
      </c>
      <c r="AR329" s="34">
        <v>0</v>
      </c>
      <c r="AS329" s="34">
        <f>(AK329+AM329+AO329+AQ329)/2</f>
        <v>0</v>
      </c>
      <c r="AT329" s="24">
        <f>IF(AQ329=0, 0, AR329/AQ329)</f>
        <v>0</v>
      </c>
      <c r="AU329" s="23" t="str">
        <f>IF(AR329&gt; 1, IF(AR329 = AS329, "100%", AR329 &amp; "%"), IF(AR329 &lt;= 0.01, "0%", AR329 * 100 &amp; "%"))</f>
        <v>0%</v>
      </c>
      <c r="AV329" s="24">
        <f t="shared" si="808"/>
        <v>0</v>
      </c>
      <c r="AW329" s="26" t="s">
        <v>192</v>
      </c>
      <c r="AX329" s="26"/>
      <c r="AY329" s="51">
        <v>0</v>
      </c>
      <c r="AZ329" s="51"/>
      <c r="BA329" s="51">
        <v>0</v>
      </c>
      <c r="BB329" s="51"/>
      <c r="BC329" s="51">
        <v>0</v>
      </c>
      <c r="BD329" s="51"/>
      <c r="BE329" s="51">
        <v>0</v>
      </c>
      <c r="BF329" s="32"/>
      <c r="BG329" s="22">
        <f t="shared" ref="BG329:BH329" si="1182">(AY329+BA329+BC329+BE329)</f>
        <v>0</v>
      </c>
      <c r="BH329" s="22">
        <f t="shared" si="1182"/>
        <v>0</v>
      </c>
      <c r="BI329" s="23" t="str">
        <f t="shared" ref="BI329:BI331" si="1183">IF(BF329&gt; 1, IF(BF329 = BG329, "100%", BF329 &amp; "%"), IF(BF329 &lt;= 0.01, "0%", BF329 * 100 &amp; "%"))</f>
        <v>0%</v>
      </c>
      <c r="BJ329" s="24">
        <f t="shared" ref="BJ329:BK329" si="1184">IF(BF329=0, 0, BG329/BF329)</f>
        <v>0</v>
      </c>
      <c r="BK329" s="24">
        <f t="shared" si="1184"/>
        <v>0</v>
      </c>
      <c r="BL329" s="26" t="s">
        <v>192</v>
      </c>
      <c r="BM329" s="25" t="s">
        <v>1590</v>
      </c>
      <c r="BN329" s="42">
        <v>0</v>
      </c>
      <c r="BO329" s="42">
        <v>0</v>
      </c>
      <c r="BP329" s="42">
        <v>0</v>
      </c>
      <c r="BQ329" s="42">
        <v>0</v>
      </c>
      <c r="BR329" s="27">
        <f t="shared" ref="BR329:BS329" si="1185">+BN329+BP329</f>
        <v>0</v>
      </c>
      <c r="BS329" s="27">
        <f t="shared" si="1185"/>
        <v>0</v>
      </c>
      <c r="BT329" s="43" t="str">
        <f t="shared" si="919"/>
        <v/>
      </c>
      <c r="BU329" s="27">
        <v>0</v>
      </c>
      <c r="BV329" s="27">
        <v>0</v>
      </c>
      <c r="BW329" s="27">
        <v>0</v>
      </c>
      <c r="BX329" s="27">
        <v>0</v>
      </c>
      <c r="BY329" s="28" t="str">
        <f t="shared" si="1062"/>
        <v/>
      </c>
      <c r="BZ329" s="27">
        <v>0</v>
      </c>
      <c r="CA329" s="20">
        <v>0</v>
      </c>
      <c r="CB329" s="26">
        <v>18000000</v>
      </c>
      <c r="CC329" s="26">
        <v>18000000</v>
      </c>
      <c r="CD329" s="26">
        <v>36000000</v>
      </c>
    </row>
    <row r="330" spans="1:82" ht="51.75" customHeight="1">
      <c r="A330" s="12" t="s">
        <v>1466</v>
      </c>
      <c r="B330" s="13">
        <v>8.4000000000000005E-2</v>
      </c>
      <c r="C330" s="12"/>
      <c r="D330" s="14">
        <v>45</v>
      </c>
      <c r="E330" s="14">
        <v>4599</v>
      </c>
      <c r="F330" s="14">
        <v>34</v>
      </c>
      <c r="G330" s="14" t="s">
        <v>1567</v>
      </c>
      <c r="H330" s="14">
        <v>1000</v>
      </c>
      <c r="I330" s="14">
        <v>34.1</v>
      </c>
      <c r="J330" s="14" t="s">
        <v>1583</v>
      </c>
      <c r="K330" s="14" t="s">
        <v>1569</v>
      </c>
      <c r="L330" s="14" t="s">
        <v>1570</v>
      </c>
      <c r="M330" s="14" t="s">
        <v>1571</v>
      </c>
      <c r="N330" s="14" t="s">
        <v>1572</v>
      </c>
      <c r="O330" s="14">
        <v>4599025</v>
      </c>
      <c r="P330" s="17">
        <v>2024257990043</v>
      </c>
      <c r="Q330" s="14" t="s">
        <v>1573</v>
      </c>
      <c r="R330" s="18">
        <v>329</v>
      </c>
      <c r="S330" s="14" t="s">
        <v>1591</v>
      </c>
      <c r="T330" s="14">
        <v>0</v>
      </c>
      <c r="U330" s="14" t="s">
        <v>88</v>
      </c>
      <c r="V330" s="14" t="s">
        <v>89</v>
      </c>
      <c r="W330" s="14" t="s">
        <v>1592</v>
      </c>
      <c r="X330" s="14" t="s">
        <v>1576</v>
      </c>
      <c r="Y330" s="29"/>
      <c r="Z330" s="18">
        <f t="shared" si="1178"/>
        <v>1</v>
      </c>
      <c r="AA330" s="20">
        <f t="shared" si="913"/>
        <v>0.1</v>
      </c>
      <c r="AB330" s="20">
        <f t="shared" si="914"/>
        <v>0</v>
      </c>
      <c r="AC330" s="21"/>
      <c r="AD330" s="21"/>
      <c r="AE330" s="21">
        <f t="shared" si="915"/>
        <v>1.4999999999999999E-2</v>
      </c>
      <c r="AF330" s="33">
        <v>0.1</v>
      </c>
      <c r="AG330" s="33">
        <v>0</v>
      </c>
      <c r="AH330" s="33">
        <v>0.7</v>
      </c>
      <c r="AI330" s="33">
        <v>0.2</v>
      </c>
      <c r="AJ330" s="26"/>
      <c r="AK330" s="26"/>
      <c r="AL330" s="26"/>
      <c r="AM330" s="26"/>
      <c r="AN330" s="26">
        <v>0.02</v>
      </c>
      <c r="AO330" s="26">
        <v>0.02</v>
      </c>
      <c r="AP330" s="26">
        <v>0.08</v>
      </c>
      <c r="AQ330" s="26">
        <v>0.08</v>
      </c>
      <c r="AR330" s="22">
        <f t="shared" ref="AR330:AS330" si="1186">(AJ330+AL330+AN330+AP330)</f>
        <v>0.1</v>
      </c>
      <c r="AS330" s="22">
        <f t="shared" si="1186"/>
        <v>0.1</v>
      </c>
      <c r="AT330" s="22">
        <f>AS330/AR330</f>
        <v>1</v>
      </c>
      <c r="AU330" s="23" t="str">
        <f>MIN((AR330 /AR330) * 100, 100) &amp; "%"</f>
        <v>100%</v>
      </c>
      <c r="AV330" s="24">
        <f t="shared" si="808"/>
        <v>1</v>
      </c>
      <c r="AW330" s="14" t="s">
        <v>92</v>
      </c>
      <c r="AX330" s="30" t="s">
        <v>1593</v>
      </c>
      <c r="AY330" s="31">
        <v>0</v>
      </c>
      <c r="AZ330" s="32"/>
      <c r="BA330" s="31">
        <v>0</v>
      </c>
      <c r="BB330" s="32"/>
      <c r="BC330" s="31">
        <v>0</v>
      </c>
      <c r="BD330" s="31"/>
      <c r="BE330" s="31">
        <v>0</v>
      </c>
      <c r="BF330" s="32"/>
      <c r="BG330" s="36">
        <f t="shared" ref="BG330:BH330" si="1187">(AY330+BA330+BC330+BE330)</f>
        <v>0</v>
      </c>
      <c r="BH330" s="36">
        <f t="shared" si="1187"/>
        <v>0</v>
      </c>
      <c r="BI330" s="37" t="str">
        <f t="shared" si="1183"/>
        <v>0%</v>
      </c>
      <c r="BJ330" s="38">
        <f t="shared" ref="BJ330:BK330" si="1188">IF(BF330=0, 0, BG330/BF330)</f>
        <v>0</v>
      </c>
      <c r="BK330" s="38">
        <f t="shared" si="1188"/>
        <v>0</v>
      </c>
      <c r="BL330" s="26" t="s">
        <v>192</v>
      </c>
      <c r="BM330" s="25" t="s">
        <v>1594</v>
      </c>
      <c r="BN330" s="42">
        <v>0</v>
      </c>
      <c r="BO330" s="42">
        <v>0</v>
      </c>
      <c r="BP330" s="42">
        <v>0</v>
      </c>
      <c r="BQ330" s="42">
        <v>0</v>
      </c>
      <c r="BR330" s="42">
        <f t="shared" ref="BR330:BS330" si="1189">+BN330+BP330</f>
        <v>0</v>
      </c>
      <c r="BS330" s="42">
        <f t="shared" si="1189"/>
        <v>0</v>
      </c>
      <c r="BT330" s="43" t="str">
        <f t="shared" si="919"/>
        <v/>
      </c>
      <c r="BU330" s="27">
        <v>0</v>
      </c>
      <c r="BV330" s="27">
        <v>0</v>
      </c>
      <c r="BW330" s="27">
        <v>0</v>
      </c>
      <c r="BX330" s="27">
        <v>0</v>
      </c>
      <c r="BY330" s="28" t="str">
        <f t="shared" si="1062"/>
        <v/>
      </c>
      <c r="BZ330" s="27">
        <v>500000000</v>
      </c>
      <c r="CA330" s="20">
        <v>0</v>
      </c>
      <c r="CB330" s="26">
        <v>0</v>
      </c>
      <c r="CC330" s="26">
        <v>0</v>
      </c>
      <c r="CD330" s="26">
        <v>500000000</v>
      </c>
    </row>
    <row r="331" spans="1:82" ht="51.75" customHeight="1">
      <c r="A331" s="12" t="s">
        <v>1466</v>
      </c>
      <c r="B331" s="13">
        <v>8.4000000000000005E-2</v>
      </c>
      <c r="C331" s="12"/>
      <c r="D331" s="14">
        <v>45</v>
      </c>
      <c r="E331" s="14">
        <v>4599</v>
      </c>
      <c r="F331" s="14">
        <v>34</v>
      </c>
      <c r="G331" s="73" t="s">
        <v>1567</v>
      </c>
      <c r="H331" s="14">
        <v>1000</v>
      </c>
      <c r="I331" s="14">
        <v>34.200000000000003</v>
      </c>
      <c r="J331" s="14" t="s">
        <v>1595</v>
      </c>
      <c r="K331" s="14" t="s">
        <v>1596</v>
      </c>
      <c r="L331" s="14" t="s">
        <v>1570</v>
      </c>
      <c r="M331" s="14" t="s">
        <v>1571</v>
      </c>
      <c r="N331" s="14" t="s">
        <v>1572</v>
      </c>
      <c r="O331" s="14">
        <v>4599025</v>
      </c>
      <c r="P331" s="17">
        <v>2024257990043</v>
      </c>
      <c r="Q331" s="14" t="s">
        <v>1573</v>
      </c>
      <c r="R331" s="18">
        <v>330</v>
      </c>
      <c r="S331" s="14" t="s">
        <v>1597</v>
      </c>
      <c r="T331" s="14">
        <v>1</v>
      </c>
      <c r="U331" s="14" t="s">
        <v>88</v>
      </c>
      <c r="V331" s="14" t="s">
        <v>114</v>
      </c>
      <c r="W331" s="14" t="s">
        <v>1598</v>
      </c>
      <c r="X331" s="14" t="s">
        <v>1576</v>
      </c>
      <c r="Y331" s="29"/>
      <c r="Z331" s="18">
        <f t="shared" si="1178"/>
        <v>1</v>
      </c>
      <c r="AA331" s="20">
        <f t="shared" si="913"/>
        <v>0</v>
      </c>
      <c r="AB331" s="20">
        <f t="shared" si="914"/>
        <v>0</v>
      </c>
      <c r="AC331" s="21"/>
      <c r="AD331" s="21"/>
      <c r="AE331" s="21">
        <f t="shared" si="915"/>
        <v>0</v>
      </c>
      <c r="AF331" s="29">
        <v>0</v>
      </c>
      <c r="AG331" s="29">
        <v>0</v>
      </c>
      <c r="AH331" s="29">
        <v>1</v>
      </c>
      <c r="AI331" s="29">
        <v>0</v>
      </c>
      <c r="AJ331" s="26"/>
      <c r="AK331" s="26"/>
      <c r="AL331" s="26"/>
      <c r="AM331" s="26"/>
      <c r="AN331" s="34">
        <v>0</v>
      </c>
      <c r="AO331" s="34">
        <v>0</v>
      </c>
      <c r="AP331" s="34">
        <v>0</v>
      </c>
      <c r="AQ331" s="34">
        <v>0</v>
      </c>
      <c r="AR331" s="34">
        <v>0</v>
      </c>
      <c r="AS331" s="34">
        <f>(AK331+AM331+AO331+AQ331)/2</f>
        <v>0</v>
      </c>
      <c r="AT331" s="24">
        <f>IF(AQ331=0, 0, AR331/AQ331)</f>
        <v>0</v>
      </c>
      <c r="AU331" s="23" t="str">
        <f>IF(AR331&gt; 1, IF(AR331 = AS331, "100%", AR331 &amp; "%"), IF(AR331 &lt;= 0.01, "0%", AR331 * 100 &amp; "%"))</f>
        <v>0%</v>
      </c>
      <c r="AV331" s="24">
        <f t="shared" si="808"/>
        <v>0</v>
      </c>
      <c r="AW331" s="26" t="s">
        <v>192</v>
      </c>
      <c r="AX331" s="26"/>
      <c r="AY331" s="51">
        <v>0</v>
      </c>
      <c r="AZ331" s="51"/>
      <c r="BA331" s="51">
        <v>0</v>
      </c>
      <c r="BB331" s="51"/>
      <c r="BC331" s="51">
        <v>0</v>
      </c>
      <c r="BD331" s="51"/>
      <c r="BE331" s="51">
        <v>0</v>
      </c>
      <c r="BF331" s="51"/>
      <c r="BG331" s="22">
        <f t="shared" ref="BG331:BH331" si="1190">(AY331+BA331+BC331+BE331)</f>
        <v>0</v>
      </c>
      <c r="BH331" s="22">
        <f t="shared" si="1190"/>
        <v>0</v>
      </c>
      <c r="BI331" s="23" t="str">
        <f t="shared" si="1183"/>
        <v>0%</v>
      </c>
      <c r="BJ331" s="24">
        <f t="shared" ref="BJ331:BK331" si="1191">IF(BF331=0, 0, BG331/BF331)</f>
        <v>0</v>
      </c>
      <c r="BK331" s="24">
        <f t="shared" si="1191"/>
        <v>0</v>
      </c>
      <c r="BL331" s="26" t="s">
        <v>192</v>
      </c>
      <c r="BM331" s="25" t="s">
        <v>1599</v>
      </c>
      <c r="BN331" s="27">
        <v>0</v>
      </c>
      <c r="BO331" s="27">
        <v>0</v>
      </c>
      <c r="BP331" s="27">
        <v>0</v>
      </c>
      <c r="BQ331" s="27">
        <v>0</v>
      </c>
      <c r="BR331" s="27">
        <f t="shared" ref="BR331:BS331" si="1192">+BN331+BP331</f>
        <v>0</v>
      </c>
      <c r="BS331" s="27">
        <f t="shared" si="1192"/>
        <v>0</v>
      </c>
      <c r="BT331" s="20" t="str">
        <f t="shared" si="919"/>
        <v/>
      </c>
      <c r="BU331" s="27">
        <v>0</v>
      </c>
      <c r="BV331" s="27">
        <v>0</v>
      </c>
      <c r="BW331" s="27">
        <v>0</v>
      </c>
      <c r="BX331" s="27">
        <v>0</v>
      </c>
      <c r="BY331" s="28" t="str">
        <f t="shared" si="1062"/>
        <v/>
      </c>
      <c r="BZ331" s="27">
        <v>0</v>
      </c>
      <c r="CA331" s="20">
        <v>30000000</v>
      </c>
      <c r="CB331" s="26">
        <v>0</v>
      </c>
      <c r="CC331" s="26">
        <v>0</v>
      </c>
      <c r="CD331" s="26">
        <v>30000000</v>
      </c>
    </row>
    <row r="332" spans="1:82" ht="51.75" customHeight="1">
      <c r="A332" s="12" t="s">
        <v>1466</v>
      </c>
      <c r="B332" s="13">
        <v>8.4000000000000005E-2</v>
      </c>
      <c r="C332" s="12"/>
      <c r="D332" s="14">
        <v>45</v>
      </c>
      <c r="E332" s="14">
        <v>4599</v>
      </c>
      <c r="F332" s="14">
        <v>34</v>
      </c>
      <c r="G332" s="14" t="s">
        <v>1567</v>
      </c>
      <c r="H332" s="14">
        <v>1000</v>
      </c>
      <c r="I332" s="14">
        <v>34.200000000000003</v>
      </c>
      <c r="J332" s="14" t="s">
        <v>1595</v>
      </c>
      <c r="K332" s="14" t="s">
        <v>1596</v>
      </c>
      <c r="L332" s="14" t="s">
        <v>1570</v>
      </c>
      <c r="M332" s="14" t="s">
        <v>1571</v>
      </c>
      <c r="N332" s="14" t="s">
        <v>1572</v>
      </c>
      <c r="O332" s="14">
        <v>4599025</v>
      </c>
      <c r="P332" s="17">
        <v>2024257990043</v>
      </c>
      <c r="Q332" s="14" t="s">
        <v>1573</v>
      </c>
      <c r="R332" s="18">
        <v>331</v>
      </c>
      <c r="S332" s="14" t="s">
        <v>1600</v>
      </c>
      <c r="T332" s="14">
        <v>1</v>
      </c>
      <c r="U332" s="14" t="s">
        <v>88</v>
      </c>
      <c r="V332" s="14" t="s">
        <v>114</v>
      </c>
      <c r="W332" s="14" t="s">
        <v>1601</v>
      </c>
      <c r="X332" s="14" t="s">
        <v>1576</v>
      </c>
      <c r="Y332" s="29"/>
      <c r="Z332" s="14">
        <f>SUM(AF332:AI332)/4</f>
        <v>1</v>
      </c>
      <c r="AA332" s="20">
        <f t="shared" si="913"/>
        <v>1</v>
      </c>
      <c r="AB332" s="20">
        <f t="shared" si="914"/>
        <v>0.8</v>
      </c>
      <c r="AC332" s="21"/>
      <c r="AD332" s="21"/>
      <c r="AE332" s="21">
        <f t="shared" si="915"/>
        <v>0.42999999999999994</v>
      </c>
      <c r="AF332" s="14">
        <v>1</v>
      </c>
      <c r="AG332" s="14">
        <v>1</v>
      </c>
      <c r="AH332" s="14">
        <v>1</v>
      </c>
      <c r="AI332" s="14">
        <v>1</v>
      </c>
      <c r="AJ332" s="26"/>
      <c r="AK332" s="26"/>
      <c r="AL332" s="26"/>
      <c r="AM332" s="26"/>
      <c r="AN332" s="26">
        <v>0.7</v>
      </c>
      <c r="AO332" s="26">
        <v>0.7</v>
      </c>
      <c r="AP332" s="26">
        <v>0.3</v>
      </c>
      <c r="AQ332" s="26">
        <v>0.3</v>
      </c>
      <c r="AR332" s="22">
        <f t="shared" ref="AR332:AS332" si="1193">(AJ332+AL332+AN332+AP332)</f>
        <v>1</v>
      </c>
      <c r="AS332" s="22">
        <f t="shared" si="1193"/>
        <v>1</v>
      </c>
      <c r="AT332" s="22">
        <f>AS332/AR332</f>
        <v>1</v>
      </c>
      <c r="AU332" s="23" t="str">
        <f>MIN((AR332 /AR332) * 100, 100) &amp; "%"</f>
        <v>100%</v>
      </c>
      <c r="AV332" s="24">
        <f t="shared" si="808"/>
        <v>1</v>
      </c>
      <c r="AW332" s="14" t="s">
        <v>92</v>
      </c>
      <c r="AX332" s="30" t="s">
        <v>1602</v>
      </c>
      <c r="AY332" s="46">
        <v>7.0000000000000007E-2</v>
      </c>
      <c r="AZ332" s="46">
        <v>7.0000000000000007E-2</v>
      </c>
      <c r="BA332" s="46">
        <v>0.31</v>
      </c>
      <c r="BB332" s="46">
        <v>0.31</v>
      </c>
      <c r="BC332" s="46">
        <v>0.42</v>
      </c>
      <c r="BD332" s="46">
        <v>0.42</v>
      </c>
      <c r="BE332" s="46">
        <v>0.2</v>
      </c>
      <c r="BF332" s="26"/>
      <c r="BG332" s="22">
        <f t="shared" ref="BG332:BH332" si="1194">(AY332+BA332+BC332+BE332)</f>
        <v>1</v>
      </c>
      <c r="BH332" s="22">
        <f t="shared" si="1194"/>
        <v>0.8</v>
      </c>
      <c r="BI332" s="22">
        <f>BH332/BG332</f>
        <v>0.8</v>
      </c>
      <c r="BJ332" s="23" t="str">
        <f>MIN((BG332 /BG332) * 100, 100) &amp; "%"</f>
        <v>100%</v>
      </c>
      <c r="BK332" s="24">
        <f>IF(BG332=0, 0, BH332/BG332)</f>
        <v>0.8</v>
      </c>
      <c r="BL332" s="22" t="s">
        <v>92</v>
      </c>
      <c r="BM332" s="25" t="s">
        <v>1603</v>
      </c>
      <c r="BN332" s="27">
        <v>198000000</v>
      </c>
      <c r="BO332" s="27">
        <v>101600000</v>
      </c>
      <c r="BP332" s="27">
        <v>6300000</v>
      </c>
      <c r="BQ332" s="27">
        <v>6300000</v>
      </c>
      <c r="BR332" s="27">
        <f t="shared" ref="BR332:BS332" si="1195">+BN332+BP332</f>
        <v>204300000</v>
      </c>
      <c r="BS332" s="27">
        <f t="shared" si="1195"/>
        <v>107900000</v>
      </c>
      <c r="BT332" s="20">
        <f t="shared" si="919"/>
        <v>0.52814488497307877</v>
      </c>
      <c r="BU332" s="27">
        <v>180000000</v>
      </c>
      <c r="BV332" s="27">
        <v>198000000</v>
      </c>
      <c r="BW332" s="27">
        <v>170550000</v>
      </c>
      <c r="BX332" s="27">
        <v>126043333</v>
      </c>
      <c r="BY332" s="28">
        <f t="shared" si="1062"/>
        <v>0.86136363636363633</v>
      </c>
      <c r="BZ332" s="27">
        <v>200000000</v>
      </c>
      <c r="CA332" s="20">
        <v>330000000</v>
      </c>
      <c r="CB332" s="26">
        <v>400000000</v>
      </c>
      <c r="CC332" s="26">
        <v>450000000</v>
      </c>
      <c r="CD332" s="26">
        <v>1380000000</v>
      </c>
    </row>
    <row r="333" spans="1:82" ht="51.75" customHeight="1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74"/>
      <c r="Q333" s="12"/>
      <c r="R333" s="75"/>
      <c r="S333" s="12"/>
      <c r="T333" s="12"/>
      <c r="U333" s="12"/>
      <c r="V333" s="12"/>
      <c r="W333" s="12"/>
      <c r="X333" s="12"/>
      <c r="Y333" s="76"/>
      <c r="Z333" s="12"/>
      <c r="AA333" s="77"/>
      <c r="AB333" s="77"/>
      <c r="AC333" s="78"/>
      <c r="AD333" s="78"/>
      <c r="AE333" s="78"/>
      <c r="AF333" s="12"/>
      <c r="AG333" s="12"/>
      <c r="AH333" s="12"/>
      <c r="AI333" s="12"/>
      <c r="AJ333" s="79"/>
      <c r="AK333" s="79"/>
      <c r="AL333" s="79"/>
      <c r="AM333" s="79"/>
      <c r="AN333" s="79"/>
      <c r="AO333" s="79"/>
      <c r="AP333" s="79"/>
      <c r="AQ333" s="79"/>
      <c r="AR333" s="80"/>
      <c r="AS333" s="80"/>
      <c r="AT333" s="80"/>
      <c r="AU333" s="81"/>
      <c r="AV333" s="82"/>
      <c r="AW333" s="12"/>
      <c r="AX333" s="79"/>
      <c r="AY333" s="83"/>
      <c r="AZ333" s="83"/>
      <c r="BA333" s="83"/>
      <c r="BB333" s="84"/>
      <c r="BC333" s="83"/>
      <c r="BD333" s="84"/>
      <c r="BE333" s="83"/>
      <c r="BF333" s="79"/>
      <c r="BG333" s="80"/>
      <c r="BH333" s="80"/>
      <c r="BI333" s="80"/>
      <c r="BJ333" s="81"/>
      <c r="BK333" s="82"/>
      <c r="BL333" s="80"/>
      <c r="BM333" s="83"/>
      <c r="BN333" s="85">
        <f t="shared" ref="BN333:BS333" si="1196">SUM(BN2:BN332)</f>
        <v>131533943179</v>
      </c>
      <c r="BO333" s="85">
        <f t="shared" si="1196"/>
        <v>46515637176</v>
      </c>
      <c r="BP333" s="85">
        <f t="shared" si="1196"/>
        <v>61689195696</v>
      </c>
      <c r="BQ333" s="85">
        <f t="shared" si="1196"/>
        <v>61689195696</v>
      </c>
      <c r="BR333" s="85">
        <f t="shared" si="1196"/>
        <v>193223138875</v>
      </c>
      <c r="BS333" s="85">
        <f t="shared" si="1196"/>
        <v>108204832872</v>
      </c>
      <c r="BT333" s="86">
        <f t="shared" si="919"/>
        <v>0.5599993536074368</v>
      </c>
      <c r="BU333" s="85">
        <f t="shared" ref="BU333:BX333" si="1197">SUM(BU2:BU332)</f>
        <v>96135295398</v>
      </c>
      <c r="BV333" s="85">
        <f t="shared" si="1197"/>
        <v>165377676164</v>
      </c>
      <c r="BW333" s="85">
        <f t="shared" si="1197"/>
        <v>124073332398.86</v>
      </c>
      <c r="BX333" s="85">
        <f t="shared" si="1197"/>
        <v>52126084569.819992</v>
      </c>
      <c r="BY333" s="87">
        <f t="shared" si="1062"/>
        <v>0.75024232578900352</v>
      </c>
      <c r="BZ333" s="79"/>
      <c r="CA333" s="79"/>
      <c r="CB333" s="79"/>
      <c r="CC333" s="79"/>
      <c r="CD333" s="79"/>
    </row>
    <row r="334" spans="1:82" ht="51.75" customHeight="1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74"/>
      <c r="Q334" s="12"/>
      <c r="R334" s="75"/>
      <c r="S334" s="12"/>
      <c r="T334" s="12"/>
      <c r="U334" s="12"/>
      <c r="V334" s="12"/>
      <c r="W334" s="12"/>
      <c r="X334" s="12"/>
      <c r="Y334" s="76"/>
      <c r="Z334" s="12"/>
      <c r="AA334" s="77"/>
      <c r="AB334" s="77"/>
      <c r="AC334" s="78"/>
      <c r="AD334" s="78"/>
      <c r="AE334" s="78"/>
      <c r="AF334" s="12"/>
      <c r="AG334" s="12"/>
      <c r="AH334" s="12"/>
      <c r="AI334" s="12"/>
      <c r="AJ334" s="79"/>
      <c r="AK334" s="79"/>
      <c r="AL334" s="79"/>
      <c r="AM334" s="79"/>
      <c r="AN334" s="79"/>
      <c r="AO334" s="79"/>
      <c r="AP334" s="79"/>
      <c r="AQ334" s="79"/>
      <c r="AR334" s="80"/>
      <c r="AS334" s="80"/>
      <c r="AT334" s="80"/>
      <c r="AU334" s="81"/>
      <c r="AV334" s="82"/>
      <c r="AW334" s="12"/>
      <c r="AX334" s="79"/>
      <c r="AY334" s="83"/>
      <c r="AZ334" s="83"/>
      <c r="BA334" s="83"/>
      <c r="BB334" s="84"/>
      <c r="BC334" s="83"/>
      <c r="BD334" s="84"/>
      <c r="BE334" s="83"/>
      <c r="BF334" s="79"/>
      <c r="BG334" s="80"/>
      <c r="BH334" s="80"/>
      <c r="BI334" s="80"/>
      <c r="BJ334" s="81"/>
      <c r="BK334" s="82"/>
      <c r="BL334" s="80"/>
      <c r="BM334" s="83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</row>
    <row r="335" spans="1:82" ht="51.75" customHeight="1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74"/>
      <c r="Q335" s="12"/>
      <c r="R335" s="75"/>
      <c r="S335" s="12"/>
      <c r="T335" s="12"/>
      <c r="U335" s="12"/>
      <c r="V335" s="12"/>
      <c r="W335" s="12"/>
      <c r="X335" s="12"/>
      <c r="Y335" s="76"/>
      <c r="Z335" s="12"/>
      <c r="AA335" s="77"/>
      <c r="AB335" s="77"/>
      <c r="AC335" s="78"/>
      <c r="AD335" s="78"/>
      <c r="AE335" s="78"/>
      <c r="AF335" s="12"/>
      <c r="AG335" s="12"/>
      <c r="AH335" s="12"/>
      <c r="AI335" s="12"/>
      <c r="AJ335" s="79"/>
      <c r="AK335" s="79"/>
      <c r="AL335" s="79"/>
      <c r="AM335" s="79"/>
      <c r="AN335" s="79"/>
      <c r="AO335" s="79"/>
      <c r="AP335" s="79"/>
      <c r="AQ335" s="79"/>
      <c r="AR335" s="80"/>
      <c r="AS335" s="80"/>
      <c r="AT335" s="80"/>
      <c r="AU335" s="81"/>
      <c r="AV335" s="82"/>
      <c r="AW335" s="12"/>
      <c r="AX335" s="79"/>
      <c r="AY335" s="83"/>
      <c r="AZ335" s="83"/>
      <c r="BA335" s="83"/>
      <c r="BB335" s="84"/>
      <c r="BC335" s="83"/>
      <c r="BD335" s="84"/>
      <c r="BE335" s="83"/>
      <c r="BF335" s="79"/>
      <c r="BG335" s="80"/>
      <c r="BH335" s="80"/>
      <c r="BI335" s="80"/>
      <c r="BJ335" s="81"/>
      <c r="BK335" s="82"/>
      <c r="BL335" s="80"/>
      <c r="BM335" s="83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</row>
    <row r="336" spans="1:82" ht="51.75" customHeight="1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74"/>
      <c r="Q336" s="12"/>
      <c r="R336" s="75"/>
      <c r="S336" s="12"/>
      <c r="T336" s="12"/>
      <c r="U336" s="12"/>
      <c r="V336" s="12"/>
      <c r="W336" s="12"/>
      <c r="X336" s="12"/>
      <c r="Y336" s="76"/>
      <c r="Z336" s="12"/>
      <c r="AA336" s="77"/>
      <c r="AB336" s="77"/>
      <c r="AC336" s="78"/>
      <c r="AD336" s="78"/>
      <c r="AE336" s="78"/>
      <c r="AF336" s="12"/>
      <c r="AG336" s="12"/>
      <c r="AH336" s="12"/>
      <c r="AI336" s="12"/>
      <c r="AJ336" s="79"/>
      <c r="AK336" s="79"/>
      <c r="AL336" s="79"/>
      <c r="AM336" s="79"/>
      <c r="AN336" s="79"/>
      <c r="AO336" s="79"/>
      <c r="AP336" s="79"/>
      <c r="AQ336" s="79"/>
      <c r="AR336" s="80"/>
      <c r="AS336" s="80"/>
      <c r="AT336" s="80"/>
      <c r="AU336" s="81"/>
      <c r="AV336" s="82"/>
      <c r="AW336" s="12"/>
      <c r="AX336" s="79"/>
      <c r="AY336" s="83"/>
      <c r="AZ336" s="83"/>
      <c r="BA336" s="83"/>
      <c r="BB336" s="84"/>
      <c r="BC336" s="83"/>
      <c r="BD336" s="84"/>
      <c r="BE336" s="83"/>
      <c r="BF336" s="79"/>
      <c r="BG336" s="80"/>
      <c r="BH336" s="80"/>
      <c r="BI336" s="80"/>
      <c r="BJ336" s="81"/>
      <c r="BK336" s="82"/>
      <c r="BL336" s="80"/>
      <c r="BM336" s="83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</row>
  </sheetData>
  <autoFilter ref="A1:CD336" xr:uid="{00000000-0009-0000-0000-000000000000}"/>
  <conditionalFormatting sqref="AN2:AV336 BF2 BL2 BB2:BB6 AY2:BA7 BC2:BE7 BG2:BI80 BZ2:CA109 BN2:BY332 BJ2:BK336 BC9:BE9 AZ11 AY11:AY12 BA11:BE12 AY17:BB17 AY19:BE19 AY21:AY22 BA21:BA22 BC21:BE22 AZ22 BB22 BA29:BE29 AY47:BA47 BC47 BE47 AY60 BA60 BC60 BE60 BG82:BI93 BG95:BI116 BZ113:CA332 BF118 BG118:BI125 BG127:BI336 AY139:BE139 AY323 BA323:BE323 AY326:AZ326 AY330 BA330 BC330:BE330 BL332:BL336">
    <cfRule type="expression" dxfId="2" priority="2">
      <formula>AND($AN2=0, $AO2=0)</formula>
    </cfRule>
  </conditionalFormatting>
  <conditionalFormatting sqref="AN25:AV25">
    <cfRule type="expression" dxfId="1" priority="1">
      <formula>"Y($AN25=0, $AO25=0)"</formula>
    </cfRule>
  </conditionalFormatting>
  <hyperlinks>
    <hyperlink ref="AX2" r:id="rId1" xr:uid="{00000000-0004-0000-0000-000000000000}"/>
    <hyperlink ref="BM2" r:id="rId2" xr:uid="{00000000-0004-0000-0000-000001000000}"/>
    <hyperlink ref="AX3" r:id="rId3" xr:uid="{00000000-0004-0000-0000-000002000000}"/>
    <hyperlink ref="BM3" r:id="rId4" xr:uid="{00000000-0004-0000-0000-000003000000}"/>
    <hyperlink ref="AX4" r:id="rId5" xr:uid="{00000000-0004-0000-0000-000004000000}"/>
    <hyperlink ref="BM4" r:id="rId6" xr:uid="{00000000-0004-0000-0000-000005000000}"/>
    <hyperlink ref="AX5" r:id="rId7" xr:uid="{00000000-0004-0000-0000-000006000000}"/>
    <hyperlink ref="BM5" r:id="rId8" xr:uid="{00000000-0004-0000-0000-000007000000}"/>
    <hyperlink ref="AX6" r:id="rId9" xr:uid="{00000000-0004-0000-0000-000008000000}"/>
    <hyperlink ref="BM6" r:id="rId10" xr:uid="{00000000-0004-0000-0000-000009000000}"/>
    <hyperlink ref="AX7" r:id="rId11" xr:uid="{00000000-0004-0000-0000-00000A000000}"/>
    <hyperlink ref="BM7" r:id="rId12" xr:uid="{00000000-0004-0000-0000-00000B000000}"/>
    <hyperlink ref="AX8" r:id="rId13" xr:uid="{00000000-0004-0000-0000-00000C000000}"/>
    <hyperlink ref="BM8" r:id="rId14" xr:uid="{00000000-0004-0000-0000-00000D000000}"/>
    <hyperlink ref="AX9" r:id="rId15" xr:uid="{00000000-0004-0000-0000-00000E000000}"/>
    <hyperlink ref="BM9" r:id="rId16" xr:uid="{00000000-0004-0000-0000-00000F000000}"/>
    <hyperlink ref="AX10" r:id="rId17" xr:uid="{00000000-0004-0000-0000-000010000000}"/>
    <hyperlink ref="BM10" r:id="rId18" xr:uid="{00000000-0004-0000-0000-000011000000}"/>
    <hyperlink ref="AX11" r:id="rId19" xr:uid="{00000000-0004-0000-0000-000012000000}"/>
    <hyperlink ref="BM11" r:id="rId20" xr:uid="{00000000-0004-0000-0000-000013000000}"/>
    <hyperlink ref="AX12" r:id="rId21" xr:uid="{00000000-0004-0000-0000-000014000000}"/>
    <hyperlink ref="BM12" r:id="rId22" xr:uid="{00000000-0004-0000-0000-000015000000}"/>
    <hyperlink ref="AX13" r:id="rId23" xr:uid="{00000000-0004-0000-0000-000016000000}"/>
    <hyperlink ref="BM13" r:id="rId24" xr:uid="{00000000-0004-0000-0000-000017000000}"/>
    <hyperlink ref="AX14" r:id="rId25" xr:uid="{00000000-0004-0000-0000-000018000000}"/>
    <hyperlink ref="BM14" r:id="rId26" xr:uid="{00000000-0004-0000-0000-000019000000}"/>
    <hyperlink ref="AX15" r:id="rId27" xr:uid="{00000000-0004-0000-0000-00001A000000}"/>
    <hyperlink ref="BM15" r:id="rId28" xr:uid="{00000000-0004-0000-0000-00001B000000}"/>
    <hyperlink ref="AX16" r:id="rId29" xr:uid="{00000000-0004-0000-0000-00001C000000}"/>
    <hyperlink ref="BM16" r:id="rId30" xr:uid="{00000000-0004-0000-0000-00001D000000}"/>
    <hyperlink ref="AX17" r:id="rId31" xr:uid="{00000000-0004-0000-0000-00001E000000}"/>
    <hyperlink ref="BM17" r:id="rId32" xr:uid="{00000000-0004-0000-0000-00001F000000}"/>
    <hyperlink ref="AX18" r:id="rId33" xr:uid="{00000000-0004-0000-0000-000020000000}"/>
    <hyperlink ref="BM18" r:id="rId34" xr:uid="{00000000-0004-0000-0000-000021000000}"/>
    <hyperlink ref="AX19" r:id="rId35" xr:uid="{00000000-0004-0000-0000-000022000000}"/>
    <hyperlink ref="BM19" r:id="rId36" xr:uid="{00000000-0004-0000-0000-000023000000}"/>
    <hyperlink ref="AX20" r:id="rId37" xr:uid="{00000000-0004-0000-0000-000024000000}"/>
    <hyperlink ref="BM20" r:id="rId38" xr:uid="{00000000-0004-0000-0000-000025000000}"/>
    <hyperlink ref="AX21" r:id="rId39" xr:uid="{00000000-0004-0000-0000-000026000000}"/>
    <hyperlink ref="BM21" r:id="rId40" xr:uid="{00000000-0004-0000-0000-000027000000}"/>
    <hyperlink ref="AX22" r:id="rId41" xr:uid="{00000000-0004-0000-0000-000028000000}"/>
    <hyperlink ref="BM22" r:id="rId42" xr:uid="{00000000-0004-0000-0000-000029000000}"/>
    <hyperlink ref="AX23" r:id="rId43" xr:uid="{00000000-0004-0000-0000-00002A000000}"/>
    <hyperlink ref="BM23" r:id="rId44" xr:uid="{00000000-0004-0000-0000-00002B000000}"/>
    <hyperlink ref="AX24" r:id="rId45" xr:uid="{00000000-0004-0000-0000-00002C000000}"/>
    <hyperlink ref="BM24" r:id="rId46" xr:uid="{00000000-0004-0000-0000-00002D000000}"/>
    <hyperlink ref="BM25" r:id="rId47" xr:uid="{00000000-0004-0000-0000-00002E000000}"/>
    <hyperlink ref="AX26" r:id="rId48" xr:uid="{00000000-0004-0000-0000-00002F000000}"/>
    <hyperlink ref="BM26" r:id="rId49" xr:uid="{00000000-0004-0000-0000-000030000000}"/>
    <hyperlink ref="AX27" r:id="rId50" xr:uid="{00000000-0004-0000-0000-000031000000}"/>
    <hyperlink ref="BM27" r:id="rId51" xr:uid="{00000000-0004-0000-0000-000032000000}"/>
    <hyperlink ref="BM28" r:id="rId52" xr:uid="{00000000-0004-0000-0000-000033000000}"/>
    <hyperlink ref="AX29" r:id="rId53" xr:uid="{00000000-0004-0000-0000-000034000000}"/>
    <hyperlink ref="BM29" r:id="rId54" xr:uid="{00000000-0004-0000-0000-000035000000}"/>
    <hyperlink ref="AX30" r:id="rId55" xr:uid="{00000000-0004-0000-0000-000036000000}"/>
    <hyperlink ref="BM30" r:id="rId56" xr:uid="{00000000-0004-0000-0000-000037000000}"/>
    <hyperlink ref="AX31" r:id="rId57" xr:uid="{00000000-0004-0000-0000-000038000000}"/>
    <hyperlink ref="BM31" r:id="rId58" xr:uid="{00000000-0004-0000-0000-000039000000}"/>
    <hyperlink ref="BM32" r:id="rId59" xr:uid="{00000000-0004-0000-0000-00003A000000}"/>
    <hyperlink ref="AX33" r:id="rId60" xr:uid="{00000000-0004-0000-0000-00003B000000}"/>
    <hyperlink ref="BM33" r:id="rId61" xr:uid="{00000000-0004-0000-0000-00003C000000}"/>
    <hyperlink ref="AX34" r:id="rId62" xr:uid="{00000000-0004-0000-0000-00003D000000}"/>
    <hyperlink ref="BM34" r:id="rId63" xr:uid="{00000000-0004-0000-0000-00003E000000}"/>
    <hyperlink ref="AX35" r:id="rId64" xr:uid="{00000000-0004-0000-0000-00003F000000}"/>
    <hyperlink ref="BM35" r:id="rId65" xr:uid="{00000000-0004-0000-0000-000040000000}"/>
    <hyperlink ref="AX36" r:id="rId66" xr:uid="{00000000-0004-0000-0000-000041000000}"/>
    <hyperlink ref="BM36" r:id="rId67" xr:uid="{00000000-0004-0000-0000-000042000000}"/>
    <hyperlink ref="AX37" r:id="rId68" xr:uid="{00000000-0004-0000-0000-000043000000}"/>
    <hyperlink ref="BM37" r:id="rId69" xr:uid="{00000000-0004-0000-0000-000044000000}"/>
    <hyperlink ref="AX38" r:id="rId70" xr:uid="{00000000-0004-0000-0000-000045000000}"/>
    <hyperlink ref="BM38" r:id="rId71" xr:uid="{00000000-0004-0000-0000-000046000000}"/>
    <hyperlink ref="AX39" r:id="rId72" xr:uid="{00000000-0004-0000-0000-000047000000}"/>
    <hyperlink ref="BM39" r:id="rId73" xr:uid="{00000000-0004-0000-0000-000048000000}"/>
    <hyperlink ref="BM40" r:id="rId74" xr:uid="{00000000-0004-0000-0000-000049000000}"/>
    <hyperlink ref="AX41" r:id="rId75" xr:uid="{00000000-0004-0000-0000-00004A000000}"/>
    <hyperlink ref="BM41" r:id="rId76" xr:uid="{00000000-0004-0000-0000-00004B000000}"/>
    <hyperlink ref="AX42" r:id="rId77" xr:uid="{00000000-0004-0000-0000-00004C000000}"/>
    <hyperlink ref="BM42" r:id="rId78" xr:uid="{00000000-0004-0000-0000-00004D000000}"/>
    <hyperlink ref="N43" r:id="rId79" xr:uid="{00000000-0004-0000-0000-00004E000000}"/>
    <hyperlink ref="AX43" r:id="rId80" xr:uid="{00000000-0004-0000-0000-00004F000000}"/>
    <hyperlink ref="BM43" r:id="rId81" xr:uid="{00000000-0004-0000-0000-000050000000}"/>
    <hyperlink ref="N44" r:id="rId82" xr:uid="{00000000-0004-0000-0000-000051000000}"/>
    <hyperlink ref="AX44" r:id="rId83" xr:uid="{00000000-0004-0000-0000-000052000000}"/>
    <hyperlink ref="BM44" r:id="rId84" xr:uid="{00000000-0004-0000-0000-000053000000}"/>
    <hyperlink ref="N45" r:id="rId85" xr:uid="{00000000-0004-0000-0000-000054000000}"/>
    <hyperlink ref="AX45" r:id="rId86" xr:uid="{00000000-0004-0000-0000-000055000000}"/>
    <hyperlink ref="BM45" r:id="rId87" xr:uid="{00000000-0004-0000-0000-000056000000}"/>
    <hyperlink ref="AX46" r:id="rId88" xr:uid="{00000000-0004-0000-0000-000057000000}"/>
    <hyperlink ref="BM46" r:id="rId89" xr:uid="{00000000-0004-0000-0000-000058000000}"/>
    <hyperlink ref="AX47" r:id="rId90" xr:uid="{00000000-0004-0000-0000-000059000000}"/>
    <hyperlink ref="BM47" r:id="rId91" xr:uid="{00000000-0004-0000-0000-00005A000000}"/>
    <hyperlink ref="AX48" r:id="rId92" xr:uid="{00000000-0004-0000-0000-00005B000000}"/>
    <hyperlink ref="BM48" r:id="rId93" xr:uid="{00000000-0004-0000-0000-00005C000000}"/>
    <hyperlink ref="AX49" r:id="rId94" xr:uid="{00000000-0004-0000-0000-00005D000000}"/>
    <hyperlink ref="BM49" r:id="rId95" xr:uid="{00000000-0004-0000-0000-00005E000000}"/>
    <hyperlink ref="AX50" r:id="rId96" xr:uid="{00000000-0004-0000-0000-00005F000000}"/>
    <hyperlink ref="BM50" r:id="rId97" xr:uid="{00000000-0004-0000-0000-000060000000}"/>
    <hyperlink ref="AX51" r:id="rId98" xr:uid="{00000000-0004-0000-0000-000061000000}"/>
    <hyperlink ref="BM51" r:id="rId99" xr:uid="{00000000-0004-0000-0000-000062000000}"/>
    <hyperlink ref="BM52" r:id="rId100" xr:uid="{00000000-0004-0000-0000-000063000000}"/>
    <hyperlink ref="AX53" r:id="rId101" xr:uid="{00000000-0004-0000-0000-000064000000}"/>
    <hyperlink ref="BM53" r:id="rId102" xr:uid="{00000000-0004-0000-0000-000065000000}"/>
    <hyperlink ref="AX54" r:id="rId103" xr:uid="{00000000-0004-0000-0000-000066000000}"/>
    <hyperlink ref="BM54" r:id="rId104" xr:uid="{00000000-0004-0000-0000-000067000000}"/>
    <hyperlink ref="AX55" r:id="rId105" xr:uid="{00000000-0004-0000-0000-000068000000}"/>
    <hyperlink ref="BM55" r:id="rId106" xr:uid="{00000000-0004-0000-0000-000069000000}"/>
    <hyperlink ref="AX56" r:id="rId107" xr:uid="{00000000-0004-0000-0000-00006A000000}"/>
    <hyperlink ref="BM56" r:id="rId108" xr:uid="{00000000-0004-0000-0000-00006B000000}"/>
    <hyperlink ref="BM57" r:id="rId109" xr:uid="{00000000-0004-0000-0000-00006C000000}"/>
    <hyperlink ref="BM58" r:id="rId110" xr:uid="{00000000-0004-0000-0000-00006D000000}"/>
    <hyperlink ref="AX59" r:id="rId111" xr:uid="{00000000-0004-0000-0000-00006E000000}"/>
    <hyperlink ref="BM59" r:id="rId112" xr:uid="{00000000-0004-0000-0000-00006F000000}"/>
    <hyperlink ref="AX60" r:id="rId113" xr:uid="{00000000-0004-0000-0000-000070000000}"/>
    <hyperlink ref="BM60" r:id="rId114" xr:uid="{00000000-0004-0000-0000-000071000000}"/>
    <hyperlink ref="AX61" r:id="rId115" xr:uid="{00000000-0004-0000-0000-000072000000}"/>
    <hyperlink ref="BM61" r:id="rId116" xr:uid="{00000000-0004-0000-0000-000073000000}"/>
    <hyperlink ref="BM62" r:id="rId117" xr:uid="{00000000-0004-0000-0000-000074000000}"/>
    <hyperlink ref="BM63" r:id="rId118" xr:uid="{00000000-0004-0000-0000-000075000000}"/>
    <hyperlink ref="AX64" r:id="rId119" xr:uid="{00000000-0004-0000-0000-000076000000}"/>
    <hyperlink ref="BM64" r:id="rId120" xr:uid="{00000000-0004-0000-0000-000077000000}"/>
    <hyperlink ref="AX65" r:id="rId121" xr:uid="{00000000-0004-0000-0000-000078000000}"/>
    <hyperlink ref="BM65" r:id="rId122" xr:uid="{00000000-0004-0000-0000-000079000000}"/>
    <hyperlink ref="AX66" r:id="rId123" xr:uid="{00000000-0004-0000-0000-00007A000000}"/>
    <hyperlink ref="BM66" r:id="rId124" xr:uid="{00000000-0004-0000-0000-00007B000000}"/>
    <hyperlink ref="BM67" r:id="rId125" xr:uid="{00000000-0004-0000-0000-00007C000000}"/>
    <hyperlink ref="BM68" r:id="rId126" xr:uid="{00000000-0004-0000-0000-00007D000000}"/>
    <hyperlink ref="AX69" r:id="rId127" xr:uid="{00000000-0004-0000-0000-00007E000000}"/>
    <hyperlink ref="BM69" r:id="rId128" xr:uid="{00000000-0004-0000-0000-00007F000000}"/>
    <hyperlink ref="AX70" r:id="rId129" xr:uid="{00000000-0004-0000-0000-000080000000}"/>
    <hyperlink ref="BM70" r:id="rId130" xr:uid="{00000000-0004-0000-0000-000081000000}"/>
    <hyperlink ref="AX71" r:id="rId131" xr:uid="{00000000-0004-0000-0000-000082000000}"/>
    <hyperlink ref="BM71" r:id="rId132" xr:uid="{00000000-0004-0000-0000-000083000000}"/>
    <hyperlink ref="AX72" r:id="rId133" xr:uid="{00000000-0004-0000-0000-000084000000}"/>
    <hyperlink ref="BM72" r:id="rId134" xr:uid="{00000000-0004-0000-0000-000085000000}"/>
    <hyperlink ref="BM73" r:id="rId135" xr:uid="{00000000-0004-0000-0000-000086000000}"/>
    <hyperlink ref="BM74" r:id="rId136" xr:uid="{00000000-0004-0000-0000-000087000000}"/>
    <hyperlink ref="BM75" r:id="rId137" xr:uid="{00000000-0004-0000-0000-000088000000}"/>
    <hyperlink ref="AX76" r:id="rId138" xr:uid="{00000000-0004-0000-0000-000089000000}"/>
    <hyperlink ref="BM76" r:id="rId139" xr:uid="{00000000-0004-0000-0000-00008A000000}"/>
    <hyperlink ref="BM77" r:id="rId140" xr:uid="{00000000-0004-0000-0000-00008B000000}"/>
    <hyperlink ref="BM78" r:id="rId141" xr:uid="{00000000-0004-0000-0000-00008C000000}"/>
    <hyperlink ref="AX80" r:id="rId142" xr:uid="{00000000-0004-0000-0000-00008D000000}"/>
    <hyperlink ref="BM80" r:id="rId143" xr:uid="{00000000-0004-0000-0000-00008E000000}"/>
    <hyperlink ref="AX81" r:id="rId144" xr:uid="{00000000-0004-0000-0000-00008F000000}"/>
    <hyperlink ref="BM81" r:id="rId145" xr:uid="{00000000-0004-0000-0000-000090000000}"/>
    <hyperlink ref="AX82" r:id="rId146" xr:uid="{00000000-0004-0000-0000-000091000000}"/>
    <hyperlink ref="BM82" r:id="rId147" xr:uid="{00000000-0004-0000-0000-000092000000}"/>
    <hyperlink ref="AX83" r:id="rId148" xr:uid="{00000000-0004-0000-0000-000093000000}"/>
    <hyperlink ref="BM83" r:id="rId149" xr:uid="{00000000-0004-0000-0000-000094000000}"/>
    <hyperlink ref="AX84" r:id="rId150" xr:uid="{00000000-0004-0000-0000-000095000000}"/>
    <hyperlink ref="BM84" r:id="rId151" xr:uid="{00000000-0004-0000-0000-000096000000}"/>
    <hyperlink ref="AX85" r:id="rId152" xr:uid="{00000000-0004-0000-0000-000097000000}"/>
    <hyperlink ref="BM85" r:id="rId153" xr:uid="{00000000-0004-0000-0000-000098000000}"/>
    <hyperlink ref="AX86" r:id="rId154" xr:uid="{00000000-0004-0000-0000-000099000000}"/>
    <hyperlink ref="BM86" r:id="rId155" xr:uid="{00000000-0004-0000-0000-00009A000000}"/>
    <hyperlink ref="AX87" r:id="rId156" xr:uid="{00000000-0004-0000-0000-00009B000000}"/>
    <hyperlink ref="BM87" r:id="rId157" xr:uid="{00000000-0004-0000-0000-00009C000000}"/>
    <hyperlink ref="AX88" r:id="rId158" xr:uid="{00000000-0004-0000-0000-00009D000000}"/>
    <hyperlink ref="BM88" r:id="rId159" xr:uid="{00000000-0004-0000-0000-00009E000000}"/>
    <hyperlink ref="AX89" r:id="rId160" xr:uid="{00000000-0004-0000-0000-00009F000000}"/>
    <hyperlink ref="BM89" r:id="rId161" xr:uid="{00000000-0004-0000-0000-0000A0000000}"/>
    <hyperlink ref="BM90" r:id="rId162" xr:uid="{00000000-0004-0000-0000-0000A1000000}"/>
    <hyperlink ref="AX91" r:id="rId163" xr:uid="{00000000-0004-0000-0000-0000A2000000}"/>
    <hyperlink ref="BM91" r:id="rId164" xr:uid="{00000000-0004-0000-0000-0000A3000000}"/>
    <hyperlink ref="AX92" r:id="rId165" xr:uid="{00000000-0004-0000-0000-0000A4000000}"/>
    <hyperlink ref="BM92" r:id="rId166" xr:uid="{00000000-0004-0000-0000-0000A5000000}"/>
    <hyperlink ref="AX93" r:id="rId167" xr:uid="{00000000-0004-0000-0000-0000A6000000}"/>
    <hyperlink ref="BM93" r:id="rId168" xr:uid="{00000000-0004-0000-0000-0000A7000000}"/>
    <hyperlink ref="AX94" r:id="rId169" xr:uid="{00000000-0004-0000-0000-0000A8000000}"/>
    <hyperlink ref="BM94" r:id="rId170" xr:uid="{00000000-0004-0000-0000-0000A9000000}"/>
    <hyperlink ref="BM95" r:id="rId171" xr:uid="{00000000-0004-0000-0000-0000AA000000}"/>
    <hyperlink ref="AX96" r:id="rId172" xr:uid="{00000000-0004-0000-0000-0000AB000000}"/>
    <hyperlink ref="BM96" r:id="rId173" xr:uid="{00000000-0004-0000-0000-0000AC000000}"/>
    <hyperlink ref="AX97" r:id="rId174" xr:uid="{00000000-0004-0000-0000-0000AD000000}"/>
    <hyperlink ref="BM97" r:id="rId175" xr:uid="{00000000-0004-0000-0000-0000AE000000}"/>
    <hyperlink ref="AX98" r:id="rId176" xr:uid="{00000000-0004-0000-0000-0000AF000000}"/>
    <hyperlink ref="BM98" r:id="rId177" xr:uid="{00000000-0004-0000-0000-0000B0000000}"/>
    <hyperlink ref="AX99" r:id="rId178" xr:uid="{00000000-0004-0000-0000-0000B1000000}"/>
    <hyperlink ref="BM99" r:id="rId179" xr:uid="{00000000-0004-0000-0000-0000B2000000}"/>
    <hyperlink ref="BM100" r:id="rId180" xr:uid="{00000000-0004-0000-0000-0000B3000000}"/>
    <hyperlink ref="AX101" r:id="rId181" xr:uid="{00000000-0004-0000-0000-0000B4000000}"/>
    <hyperlink ref="BM101" r:id="rId182" xr:uid="{00000000-0004-0000-0000-0000B5000000}"/>
    <hyperlink ref="AX102" r:id="rId183" xr:uid="{00000000-0004-0000-0000-0000B6000000}"/>
    <hyperlink ref="BM102" r:id="rId184" xr:uid="{00000000-0004-0000-0000-0000B7000000}"/>
    <hyperlink ref="AX103" r:id="rId185" xr:uid="{00000000-0004-0000-0000-0000B8000000}"/>
    <hyperlink ref="BM103" r:id="rId186" xr:uid="{00000000-0004-0000-0000-0000B9000000}"/>
    <hyperlink ref="AX104" r:id="rId187" xr:uid="{00000000-0004-0000-0000-0000BA000000}"/>
    <hyperlink ref="BM104" r:id="rId188" xr:uid="{00000000-0004-0000-0000-0000BB000000}"/>
    <hyperlink ref="AX105" r:id="rId189" xr:uid="{00000000-0004-0000-0000-0000BC000000}"/>
    <hyperlink ref="BM105" r:id="rId190" xr:uid="{00000000-0004-0000-0000-0000BD000000}"/>
    <hyperlink ref="AX106" r:id="rId191" xr:uid="{00000000-0004-0000-0000-0000BE000000}"/>
    <hyperlink ref="BM106" r:id="rId192" xr:uid="{00000000-0004-0000-0000-0000BF000000}"/>
    <hyperlink ref="AX107" r:id="rId193" xr:uid="{00000000-0004-0000-0000-0000C0000000}"/>
    <hyperlink ref="BM107" r:id="rId194" xr:uid="{00000000-0004-0000-0000-0000C1000000}"/>
    <hyperlink ref="AX108" r:id="rId195" xr:uid="{00000000-0004-0000-0000-0000C2000000}"/>
    <hyperlink ref="BM108" r:id="rId196" xr:uid="{00000000-0004-0000-0000-0000C3000000}"/>
    <hyperlink ref="AX109" r:id="rId197" xr:uid="{00000000-0004-0000-0000-0000C4000000}"/>
    <hyperlink ref="BM109" r:id="rId198" xr:uid="{00000000-0004-0000-0000-0000C5000000}"/>
    <hyperlink ref="AX110" r:id="rId199" xr:uid="{00000000-0004-0000-0000-0000C6000000}"/>
    <hyperlink ref="BM110" r:id="rId200" xr:uid="{00000000-0004-0000-0000-0000C7000000}"/>
    <hyperlink ref="AX111" r:id="rId201" xr:uid="{00000000-0004-0000-0000-0000C8000000}"/>
    <hyperlink ref="BM111" r:id="rId202" xr:uid="{00000000-0004-0000-0000-0000C9000000}"/>
    <hyperlink ref="AX112" r:id="rId203" xr:uid="{00000000-0004-0000-0000-0000CA000000}"/>
    <hyperlink ref="BM112" r:id="rId204" xr:uid="{00000000-0004-0000-0000-0000CB000000}"/>
    <hyperlink ref="BM113" r:id="rId205" xr:uid="{00000000-0004-0000-0000-0000CC000000}"/>
    <hyperlink ref="AX114" r:id="rId206" xr:uid="{00000000-0004-0000-0000-0000CD000000}"/>
    <hyperlink ref="BM114" r:id="rId207" xr:uid="{00000000-0004-0000-0000-0000CE000000}"/>
    <hyperlink ref="AX115" r:id="rId208" xr:uid="{00000000-0004-0000-0000-0000CF000000}"/>
    <hyperlink ref="BM115" r:id="rId209" xr:uid="{00000000-0004-0000-0000-0000D0000000}"/>
    <hyperlink ref="AX116" r:id="rId210" xr:uid="{00000000-0004-0000-0000-0000D1000000}"/>
    <hyperlink ref="BM116" r:id="rId211" xr:uid="{00000000-0004-0000-0000-0000D2000000}"/>
    <hyperlink ref="AX117" r:id="rId212" xr:uid="{00000000-0004-0000-0000-0000D3000000}"/>
    <hyperlink ref="BM117" r:id="rId213" xr:uid="{00000000-0004-0000-0000-0000D4000000}"/>
    <hyperlink ref="AX118" r:id="rId214" xr:uid="{00000000-0004-0000-0000-0000D5000000}"/>
    <hyperlink ref="BM118" r:id="rId215" xr:uid="{00000000-0004-0000-0000-0000D6000000}"/>
    <hyperlink ref="BM119" r:id="rId216" xr:uid="{00000000-0004-0000-0000-0000D7000000}"/>
    <hyperlink ref="BM120" r:id="rId217" xr:uid="{00000000-0004-0000-0000-0000D8000000}"/>
    <hyperlink ref="AX121" r:id="rId218" xr:uid="{00000000-0004-0000-0000-0000D9000000}"/>
    <hyperlink ref="BM121" r:id="rId219" xr:uid="{00000000-0004-0000-0000-0000DA000000}"/>
    <hyperlink ref="AX122" r:id="rId220" xr:uid="{00000000-0004-0000-0000-0000DB000000}"/>
    <hyperlink ref="BM122" r:id="rId221" xr:uid="{00000000-0004-0000-0000-0000DC000000}"/>
    <hyperlink ref="AX123" r:id="rId222" xr:uid="{00000000-0004-0000-0000-0000DD000000}"/>
    <hyperlink ref="BM123" r:id="rId223" xr:uid="{00000000-0004-0000-0000-0000DE000000}"/>
    <hyperlink ref="AX124" r:id="rId224" xr:uid="{00000000-0004-0000-0000-0000DF000000}"/>
    <hyperlink ref="BM124" r:id="rId225" xr:uid="{00000000-0004-0000-0000-0000E0000000}"/>
    <hyperlink ref="AX125" r:id="rId226" xr:uid="{00000000-0004-0000-0000-0000E1000000}"/>
    <hyperlink ref="BM125" r:id="rId227" xr:uid="{00000000-0004-0000-0000-0000E2000000}"/>
    <hyperlink ref="AX126" r:id="rId228" xr:uid="{00000000-0004-0000-0000-0000E3000000}"/>
    <hyperlink ref="BM126" r:id="rId229" xr:uid="{00000000-0004-0000-0000-0000E4000000}"/>
    <hyperlink ref="AX127" r:id="rId230" xr:uid="{00000000-0004-0000-0000-0000E5000000}"/>
    <hyperlink ref="BM127" r:id="rId231" xr:uid="{00000000-0004-0000-0000-0000E6000000}"/>
    <hyperlink ref="AX128" r:id="rId232" xr:uid="{00000000-0004-0000-0000-0000E7000000}"/>
    <hyperlink ref="BM128" r:id="rId233" xr:uid="{00000000-0004-0000-0000-0000E8000000}"/>
    <hyperlink ref="AX129" r:id="rId234" xr:uid="{00000000-0004-0000-0000-0000E9000000}"/>
    <hyperlink ref="BM129" r:id="rId235" xr:uid="{00000000-0004-0000-0000-0000EA000000}"/>
    <hyperlink ref="AX130" r:id="rId236" xr:uid="{00000000-0004-0000-0000-0000EB000000}"/>
    <hyperlink ref="BM130" r:id="rId237" xr:uid="{00000000-0004-0000-0000-0000EC000000}"/>
    <hyperlink ref="AX131" r:id="rId238" xr:uid="{00000000-0004-0000-0000-0000ED000000}"/>
    <hyperlink ref="BM131" r:id="rId239" xr:uid="{00000000-0004-0000-0000-0000EE000000}"/>
    <hyperlink ref="AX132" r:id="rId240" xr:uid="{00000000-0004-0000-0000-0000EF000000}"/>
    <hyperlink ref="BM132" r:id="rId241" xr:uid="{00000000-0004-0000-0000-0000F0000000}"/>
    <hyperlink ref="AX133" r:id="rId242" xr:uid="{00000000-0004-0000-0000-0000F1000000}"/>
    <hyperlink ref="BM133" r:id="rId243" xr:uid="{00000000-0004-0000-0000-0000F2000000}"/>
    <hyperlink ref="AX134" r:id="rId244" xr:uid="{00000000-0004-0000-0000-0000F3000000}"/>
    <hyperlink ref="BM134" r:id="rId245" xr:uid="{00000000-0004-0000-0000-0000F4000000}"/>
    <hyperlink ref="AX135" r:id="rId246" xr:uid="{00000000-0004-0000-0000-0000F5000000}"/>
    <hyperlink ref="BM135" r:id="rId247" xr:uid="{00000000-0004-0000-0000-0000F6000000}"/>
    <hyperlink ref="BM136" r:id="rId248" xr:uid="{00000000-0004-0000-0000-0000F7000000}"/>
    <hyperlink ref="AX137" r:id="rId249" xr:uid="{00000000-0004-0000-0000-0000F8000000}"/>
    <hyperlink ref="BM137" r:id="rId250" xr:uid="{00000000-0004-0000-0000-0000F9000000}"/>
    <hyperlink ref="AX138" r:id="rId251" xr:uid="{00000000-0004-0000-0000-0000FA000000}"/>
    <hyperlink ref="BM138" r:id="rId252" xr:uid="{00000000-0004-0000-0000-0000FB000000}"/>
    <hyperlink ref="AX139" r:id="rId253" xr:uid="{00000000-0004-0000-0000-0000FC000000}"/>
    <hyperlink ref="BM139" r:id="rId254" xr:uid="{00000000-0004-0000-0000-0000FD000000}"/>
    <hyperlink ref="AX140" r:id="rId255" xr:uid="{00000000-0004-0000-0000-0000FE000000}"/>
    <hyperlink ref="BM140" r:id="rId256" xr:uid="{00000000-0004-0000-0000-0000FF000000}"/>
    <hyperlink ref="AX141" r:id="rId257" xr:uid="{00000000-0004-0000-0000-000000010000}"/>
    <hyperlink ref="BM141" r:id="rId258" xr:uid="{00000000-0004-0000-0000-000001010000}"/>
    <hyperlink ref="AX142" r:id="rId259" xr:uid="{00000000-0004-0000-0000-000002010000}"/>
    <hyperlink ref="BM142" r:id="rId260" xr:uid="{00000000-0004-0000-0000-000003010000}"/>
    <hyperlink ref="AX143" r:id="rId261" xr:uid="{00000000-0004-0000-0000-000004010000}"/>
    <hyperlink ref="BM143" r:id="rId262" xr:uid="{00000000-0004-0000-0000-000005010000}"/>
    <hyperlink ref="AX144" r:id="rId263" xr:uid="{00000000-0004-0000-0000-000006010000}"/>
    <hyperlink ref="BM144" r:id="rId264" xr:uid="{00000000-0004-0000-0000-000007010000}"/>
    <hyperlink ref="AX145" r:id="rId265" xr:uid="{00000000-0004-0000-0000-000008010000}"/>
    <hyperlink ref="BM145" r:id="rId266" xr:uid="{00000000-0004-0000-0000-000009010000}"/>
    <hyperlink ref="AX146" r:id="rId267" xr:uid="{00000000-0004-0000-0000-00000A010000}"/>
    <hyperlink ref="BM146" r:id="rId268" xr:uid="{00000000-0004-0000-0000-00000B010000}"/>
    <hyperlink ref="AX147" r:id="rId269" xr:uid="{00000000-0004-0000-0000-00000C010000}"/>
    <hyperlink ref="BM147" r:id="rId270" xr:uid="{00000000-0004-0000-0000-00000D010000}"/>
    <hyperlink ref="AX148" r:id="rId271" xr:uid="{00000000-0004-0000-0000-00000E010000}"/>
    <hyperlink ref="BM148" r:id="rId272" xr:uid="{00000000-0004-0000-0000-00000F010000}"/>
    <hyperlink ref="AX149" r:id="rId273" xr:uid="{00000000-0004-0000-0000-000010010000}"/>
    <hyperlink ref="BM149" r:id="rId274" xr:uid="{00000000-0004-0000-0000-000011010000}"/>
    <hyperlink ref="AX150" r:id="rId275" xr:uid="{00000000-0004-0000-0000-000012010000}"/>
    <hyperlink ref="BM150" r:id="rId276" xr:uid="{00000000-0004-0000-0000-000013010000}"/>
    <hyperlink ref="AX151" r:id="rId277" xr:uid="{00000000-0004-0000-0000-000014010000}"/>
    <hyperlink ref="BM151" r:id="rId278" xr:uid="{00000000-0004-0000-0000-000015010000}"/>
    <hyperlink ref="AX152" r:id="rId279" xr:uid="{00000000-0004-0000-0000-000016010000}"/>
    <hyperlink ref="BM152" r:id="rId280" xr:uid="{00000000-0004-0000-0000-000017010000}"/>
    <hyperlink ref="BM153" r:id="rId281" xr:uid="{00000000-0004-0000-0000-000018010000}"/>
    <hyperlink ref="AX154" r:id="rId282" xr:uid="{00000000-0004-0000-0000-000019010000}"/>
    <hyperlink ref="BM154" r:id="rId283" xr:uid="{00000000-0004-0000-0000-00001A010000}"/>
    <hyperlink ref="AX155" r:id="rId284" xr:uid="{00000000-0004-0000-0000-00001B010000}"/>
    <hyperlink ref="BM155" r:id="rId285" xr:uid="{00000000-0004-0000-0000-00001C010000}"/>
    <hyperlink ref="BM156" r:id="rId286" xr:uid="{00000000-0004-0000-0000-00001D010000}"/>
    <hyperlink ref="AX157" r:id="rId287" xr:uid="{00000000-0004-0000-0000-00001E010000}"/>
    <hyperlink ref="BM157" r:id="rId288" xr:uid="{00000000-0004-0000-0000-00001F010000}"/>
    <hyperlink ref="BM158" r:id="rId289" xr:uid="{00000000-0004-0000-0000-000020010000}"/>
    <hyperlink ref="BM159" r:id="rId290" xr:uid="{00000000-0004-0000-0000-000021010000}"/>
    <hyperlink ref="BM160" r:id="rId291" xr:uid="{00000000-0004-0000-0000-000022010000}"/>
    <hyperlink ref="AX161" r:id="rId292" xr:uid="{00000000-0004-0000-0000-000023010000}"/>
    <hyperlink ref="BM161" r:id="rId293" xr:uid="{00000000-0004-0000-0000-000024010000}"/>
    <hyperlink ref="AX162" r:id="rId294" xr:uid="{00000000-0004-0000-0000-000025010000}"/>
    <hyperlink ref="BM162" r:id="rId295" xr:uid="{00000000-0004-0000-0000-000026010000}"/>
    <hyperlink ref="AX163" r:id="rId296" xr:uid="{00000000-0004-0000-0000-000027010000}"/>
    <hyperlink ref="BM163" r:id="rId297" xr:uid="{00000000-0004-0000-0000-000028010000}"/>
    <hyperlink ref="AX164" r:id="rId298" xr:uid="{00000000-0004-0000-0000-000029010000}"/>
    <hyperlink ref="BM164" r:id="rId299" xr:uid="{00000000-0004-0000-0000-00002A010000}"/>
    <hyperlink ref="AX165" r:id="rId300" xr:uid="{00000000-0004-0000-0000-00002B010000}"/>
    <hyperlink ref="BM165" r:id="rId301" xr:uid="{00000000-0004-0000-0000-00002C010000}"/>
    <hyperlink ref="AX166" r:id="rId302" xr:uid="{00000000-0004-0000-0000-00002D010000}"/>
    <hyperlink ref="BM166" r:id="rId303" xr:uid="{00000000-0004-0000-0000-00002E010000}"/>
    <hyperlink ref="AX167" r:id="rId304" xr:uid="{00000000-0004-0000-0000-00002F010000}"/>
    <hyperlink ref="BM167" r:id="rId305" xr:uid="{00000000-0004-0000-0000-000030010000}"/>
    <hyperlink ref="BM168" r:id="rId306" xr:uid="{00000000-0004-0000-0000-000031010000}"/>
    <hyperlink ref="AX169" r:id="rId307" xr:uid="{00000000-0004-0000-0000-000032010000}"/>
    <hyperlink ref="BM169" r:id="rId308" xr:uid="{00000000-0004-0000-0000-000033010000}"/>
    <hyperlink ref="BM170" r:id="rId309" xr:uid="{00000000-0004-0000-0000-000034010000}"/>
    <hyperlink ref="AX171" r:id="rId310" xr:uid="{00000000-0004-0000-0000-000035010000}"/>
    <hyperlink ref="BM171" r:id="rId311" xr:uid="{00000000-0004-0000-0000-000036010000}"/>
    <hyperlink ref="AX172" r:id="rId312" xr:uid="{00000000-0004-0000-0000-000037010000}"/>
    <hyperlink ref="BM172" r:id="rId313" xr:uid="{00000000-0004-0000-0000-000038010000}"/>
    <hyperlink ref="AX173" r:id="rId314" xr:uid="{00000000-0004-0000-0000-000039010000}"/>
    <hyperlink ref="BM173" r:id="rId315" xr:uid="{00000000-0004-0000-0000-00003A010000}"/>
    <hyperlink ref="AX174" r:id="rId316" xr:uid="{00000000-0004-0000-0000-00003B010000}"/>
    <hyperlink ref="BM174" r:id="rId317" xr:uid="{00000000-0004-0000-0000-00003C010000}"/>
    <hyperlink ref="AX175" r:id="rId318" xr:uid="{00000000-0004-0000-0000-00003D010000}"/>
    <hyperlink ref="BM175" r:id="rId319" xr:uid="{00000000-0004-0000-0000-00003E010000}"/>
    <hyperlink ref="AX176" r:id="rId320" xr:uid="{00000000-0004-0000-0000-00003F010000}"/>
    <hyperlink ref="BM176" r:id="rId321" xr:uid="{00000000-0004-0000-0000-000040010000}"/>
    <hyperlink ref="AX177" r:id="rId322" xr:uid="{00000000-0004-0000-0000-000041010000}"/>
    <hyperlink ref="BM177" r:id="rId323" xr:uid="{00000000-0004-0000-0000-000042010000}"/>
    <hyperlink ref="AX178" r:id="rId324" xr:uid="{00000000-0004-0000-0000-000043010000}"/>
    <hyperlink ref="BM178" r:id="rId325" xr:uid="{00000000-0004-0000-0000-000044010000}"/>
    <hyperlink ref="AX179" r:id="rId326" xr:uid="{00000000-0004-0000-0000-000045010000}"/>
    <hyperlink ref="BM179" r:id="rId327" xr:uid="{00000000-0004-0000-0000-000046010000}"/>
    <hyperlink ref="AX180" r:id="rId328" xr:uid="{00000000-0004-0000-0000-000047010000}"/>
    <hyperlink ref="BM180" r:id="rId329" xr:uid="{00000000-0004-0000-0000-000048010000}"/>
    <hyperlink ref="AX181" r:id="rId330" xr:uid="{00000000-0004-0000-0000-000049010000}"/>
    <hyperlink ref="BM181" r:id="rId331" xr:uid="{00000000-0004-0000-0000-00004A010000}"/>
    <hyperlink ref="AX182" r:id="rId332" xr:uid="{00000000-0004-0000-0000-00004B010000}"/>
    <hyperlink ref="BM182" r:id="rId333" xr:uid="{00000000-0004-0000-0000-00004C010000}"/>
    <hyperlink ref="AX183" r:id="rId334" xr:uid="{00000000-0004-0000-0000-00004D010000}"/>
    <hyperlink ref="BM183" r:id="rId335" xr:uid="{00000000-0004-0000-0000-00004E010000}"/>
    <hyperlink ref="AX184" r:id="rId336" xr:uid="{00000000-0004-0000-0000-00004F010000}"/>
    <hyperlink ref="BM184" r:id="rId337" xr:uid="{00000000-0004-0000-0000-000050010000}"/>
    <hyperlink ref="AX185" r:id="rId338" xr:uid="{00000000-0004-0000-0000-000051010000}"/>
    <hyperlink ref="BM185" r:id="rId339" xr:uid="{00000000-0004-0000-0000-000052010000}"/>
    <hyperlink ref="AX186" r:id="rId340" xr:uid="{00000000-0004-0000-0000-000053010000}"/>
    <hyperlink ref="BM186" r:id="rId341" xr:uid="{00000000-0004-0000-0000-000054010000}"/>
    <hyperlink ref="AX187" r:id="rId342" xr:uid="{00000000-0004-0000-0000-000055010000}"/>
    <hyperlink ref="BM187" r:id="rId343" xr:uid="{00000000-0004-0000-0000-000056010000}"/>
    <hyperlink ref="AX188" r:id="rId344" xr:uid="{00000000-0004-0000-0000-000057010000}"/>
    <hyperlink ref="BM188" r:id="rId345" xr:uid="{00000000-0004-0000-0000-000058010000}"/>
    <hyperlink ref="AX189" r:id="rId346" xr:uid="{00000000-0004-0000-0000-000059010000}"/>
    <hyperlink ref="BM189" r:id="rId347" xr:uid="{00000000-0004-0000-0000-00005A010000}"/>
    <hyperlink ref="AX190" r:id="rId348" xr:uid="{00000000-0004-0000-0000-00005B010000}"/>
    <hyperlink ref="BM190" r:id="rId349" xr:uid="{00000000-0004-0000-0000-00005C010000}"/>
    <hyperlink ref="AX191" r:id="rId350" xr:uid="{00000000-0004-0000-0000-00005D010000}"/>
    <hyperlink ref="BM191" r:id="rId351" xr:uid="{00000000-0004-0000-0000-00005E010000}"/>
    <hyperlink ref="AX192" r:id="rId352" xr:uid="{00000000-0004-0000-0000-00005F010000}"/>
    <hyperlink ref="BM192" r:id="rId353" xr:uid="{00000000-0004-0000-0000-000060010000}"/>
    <hyperlink ref="AX193" r:id="rId354" xr:uid="{00000000-0004-0000-0000-000061010000}"/>
    <hyperlink ref="BM193" r:id="rId355" xr:uid="{00000000-0004-0000-0000-000062010000}"/>
    <hyperlink ref="AX194" r:id="rId356" xr:uid="{00000000-0004-0000-0000-000063010000}"/>
    <hyperlink ref="BM194" r:id="rId357" xr:uid="{00000000-0004-0000-0000-000064010000}"/>
    <hyperlink ref="AX195" r:id="rId358" xr:uid="{00000000-0004-0000-0000-000065010000}"/>
    <hyperlink ref="BM195" r:id="rId359" xr:uid="{00000000-0004-0000-0000-000066010000}"/>
    <hyperlink ref="BM196" r:id="rId360" xr:uid="{00000000-0004-0000-0000-000067010000}"/>
    <hyperlink ref="AX197" r:id="rId361" xr:uid="{00000000-0004-0000-0000-000068010000}"/>
    <hyperlink ref="BM197" r:id="rId362" xr:uid="{00000000-0004-0000-0000-000069010000}"/>
    <hyperlink ref="AX198" r:id="rId363" xr:uid="{00000000-0004-0000-0000-00006A010000}"/>
    <hyperlink ref="BM198" r:id="rId364" xr:uid="{00000000-0004-0000-0000-00006B010000}"/>
    <hyperlink ref="AX199" r:id="rId365" xr:uid="{00000000-0004-0000-0000-00006C010000}"/>
    <hyperlink ref="BM199" r:id="rId366" xr:uid="{00000000-0004-0000-0000-00006D010000}"/>
    <hyperlink ref="AX200" r:id="rId367" xr:uid="{00000000-0004-0000-0000-00006E010000}"/>
    <hyperlink ref="BM200" r:id="rId368" xr:uid="{00000000-0004-0000-0000-00006F010000}"/>
    <hyperlink ref="AX201" r:id="rId369" xr:uid="{00000000-0004-0000-0000-000070010000}"/>
    <hyperlink ref="BM201" r:id="rId370" xr:uid="{00000000-0004-0000-0000-000071010000}"/>
    <hyperlink ref="AX202" r:id="rId371" xr:uid="{00000000-0004-0000-0000-000072010000}"/>
    <hyperlink ref="BM202" r:id="rId372" xr:uid="{00000000-0004-0000-0000-000073010000}"/>
    <hyperlink ref="AX203" r:id="rId373" xr:uid="{00000000-0004-0000-0000-000074010000}"/>
    <hyperlink ref="BM203" r:id="rId374" xr:uid="{00000000-0004-0000-0000-000075010000}"/>
    <hyperlink ref="AX204" r:id="rId375" xr:uid="{00000000-0004-0000-0000-000076010000}"/>
    <hyperlink ref="BM204" r:id="rId376" xr:uid="{00000000-0004-0000-0000-000077010000}"/>
    <hyperlink ref="AX205" r:id="rId377" xr:uid="{00000000-0004-0000-0000-000078010000}"/>
    <hyperlink ref="BM205" r:id="rId378" xr:uid="{00000000-0004-0000-0000-000079010000}"/>
    <hyperlink ref="AX206" r:id="rId379" xr:uid="{00000000-0004-0000-0000-00007A010000}"/>
    <hyperlink ref="BM206" r:id="rId380" xr:uid="{00000000-0004-0000-0000-00007B010000}"/>
    <hyperlink ref="AX207" r:id="rId381" xr:uid="{00000000-0004-0000-0000-00007C010000}"/>
    <hyperlink ref="BM207" r:id="rId382" xr:uid="{00000000-0004-0000-0000-00007D010000}"/>
    <hyperlink ref="AX208" r:id="rId383" xr:uid="{00000000-0004-0000-0000-00007E010000}"/>
    <hyperlink ref="BM208" r:id="rId384" xr:uid="{00000000-0004-0000-0000-00007F010000}"/>
    <hyperlink ref="AX209" r:id="rId385" xr:uid="{00000000-0004-0000-0000-000080010000}"/>
    <hyperlink ref="BM209" r:id="rId386" xr:uid="{00000000-0004-0000-0000-000081010000}"/>
    <hyperlink ref="AX210" r:id="rId387" xr:uid="{00000000-0004-0000-0000-000082010000}"/>
    <hyperlink ref="BM210" r:id="rId388" xr:uid="{00000000-0004-0000-0000-000083010000}"/>
    <hyperlink ref="AX211" r:id="rId389" xr:uid="{00000000-0004-0000-0000-000084010000}"/>
    <hyperlink ref="BM211" r:id="rId390" xr:uid="{00000000-0004-0000-0000-000085010000}"/>
    <hyperlink ref="AX212" r:id="rId391" xr:uid="{00000000-0004-0000-0000-000086010000}"/>
    <hyperlink ref="BM212" r:id="rId392" xr:uid="{00000000-0004-0000-0000-000087010000}"/>
    <hyperlink ref="AX213" r:id="rId393" xr:uid="{00000000-0004-0000-0000-000088010000}"/>
    <hyperlink ref="BM213" r:id="rId394" xr:uid="{00000000-0004-0000-0000-000089010000}"/>
    <hyperlink ref="AX214" r:id="rId395" xr:uid="{00000000-0004-0000-0000-00008A010000}"/>
    <hyperlink ref="BM214" r:id="rId396" xr:uid="{00000000-0004-0000-0000-00008B010000}"/>
    <hyperlink ref="AX215" r:id="rId397" xr:uid="{00000000-0004-0000-0000-00008C010000}"/>
    <hyperlink ref="BM215" r:id="rId398" xr:uid="{00000000-0004-0000-0000-00008D010000}"/>
    <hyperlink ref="AX216" r:id="rId399" xr:uid="{00000000-0004-0000-0000-00008E010000}"/>
    <hyperlink ref="BM216" r:id="rId400" xr:uid="{00000000-0004-0000-0000-00008F010000}"/>
    <hyperlink ref="AX217" r:id="rId401" xr:uid="{00000000-0004-0000-0000-000090010000}"/>
    <hyperlink ref="BM217" r:id="rId402" xr:uid="{00000000-0004-0000-0000-000091010000}"/>
    <hyperlink ref="AX218" r:id="rId403" xr:uid="{00000000-0004-0000-0000-000092010000}"/>
    <hyperlink ref="BM218" r:id="rId404" xr:uid="{00000000-0004-0000-0000-000093010000}"/>
    <hyperlink ref="AX219" r:id="rId405" xr:uid="{00000000-0004-0000-0000-000094010000}"/>
    <hyperlink ref="BM219" r:id="rId406" xr:uid="{00000000-0004-0000-0000-000095010000}"/>
    <hyperlink ref="AX220" r:id="rId407" xr:uid="{00000000-0004-0000-0000-000096010000}"/>
    <hyperlink ref="BM220" r:id="rId408" xr:uid="{00000000-0004-0000-0000-000097010000}"/>
    <hyperlink ref="AX221" r:id="rId409" xr:uid="{00000000-0004-0000-0000-000098010000}"/>
    <hyperlink ref="BM221" r:id="rId410" xr:uid="{00000000-0004-0000-0000-000099010000}"/>
    <hyperlink ref="AX222" r:id="rId411" xr:uid="{00000000-0004-0000-0000-00009A010000}"/>
    <hyperlink ref="BM222" r:id="rId412" xr:uid="{00000000-0004-0000-0000-00009B010000}"/>
    <hyperlink ref="AX223" r:id="rId413" xr:uid="{00000000-0004-0000-0000-00009C010000}"/>
    <hyperlink ref="BM223" r:id="rId414" xr:uid="{00000000-0004-0000-0000-00009D010000}"/>
    <hyperlink ref="AX224" r:id="rId415" xr:uid="{00000000-0004-0000-0000-00009E010000}"/>
    <hyperlink ref="BM224" r:id="rId416" xr:uid="{00000000-0004-0000-0000-00009F010000}"/>
    <hyperlink ref="AX225" r:id="rId417" xr:uid="{00000000-0004-0000-0000-0000A0010000}"/>
    <hyperlink ref="BM225" r:id="rId418" xr:uid="{00000000-0004-0000-0000-0000A1010000}"/>
    <hyperlink ref="BM226" r:id="rId419" xr:uid="{00000000-0004-0000-0000-0000A2010000}"/>
    <hyperlink ref="BM227" r:id="rId420" xr:uid="{00000000-0004-0000-0000-0000A3010000}"/>
    <hyperlink ref="AX228" r:id="rId421" xr:uid="{00000000-0004-0000-0000-0000A4010000}"/>
    <hyperlink ref="BM228" r:id="rId422" xr:uid="{00000000-0004-0000-0000-0000A5010000}"/>
    <hyperlink ref="AX229" r:id="rId423" xr:uid="{00000000-0004-0000-0000-0000A6010000}"/>
    <hyperlink ref="BM229" r:id="rId424" xr:uid="{00000000-0004-0000-0000-0000A7010000}"/>
    <hyperlink ref="AX230" r:id="rId425" xr:uid="{00000000-0004-0000-0000-0000A8010000}"/>
    <hyperlink ref="BM230" r:id="rId426" xr:uid="{00000000-0004-0000-0000-0000A9010000}"/>
    <hyperlink ref="AX231" r:id="rId427" xr:uid="{00000000-0004-0000-0000-0000AA010000}"/>
    <hyperlink ref="BM231" r:id="rId428" xr:uid="{00000000-0004-0000-0000-0000AB010000}"/>
    <hyperlink ref="AX232" r:id="rId429" xr:uid="{00000000-0004-0000-0000-0000AC010000}"/>
    <hyperlink ref="BM232" r:id="rId430" xr:uid="{00000000-0004-0000-0000-0000AD010000}"/>
    <hyperlink ref="AX233" r:id="rId431" xr:uid="{00000000-0004-0000-0000-0000AE010000}"/>
    <hyperlink ref="BM233" r:id="rId432" xr:uid="{00000000-0004-0000-0000-0000AF010000}"/>
    <hyperlink ref="AX234" r:id="rId433" xr:uid="{00000000-0004-0000-0000-0000B0010000}"/>
    <hyperlink ref="BM234" r:id="rId434" xr:uid="{00000000-0004-0000-0000-0000B1010000}"/>
    <hyperlink ref="AX235" r:id="rId435" xr:uid="{00000000-0004-0000-0000-0000B2010000}"/>
    <hyperlink ref="BM235" r:id="rId436" xr:uid="{00000000-0004-0000-0000-0000B3010000}"/>
    <hyperlink ref="AX236" r:id="rId437" xr:uid="{00000000-0004-0000-0000-0000B4010000}"/>
    <hyperlink ref="BM236" r:id="rId438" xr:uid="{00000000-0004-0000-0000-0000B5010000}"/>
    <hyperlink ref="BM237" r:id="rId439" xr:uid="{00000000-0004-0000-0000-0000B6010000}"/>
    <hyperlink ref="AX238" r:id="rId440" xr:uid="{00000000-0004-0000-0000-0000B7010000}"/>
    <hyperlink ref="BM238" r:id="rId441" xr:uid="{00000000-0004-0000-0000-0000B8010000}"/>
    <hyperlink ref="AX239" r:id="rId442" xr:uid="{00000000-0004-0000-0000-0000B9010000}"/>
    <hyperlink ref="BM239" r:id="rId443" xr:uid="{00000000-0004-0000-0000-0000BA010000}"/>
    <hyperlink ref="AX240" r:id="rId444" xr:uid="{00000000-0004-0000-0000-0000BB010000}"/>
    <hyperlink ref="BM240" r:id="rId445" xr:uid="{00000000-0004-0000-0000-0000BC010000}"/>
    <hyperlink ref="AX241" r:id="rId446" xr:uid="{00000000-0004-0000-0000-0000BD010000}"/>
    <hyperlink ref="BM241" r:id="rId447" xr:uid="{00000000-0004-0000-0000-0000BE010000}"/>
    <hyperlink ref="AX242" r:id="rId448" xr:uid="{00000000-0004-0000-0000-0000BF010000}"/>
    <hyperlink ref="BM242" r:id="rId449" xr:uid="{00000000-0004-0000-0000-0000C0010000}"/>
    <hyperlink ref="AX243" r:id="rId450" xr:uid="{00000000-0004-0000-0000-0000C1010000}"/>
    <hyperlink ref="BM243" r:id="rId451" xr:uid="{00000000-0004-0000-0000-0000C2010000}"/>
    <hyperlink ref="AX244" r:id="rId452" xr:uid="{00000000-0004-0000-0000-0000C3010000}"/>
    <hyperlink ref="BM244" r:id="rId453" xr:uid="{00000000-0004-0000-0000-0000C4010000}"/>
    <hyperlink ref="AX245" r:id="rId454" xr:uid="{00000000-0004-0000-0000-0000C5010000}"/>
    <hyperlink ref="BM245" r:id="rId455" xr:uid="{00000000-0004-0000-0000-0000C6010000}"/>
    <hyperlink ref="AX246" r:id="rId456" xr:uid="{00000000-0004-0000-0000-0000C7010000}"/>
    <hyperlink ref="BM246" r:id="rId457" xr:uid="{00000000-0004-0000-0000-0000C8010000}"/>
    <hyperlink ref="AX247" r:id="rId458" xr:uid="{00000000-0004-0000-0000-0000C9010000}"/>
    <hyperlink ref="BM247" r:id="rId459" xr:uid="{00000000-0004-0000-0000-0000CA010000}"/>
    <hyperlink ref="AX248" r:id="rId460" xr:uid="{00000000-0004-0000-0000-0000CB010000}"/>
    <hyperlink ref="BM248" r:id="rId461" xr:uid="{00000000-0004-0000-0000-0000CC010000}"/>
    <hyperlink ref="AX249" r:id="rId462" xr:uid="{00000000-0004-0000-0000-0000CD010000}"/>
    <hyperlink ref="BM249" r:id="rId463" xr:uid="{00000000-0004-0000-0000-0000CE010000}"/>
    <hyperlink ref="AX250" r:id="rId464" xr:uid="{00000000-0004-0000-0000-0000CF010000}"/>
    <hyperlink ref="BM250" r:id="rId465" xr:uid="{00000000-0004-0000-0000-0000D0010000}"/>
    <hyperlink ref="AX251" r:id="rId466" xr:uid="{00000000-0004-0000-0000-0000D1010000}"/>
    <hyperlink ref="BM251" r:id="rId467" xr:uid="{00000000-0004-0000-0000-0000D2010000}"/>
    <hyperlink ref="AX252" r:id="rId468" xr:uid="{00000000-0004-0000-0000-0000D3010000}"/>
    <hyperlink ref="BM252" r:id="rId469" xr:uid="{00000000-0004-0000-0000-0000D4010000}"/>
    <hyperlink ref="AX253" r:id="rId470" xr:uid="{00000000-0004-0000-0000-0000D5010000}"/>
    <hyperlink ref="BM253" r:id="rId471" xr:uid="{00000000-0004-0000-0000-0000D6010000}"/>
    <hyperlink ref="AX254" r:id="rId472" xr:uid="{00000000-0004-0000-0000-0000D7010000}"/>
    <hyperlink ref="BM254" r:id="rId473" xr:uid="{00000000-0004-0000-0000-0000D8010000}"/>
    <hyperlink ref="AX255" r:id="rId474" xr:uid="{00000000-0004-0000-0000-0000D9010000}"/>
    <hyperlink ref="BM255" r:id="rId475" xr:uid="{00000000-0004-0000-0000-0000DA010000}"/>
    <hyperlink ref="AX256" r:id="rId476" xr:uid="{00000000-0004-0000-0000-0000DB010000}"/>
    <hyperlink ref="BM256" r:id="rId477" xr:uid="{00000000-0004-0000-0000-0000DC010000}"/>
    <hyperlink ref="AX257" r:id="rId478" xr:uid="{00000000-0004-0000-0000-0000DD010000}"/>
    <hyperlink ref="BM257" r:id="rId479" xr:uid="{00000000-0004-0000-0000-0000DE010000}"/>
    <hyperlink ref="BM258" r:id="rId480" xr:uid="{00000000-0004-0000-0000-0000DF010000}"/>
    <hyperlink ref="AX259" r:id="rId481" xr:uid="{00000000-0004-0000-0000-0000E0010000}"/>
    <hyperlink ref="BM259" r:id="rId482" xr:uid="{00000000-0004-0000-0000-0000E1010000}"/>
    <hyperlink ref="AX260" r:id="rId483" xr:uid="{00000000-0004-0000-0000-0000E2010000}"/>
    <hyperlink ref="BM260" r:id="rId484" xr:uid="{00000000-0004-0000-0000-0000E3010000}"/>
    <hyperlink ref="AX261" r:id="rId485" xr:uid="{00000000-0004-0000-0000-0000E4010000}"/>
    <hyperlink ref="BM261" r:id="rId486" xr:uid="{00000000-0004-0000-0000-0000E5010000}"/>
    <hyperlink ref="AX262" r:id="rId487" xr:uid="{00000000-0004-0000-0000-0000E6010000}"/>
    <hyperlink ref="BM262" r:id="rId488" xr:uid="{00000000-0004-0000-0000-0000E7010000}"/>
    <hyperlink ref="BM263" r:id="rId489" xr:uid="{00000000-0004-0000-0000-0000E8010000}"/>
    <hyperlink ref="AX264" r:id="rId490" xr:uid="{00000000-0004-0000-0000-0000E9010000}"/>
    <hyperlink ref="BM264" r:id="rId491" xr:uid="{00000000-0004-0000-0000-0000EA010000}"/>
    <hyperlink ref="AX265" r:id="rId492" xr:uid="{00000000-0004-0000-0000-0000EB010000}"/>
    <hyperlink ref="BM265" r:id="rId493" xr:uid="{00000000-0004-0000-0000-0000EC010000}"/>
    <hyperlink ref="AX266" r:id="rId494" xr:uid="{00000000-0004-0000-0000-0000ED010000}"/>
    <hyperlink ref="BM266" r:id="rId495" xr:uid="{00000000-0004-0000-0000-0000EE010000}"/>
    <hyperlink ref="AX267" r:id="rId496" xr:uid="{00000000-0004-0000-0000-0000EF010000}"/>
    <hyperlink ref="BM267" r:id="rId497" xr:uid="{00000000-0004-0000-0000-0000F0010000}"/>
    <hyperlink ref="AX268" r:id="rId498" xr:uid="{00000000-0004-0000-0000-0000F1010000}"/>
    <hyperlink ref="BM268" r:id="rId499" xr:uid="{00000000-0004-0000-0000-0000F2010000}"/>
    <hyperlink ref="AX269" r:id="rId500" xr:uid="{00000000-0004-0000-0000-0000F3010000}"/>
    <hyperlink ref="BM269" r:id="rId501" xr:uid="{00000000-0004-0000-0000-0000F4010000}"/>
    <hyperlink ref="AX270" r:id="rId502" xr:uid="{00000000-0004-0000-0000-0000F5010000}"/>
    <hyperlink ref="BM270" r:id="rId503" xr:uid="{00000000-0004-0000-0000-0000F6010000}"/>
    <hyperlink ref="AX271" r:id="rId504" xr:uid="{00000000-0004-0000-0000-0000F7010000}"/>
    <hyperlink ref="BM271" r:id="rId505" xr:uid="{00000000-0004-0000-0000-0000F8010000}"/>
    <hyperlink ref="AX272" r:id="rId506" xr:uid="{00000000-0004-0000-0000-0000F9010000}"/>
    <hyperlink ref="BM272" r:id="rId507" xr:uid="{00000000-0004-0000-0000-0000FA010000}"/>
    <hyperlink ref="AX273" r:id="rId508" xr:uid="{00000000-0004-0000-0000-0000FB010000}"/>
    <hyperlink ref="BM273" r:id="rId509" xr:uid="{00000000-0004-0000-0000-0000FC010000}"/>
    <hyperlink ref="AX274" r:id="rId510" xr:uid="{00000000-0004-0000-0000-0000FD010000}"/>
    <hyperlink ref="BM274" r:id="rId511" xr:uid="{00000000-0004-0000-0000-0000FE010000}"/>
    <hyperlink ref="AX275" r:id="rId512" xr:uid="{00000000-0004-0000-0000-0000FF010000}"/>
    <hyperlink ref="BM275" r:id="rId513" xr:uid="{00000000-0004-0000-0000-000000020000}"/>
    <hyperlink ref="AX276" r:id="rId514" xr:uid="{00000000-0004-0000-0000-000001020000}"/>
    <hyperlink ref="BM276" r:id="rId515" xr:uid="{00000000-0004-0000-0000-000002020000}"/>
    <hyperlink ref="AX277" r:id="rId516" xr:uid="{00000000-0004-0000-0000-000003020000}"/>
    <hyperlink ref="BM277" r:id="rId517" xr:uid="{00000000-0004-0000-0000-000004020000}"/>
    <hyperlink ref="AX278" r:id="rId518" xr:uid="{00000000-0004-0000-0000-000005020000}"/>
    <hyperlink ref="BM278" r:id="rId519" xr:uid="{00000000-0004-0000-0000-000006020000}"/>
    <hyperlink ref="AX279" r:id="rId520" xr:uid="{00000000-0004-0000-0000-000007020000}"/>
    <hyperlink ref="BM279" r:id="rId521" xr:uid="{00000000-0004-0000-0000-000008020000}"/>
    <hyperlink ref="AX280" r:id="rId522" xr:uid="{00000000-0004-0000-0000-000009020000}"/>
    <hyperlink ref="BM280" r:id="rId523" xr:uid="{00000000-0004-0000-0000-00000A020000}"/>
    <hyperlink ref="AX281" r:id="rId524" xr:uid="{00000000-0004-0000-0000-00000B020000}"/>
    <hyperlink ref="BM281" r:id="rId525" xr:uid="{00000000-0004-0000-0000-00000C020000}"/>
    <hyperlink ref="AX282" r:id="rId526" xr:uid="{00000000-0004-0000-0000-00000D020000}"/>
    <hyperlink ref="BM282" r:id="rId527" xr:uid="{00000000-0004-0000-0000-00000E020000}"/>
    <hyperlink ref="AX283" r:id="rId528" xr:uid="{00000000-0004-0000-0000-00000F020000}"/>
    <hyperlink ref="BM283" r:id="rId529" xr:uid="{00000000-0004-0000-0000-000010020000}"/>
    <hyperlink ref="AX284" r:id="rId530" xr:uid="{00000000-0004-0000-0000-000011020000}"/>
    <hyperlink ref="BM284" r:id="rId531" xr:uid="{00000000-0004-0000-0000-000012020000}"/>
    <hyperlink ref="AX285" r:id="rId532" xr:uid="{00000000-0004-0000-0000-000013020000}"/>
    <hyperlink ref="BM285" r:id="rId533" xr:uid="{00000000-0004-0000-0000-000014020000}"/>
    <hyperlink ref="AX286" r:id="rId534" xr:uid="{00000000-0004-0000-0000-000015020000}"/>
    <hyperlink ref="BM286" r:id="rId535" xr:uid="{00000000-0004-0000-0000-000016020000}"/>
    <hyperlink ref="BM287" r:id="rId536" xr:uid="{00000000-0004-0000-0000-000017020000}"/>
    <hyperlink ref="AX288" r:id="rId537" xr:uid="{00000000-0004-0000-0000-000018020000}"/>
    <hyperlink ref="BM288" r:id="rId538" xr:uid="{00000000-0004-0000-0000-000019020000}"/>
    <hyperlink ref="AX289" r:id="rId539" xr:uid="{00000000-0004-0000-0000-00001A020000}"/>
    <hyperlink ref="BM289" r:id="rId540" xr:uid="{00000000-0004-0000-0000-00001B020000}"/>
    <hyperlink ref="BM290" r:id="rId541" xr:uid="{00000000-0004-0000-0000-00001C020000}"/>
    <hyperlink ref="AX291" r:id="rId542" xr:uid="{00000000-0004-0000-0000-00001D020000}"/>
    <hyperlink ref="BM291" r:id="rId543" xr:uid="{00000000-0004-0000-0000-00001E020000}"/>
    <hyperlink ref="AX292" r:id="rId544" xr:uid="{00000000-0004-0000-0000-00001F020000}"/>
    <hyperlink ref="BM292" r:id="rId545" xr:uid="{00000000-0004-0000-0000-000020020000}"/>
    <hyperlink ref="AX293" r:id="rId546" xr:uid="{00000000-0004-0000-0000-000021020000}"/>
    <hyperlink ref="BM293" r:id="rId547" xr:uid="{00000000-0004-0000-0000-000022020000}"/>
    <hyperlink ref="AX294" r:id="rId548" xr:uid="{00000000-0004-0000-0000-000023020000}"/>
    <hyperlink ref="BM294" r:id="rId549" xr:uid="{00000000-0004-0000-0000-000024020000}"/>
    <hyperlink ref="BM295" r:id="rId550" xr:uid="{00000000-0004-0000-0000-000025020000}"/>
    <hyperlink ref="AX296" r:id="rId551" xr:uid="{00000000-0004-0000-0000-000026020000}"/>
    <hyperlink ref="BM296" r:id="rId552" xr:uid="{00000000-0004-0000-0000-000027020000}"/>
    <hyperlink ref="AX297" r:id="rId553" xr:uid="{00000000-0004-0000-0000-000028020000}"/>
    <hyperlink ref="BM297" r:id="rId554" xr:uid="{00000000-0004-0000-0000-000029020000}"/>
    <hyperlink ref="AX298" r:id="rId555" xr:uid="{00000000-0004-0000-0000-00002A020000}"/>
    <hyperlink ref="BM298" r:id="rId556" xr:uid="{00000000-0004-0000-0000-00002B020000}"/>
    <hyperlink ref="AX299" r:id="rId557" xr:uid="{00000000-0004-0000-0000-00002C020000}"/>
    <hyperlink ref="BM299" r:id="rId558" xr:uid="{00000000-0004-0000-0000-00002D020000}"/>
    <hyperlink ref="AX300" r:id="rId559" xr:uid="{00000000-0004-0000-0000-00002E020000}"/>
    <hyperlink ref="BM300" r:id="rId560" xr:uid="{00000000-0004-0000-0000-00002F020000}"/>
    <hyperlink ref="AX301" r:id="rId561" xr:uid="{00000000-0004-0000-0000-000030020000}"/>
    <hyperlink ref="BM301" r:id="rId562" xr:uid="{00000000-0004-0000-0000-000031020000}"/>
    <hyperlink ref="AX302" r:id="rId563" xr:uid="{00000000-0004-0000-0000-000032020000}"/>
    <hyperlink ref="BM302" r:id="rId564" xr:uid="{00000000-0004-0000-0000-000033020000}"/>
    <hyperlink ref="AX303" r:id="rId565" xr:uid="{00000000-0004-0000-0000-000034020000}"/>
    <hyperlink ref="BM303" r:id="rId566" xr:uid="{00000000-0004-0000-0000-000035020000}"/>
    <hyperlink ref="AX304" r:id="rId567" xr:uid="{00000000-0004-0000-0000-000036020000}"/>
    <hyperlink ref="BM304" r:id="rId568" xr:uid="{00000000-0004-0000-0000-000037020000}"/>
    <hyperlink ref="AX305" r:id="rId569" xr:uid="{00000000-0004-0000-0000-000038020000}"/>
    <hyperlink ref="BM305" r:id="rId570" xr:uid="{00000000-0004-0000-0000-000039020000}"/>
    <hyperlink ref="BM306" r:id="rId571" xr:uid="{00000000-0004-0000-0000-00003A020000}"/>
    <hyperlink ref="AX307" r:id="rId572" xr:uid="{00000000-0004-0000-0000-00003B020000}"/>
    <hyperlink ref="BM307" r:id="rId573" xr:uid="{00000000-0004-0000-0000-00003C020000}"/>
    <hyperlink ref="AX308" r:id="rId574" xr:uid="{00000000-0004-0000-0000-00003D020000}"/>
    <hyperlink ref="BM308" r:id="rId575" xr:uid="{00000000-0004-0000-0000-00003E020000}"/>
    <hyperlink ref="AX309" r:id="rId576" xr:uid="{00000000-0004-0000-0000-00003F020000}"/>
    <hyperlink ref="BM309" r:id="rId577" xr:uid="{00000000-0004-0000-0000-000040020000}"/>
    <hyperlink ref="AX310" r:id="rId578" xr:uid="{00000000-0004-0000-0000-000041020000}"/>
    <hyperlink ref="BM310" r:id="rId579" xr:uid="{00000000-0004-0000-0000-000042020000}"/>
    <hyperlink ref="AX311" r:id="rId580" xr:uid="{00000000-0004-0000-0000-000043020000}"/>
    <hyperlink ref="BM311" r:id="rId581" xr:uid="{00000000-0004-0000-0000-000044020000}"/>
    <hyperlink ref="AX312" r:id="rId582" xr:uid="{00000000-0004-0000-0000-000045020000}"/>
    <hyperlink ref="BM312" r:id="rId583" xr:uid="{00000000-0004-0000-0000-000046020000}"/>
    <hyperlink ref="AX313" r:id="rId584" xr:uid="{00000000-0004-0000-0000-000047020000}"/>
    <hyperlink ref="BM313" r:id="rId585" xr:uid="{00000000-0004-0000-0000-000048020000}"/>
    <hyperlink ref="BM314" r:id="rId586" xr:uid="{00000000-0004-0000-0000-000049020000}"/>
    <hyperlink ref="AX315" r:id="rId587" xr:uid="{00000000-0004-0000-0000-00004A020000}"/>
    <hyperlink ref="BM315" r:id="rId588" xr:uid="{00000000-0004-0000-0000-00004B020000}"/>
    <hyperlink ref="AX316" r:id="rId589" xr:uid="{00000000-0004-0000-0000-00004C020000}"/>
    <hyperlink ref="BM316" r:id="rId590" xr:uid="{00000000-0004-0000-0000-00004D020000}"/>
    <hyperlink ref="AX317" r:id="rId591" xr:uid="{00000000-0004-0000-0000-00004E020000}"/>
    <hyperlink ref="BM317" r:id="rId592" xr:uid="{00000000-0004-0000-0000-00004F020000}"/>
    <hyperlink ref="AX318" r:id="rId593" xr:uid="{00000000-0004-0000-0000-000050020000}"/>
    <hyperlink ref="BM318" r:id="rId594" xr:uid="{00000000-0004-0000-0000-000051020000}"/>
    <hyperlink ref="AX319" r:id="rId595" xr:uid="{00000000-0004-0000-0000-000052020000}"/>
    <hyperlink ref="BM319" r:id="rId596" xr:uid="{00000000-0004-0000-0000-000053020000}"/>
    <hyperlink ref="AX320" r:id="rId597" xr:uid="{00000000-0004-0000-0000-000054020000}"/>
    <hyperlink ref="BM320" r:id="rId598" xr:uid="{00000000-0004-0000-0000-000055020000}"/>
    <hyperlink ref="AX321" r:id="rId599" xr:uid="{00000000-0004-0000-0000-000056020000}"/>
    <hyperlink ref="BM321" r:id="rId600" xr:uid="{00000000-0004-0000-0000-000057020000}"/>
    <hyperlink ref="BM322" r:id="rId601" xr:uid="{00000000-0004-0000-0000-000058020000}"/>
    <hyperlink ref="AX323" r:id="rId602" xr:uid="{00000000-0004-0000-0000-000059020000}"/>
    <hyperlink ref="BM323" r:id="rId603" xr:uid="{00000000-0004-0000-0000-00005A020000}"/>
    <hyperlink ref="BM324" r:id="rId604" xr:uid="{00000000-0004-0000-0000-00005B020000}"/>
    <hyperlink ref="AX325" r:id="rId605" xr:uid="{00000000-0004-0000-0000-00005C020000}"/>
    <hyperlink ref="BM325" r:id="rId606" xr:uid="{00000000-0004-0000-0000-00005D020000}"/>
    <hyperlink ref="AX326" r:id="rId607" xr:uid="{00000000-0004-0000-0000-00005E020000}"/>
    <hyperlink ref="BM326" r:id="rId608" xr:uid="{00000000-0004-0000-0000-00005F020000}"/>
    <hyperlink ref="AX327" r:id="rId609" xr:uid="{00000000-0004-0000-0000-000060020000}"/>
    <hyperlink ref="BM327" r:id="rId610" xr:uid="{00000000-0004-0000-0000-000061020000}"/>
    <hyperlink ref="AX328" r:id="rId611" xr:uid="{00000000-0004-0000-0000-000062020000}"/>
    <hyperlink ref="BM328" r:id="rId612" xr:uid="{00000000-0004-0000-0000-000063020000}"/>
    <hyperlink ref="BM329" r:id="rId613" xr:uid="{00000000-0004-0000-0000-000064020000}"/>
    <hyperlink ref="AX330" r:id="rId614" xr:uid="{00000000-0004-0000-0000-000065020000}"/>
    <hyperlink ref="BM330" r:id="rId615" xr:uid="{00000000-0004-0000-0000-000066020000}"/>
    <hyperlink ref="BM331" r:id="rId616" xr:uid="{00000000-0004-0000-0000-000067020000}"/>
    <hyperlink ref="AX332" r:id="rId617" xr:uid="{00000000-0004-0000-0000-000068020000}"/>
    <hyperlink ref="BM332" r:id="rId618" xr:uid="{00000000-0004-0000-0000-000069020000}"/>
  </hyperlinks>
  <pageMargins left="0.7" right="0.7" top="0.75" bottom="0.75" header="0" footer="0"/>
  <pageSetup orientation="landscape"/>
  <legacyDrawing r:id="rId6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3"/>
  <sheetViews>
    <sheetView workbookViewId="0">
      <pane ySplit="2" topLeftCell="A3" activePane="bottomLeft" state="frozen"/>
      <selection pane="bottomLeft" activeCell="B4" sqref="B4"/>
    </sheetView>
  </sheetViews>
  <sheetFormatPr defaultColWidth="11.19921875" defaultRowHeight="15" customHeight="1"/>
  <cols>
    <col min="12" max="12" width="18.69921875" customWidth="1"/>
    <col min="19" max="19" width="20.19921875" customWidth="1"/>
    <col min="25" max="25" width="11.19921875" hidden="1"/>
    <col min="27" max="27" width="14.296875" customWidth="1"/>
    <col min="28" max="28" width="12.8984375" customWidth="1"/>
    <col min="29" max="29" width="14.09765625" customWidth="1"/>
  </cols>
  <sheetData>
    <row r="1" spans="1:33" ht="78">
      <c r="A1" s="88" t="s">
        <v>0</v>
      </c>
      <c r="B1" s="90" t="s">
        <v>1607</v>
      </c>
      <c r="C1" s="90" t="s">
        <v>1608</v>
      </c>
      <c r="D1" s="90" t="s">
        <v>1609</v>
      </c>
      <c r="E1" s="90" t="s">
        <v>1610</v>
      </c>
      <c r="F1" s="90"/>
      <c r="G1" s="90"/>
      <c r="H1" s="90" t="s">
        <v>0</v>
      </c>
      <c r="I1" s="90" t="s">
        <v>1607</v>
      </c>
      <c r="J1" s="90" t="s">
        <v>1608</v>
      </c>
      <c r="K1" s="90" t="s">
        <v>1609</v>
      </c>
      <c r="L1" s="89" t="s">
        <v>1610</v>
      </c>
      <c r="M1" s="90" t="s">
        <v>1611</v>
      </c>
      <c r="N1" s="90" t="s">
        <v>1612</v>
      </c>
      <c r="O1" s="90" t="s">
        <v>1613</v>
      </c>
      <c r="P1" s="90" t="s">
        <v>1614</v>
      </c>
      <c r="Q1" s="90" t="s">
        <v>1615</v>
      </c>
      <c r="R1" s="90"/>
      <c r="S1" s="90"/>
      <c r="U1" s="91" t="s">
        <v>1616</v>
      </c>
      <c r="V1" s="92" t="s">
        <v>0</v>
      </c>
      <c r="W1" s="92" t="s">
        <v>1617</v>
      </c>
      <c r="X1" s="92" t="s">
        <v>1607</v>
      </c>
      <c r="Y1" s="92" t="s">
        <v>1608</v>
      </c>
      <c r="Z1" s="92" t="s">
        <v>1609</v>
      </c>
      <c r="AA1" s="92" t="s">
        <v>1610</v>
      </c>
      <c r="AB1" s="92" t="s">
        <v>1618</v>
      </c>
      <c r="AC1" s="92" t="s">
        <v>1619</v>
      </c>
      <c r="AD1" s="92" t="s">
        <v>1620</v>
      </c>
      <c r="AE1" s="92" t="s">
        <v>1621</v>
      </c>
      <c r="AF1" s="92" t="s">
        <v>1622</v>
      </c>
      <c r="AG1" s="92"/>
    </row>
    <row r="2" spans="1:33" ht="100.5" customHeight="1">
      <c r="A2" s="93" t="s">
        <v>1605</v>
      </c>
      <c r="B2" s="94">
        <v>10</v>
      </c>
      <c r="C2" s="94">
        <v>15</v>
      </c>
      <c r="D2" s="94">
        <v>21</v>
      </c>
      <c r="E2" s="94">
        <v>78</v>
      </c>
      <c r="F2" s="95"/>
      <c r="G2" s="90"/>
      <c r="H2" s="96">
        <v>1</v>
      </c>
      <c r="I2" s="97">
        <v>1</v>
      </c>
      <c r="J2" s="98">
        <v>1.1000000000000001</v>
      </c>
      <c r="K2" s="98" t="s">
        <v>82</v>
      </c>
      <c r="L2" s="89">
        <v>3</v>
      </c>
      <c r="M2" s="99">
        <v>45352</v>
      </c>
      <c r="N2" s="96">
        <v>18.2</v>
      </c>
      <c r="O2" s="90"/>
      <c r="P2" s="90"/>
      <c r="Q2" s="90"/>
      <c r="R2" s="90"/>
      <c r="S2" s="90"/>
      <c r="V2" s="92" t="s">
        <v>1605</v>
      </c>
      <c r="W2" s="100">
        <f t="shared" ref="W2:W7" si="0">AD2*15%</f>
        <v>3.5999999999999997E-2</v>
      </c>
      <c r="X2" s="101">
        <v>10</v>
      </c>
      <c r="Y2" s="101">
        <v>15</v>
      </c>
      <c r="Z2" s="101">
        <v>21</v>
      </c>
      <c r="AA2" s="101">
        <v>78</v>
      </c>
      <c r="AB2" s="101">
        <f>AA2-AC2</f>
        <v>57</v>
      </c>
      <c r="AC2" s="101">
        <v>21</v>
      </c>
      <c r="AD2" s="102">
        <v>0.24</v>
      </c>
      <c r="AE2" s="103">
        <v>0.95</v>
      </c>
      <c r="AF2" s="103">
        <f t="shared" ref="AF2:AF7" si="1">W2*AE2</f>
        <v>3.4199999999999994E-2</v>
      </c>
      <c r="AG2" s="103"/>
    </row>
    <row r="3" spans="1:33" ht="109.2">
      <c r="A3" s="93" t="s">
        <v>493</v>
      </c>
      <c r="B3" s="96">
        <v>6</v>
      </c>
      <c r="C3" s="96">
        <v>7</v>
      </c>
      <c r="D3" s="96">
        <v>7</v>
      </c>
      <c r="E3" s="96">
        <v>38</v>
      </c>
      <c r="F3" s="90"/>
      <c r="G3" s="90"/>
      <c r="H3" s="96">
        <v>1</v>
      </c>
      <c r="I3" s="97">
        <v>1</v>
      </c>
      <c r="J3" s="104">
        <v>1.2</v>
      </c>
      <c r="K3" s="104" t="s">
        <v>1623</v>
      </c>
      <c r="L3" s="89">
        <v>4</v>
      </c>
      <c r="M3" s="99">
        <v>45477</v>
      </c>
      <c r="N3" s="90"/>
      <c r="O3" s="90"/>
      <c r="P3" s="90"/>
      <c r="Q3" s="90"/>
      <c r="R3" s="90"/>
      <c r="S3" s="90"/>
      <c r="V3" s="92" t="s">
        <v>493</v>
      </c>
      <c r="W3" s="100">
        <f t="shared" si="0"/>
        <v>1.7999999999999999E-2</v>
      </c>
      <c r="X3" s="101">
        <v>6</v>
      </c>
      <c r="Y3" s="101">
        <v>7</v>
      </c>
      <c r="Z3" s="101">
        <v>7</v>
      </c>
      <c r="AA3" s="101">
        <v>38</v>
      </c>
      <c r="AB3" s="101">
        <v>26</v>
      </c>
      <c r="AC3" s="101">
        <v>12</v>
      </c>
      <c r="AD3" s="102">
        <v>0.12</v>
      </c>
      <c r="AE3" s="103">
        <v>0.98</v>
      </c>
      <c r="AF3" s="103">
        <f t="shared" si="1"/>
        <v>1.7639999999999999E-2</v>
      </c>
      <c r="AG3" s="103"/>
    </row>
    <row r="4" spans="1:33" ht="62.4">
      <c r="A4" s="93" t="s">
        <v>657</v>
      </c>
      <c r="B4" s="96">
        <v>6</v>
      </c>
      <c r="C4" s="96">
        <v>10</v>
      </c>
      <c r="D4" s="96">
        <v>8</v>
      </c>
      <c r="E4" s="96">
        <v>44</v>
      </c>
      <c r="F4" s="90"/>
      <c r="G4" s="90"/>
      <c r="H4" s="96">
        <v>1</v>
      </c>
      <c r="I4" s="96">
        <v>2</v>
      </c>
      <c r="J4" s="90">
        <v>2.1</v>
      </c>
      <c r="K4" s="90" t="s">
        <v>129</v>
      </c>
      <c r="L4" s="89">
        <v>3</v>
      </c>
      <c r="M4" s="90"/>
      <c r="N4" s="96">
        <v>18.2</v>
      </c>
      <c r="O4" s="90"/>
      <c r="P4" s="90"/>
      <c r="Q4" s="90"/>
      <c r="R4" s="90"/>
      <c r="S4" s="90"/>
      <c r="V4" s="92" t="s">
        <v>657</v>
      </c>
      <c r="W4" s="100">
        <f t="shared" si="0"/>
        <v>1.695E-2</v>
      </c>
      <c r="X4" s="101">
        <v>6</v>
      </c>
      <c r="Y4" s="101">
        <v>10</v>
      </c>
      <c r="Z4" s="101">
        <v>8</v>
      </c>
      <c r="AA4" s="101">
        <v>44</v>
      </c>
      <c r="AB4" s="101">
        <f t="shared" ref="AB4:AB6" si="2">AA4-AC4</f>
        <v>35</v>
      </c>
      <c r="AC4" s="101">
        <v>9</v>
      </c>
      <c r="AD4" s="102">
        <v>0.113</v>
      </c>
      <c r="AE4" s="103">
        <v>0.92</v>
      </c>
      <c r="AF4" s="103">
        <f t="shared" si="1"/>
        <v>1.5594E-2</v>
      </c>
      <c r="AG4" s="103"/>
    </row>
    <row r="5" spans="1:33" ht="46.8">
      <c r="A5" s="93" t="s">
        <v>851</v>
      </c>
      <c r="B5" s="96">
        <v>10</v>
      </c>
      <c r="C5" s="96">
        <v>34</v>
      </c>
      <c r="D5" s="96">
        <v>39</v>
      </c>
      <c r="E5" s="96">
        <v>143</v>
      </c>
      <c r="F5" s="90"/>
      <c r="G5" s="90"/>
      <c r="H5" s="96">
        <v>1</v>
      </c>
      <c r="I5" s="96">
        <v>2</v>
      </c>
      <c r="J5" s="90">
        <v>2.2000000000000002</v>
      </c>
      <c r="K5" s="90" t="s">
        <v>148</v>
      </c>
      <c r="L5" s="89">
        <v>1</v>
      </c>
      <c r="M5" s="90"/>
      <c r="N5" s="90"/>
      <c r="O5" s="90"/>
      <c r="P5" s="90"/>
      <c r="Q5" s="90"/>
      <c r="R5" s="90"/>
      <c r="S5" s="90"/>
      <c r="V5" s="92" t="s">
        <v>851</v>
      </c>
      <c r="W5" s="100">
        <f t="shared" si="0"/>
        <v>6.5699999999999995E-2</v>
      </c>
      <c r="X5" s="101">
        <v>14</v>
      </c>
      <c r="Y5" s="101">
        <v>34</v>
      </c>
      <c r="Z5" s="101">
        <v>39</v>
      </c>
      <c r="AA5" s="101">
        <v>143</v>
      </c>
      <c r="AB5" s="101">
        <f t="shared" si="2"/>
        <v>119</v>
      </c>
      <c r="AC5" s="101">
        <v>24</v>
      </c>
      <c r="AD5" s="102">
        <v>0.438</v>
      </c>
      <c r="AE5" s="103">
        <v>0.97</v>
      </c>
      <c r="AF5" s="103">
        <f t="shared" si="1"/>
        <v>6.3728999999999994E-2</v>
      </c>
      <c r="AG5" s="103"/>
    </row>
    <row r="6" spans="1:33" ht="78">
      <c r="A6" s="93" t="s">
        <v>1466</v>
      </c>
      <c r="B6" s="96">
        <v>2</v>
      </c>
      <c r="C6" s="96">
        <v>8</v>
      </c>
      <c r="D6" s="96">
        <v>7</v>
      </c>
      <c r="E6" s="96">
        <v>28</v>
      </c>
      <c r="F6" s="90"/>
      <c r="G6" s="90"/>
      <c r="H6" s="96">
        <v>1</v>
      </c>
      <c r="I6" s="96">
        <v>3</v>
      </c>
      <c r="J6" s="90">
        <v>3.1</v>
      </c>
      <c r="K6" s="90" t="s">
        <v>157</v>
      </c>
      <c r="L6" s="105">
        <v>8</v>
      </c>
      <c r="M6" s="90"/>
      <c r="N6" s="96">
        <v>9.1</v>
      </c>
      <c r="O6" s="90"/>
      <c r="P6" s="90"/>
      <c r="Q6" s="90"/>
      <c r="R6" s="90"/>
      <c r="S6" s="90"/>
      <c r="V6" s="92" t="s">
        <v>1466</v>
      </c>
      <c r="W6" s="100">
        <f t="shared" si="0"/>
        <v>1.3349999999999999E-2</v>
      </c>
      <c r="X6" s="101">
        <v>2</v>
      </c>
      <c r="Y6" s="101">
        <v>8</v>
      </c>
      <c r="Z6" s="101">
        <v>7</v>
      </c>
      <c r="AA6" s="101">
        <v>28</v>
      </c>
      <c r="AB6" s="101">
        <f t="shared" si="2"/>
        <v>21</v>
      </c>
      <c r="AC6" s="101">
        <v>7</v>
      </c>
      <c r="AD6" s="102">
        <v>8.8999999999999996E-2</v>
      </c>
      <c r="AE6" s="103">
        <v>0.93</v>
      </c>
      <c r="AF6" s="103">
        <f t="shared" si="1"/>
        <v>1.2415499999999999E-2</v>
      </c>
      <c r="AG6" s="103"/>
    </row>
    <row r="7" spans="1:33" ht="15.6">
      <c r="A7" s="88"/>
      <c r="B7" s="90"/>
      <c r="C7" s="90"/>
      <c r="D7" s="90"/>
      <c r="E7" s="90"/>
      <c r="F7" s="90"/>
      <c r="G7" s="90"/>
      <c r="H7" s="96">
        <v>1</v>
      </c>
      <c r="I7" s="96">
        <v>4</v>
      </c>
      <c r="J7" s="90">
        <v>4.0999999999999996</v>
      </c>
      <c r="K7" s="90" t="s">
        <v>185</v>
      </c>
      <c r="L7" s="89">
        <v>3</v>
      </c>
      <c r="M7" s="90"/>
      <c r="N7" s="96">
        <v>9.1</v>
      </c>
      <c r="O7" s="90"/>
      <c r="P7" s="90"/>
      <c r="Q7" s="90"/>
      <c r="R7" s="90"/>
      <c r="S7" s="90"/>
      <c r="V7" s="106" t="s">
        <v>1606</v>
      </c>
      <c r="W7" s="100">
        <f t="shared" si="0"/>
        <v>0.15</v>
      </c>
      <c r="X7" s="106">
        <f t="shared" ref="X7:AD7" si="3">SUM(X2:X6)</f>
        <v>38</v>
      </c>
      <c r="Y7" s="106">
        <f t="shared" si="3"/>
        <v>74</v>
      </c>
      <c r="Z7" s="106">
        <f t="shared" si="3"/>
        <v>82</v>
      </c>
      <c r="AA7" s="106">
        <f t="shared" si="3"/>
        <v>331</v>
      </c>
      <c r="AB7" s="106">
        <f t="shared" si="3"/>
        <v>258</v>
      </c>
      <c r="AC7" s="106">
        <f t="shared" si="3"/>
        <v>73</v>
      </c>
      <c r="AD7" s="107">
        <f t="shared" si="3"/>
        <v>1</v>
      </c>
      <c r="AE7" s="108">
        <f>SUM(AE2:AE6)/5</f>
        <v>0.95</v>
      </c>
      <c r="AF7" s="103">
        <f t="shared" si="1"/>
        <v>0.14249999999999999</v>
      </c>
      <c r="AG7" s="108"/>
    </row>
    <row r="8" spans="1:33" ht="15.6">
      <c r="A8" s="88"/>
      <c r="B8" s="90"/>
      <c r="C8" s="90"/>
      <c r="D8" s="90"/>
      <c r="E8" s="90"/>
      <c r="F8" s="90"/>
      <c r="G8" s="90"/>
      <c r="H8" s="96">
        <v>1</v>
      </c>
      <c r="I8" s="96">
        <v>4</v>
      </c>
      <c r="J8" s="104">
        <v>4.0999999999999996</v>
      </c>
      <c r="K8" s="90" t="s">
        <v>199</v>
      </c>
      <c r="L8" s="105">
        <v>2</v>
      </c>
      <c r="M8" s="90"/>
      <c r="N8" s="96"/>
      <c r="O8" s="90"/>
      <c r="P8" s="90"/>
      <c r="Q8" s="90"/>
      <c r="R8" s="90"/>
      <c r="S8" s="90"/>
    </row>
    <row r="9" spans="1:33" ht="15.6">
      <c r="A9" s="88"/>
      <c r="B9" s="90"/>
      <c r="C9" s="90"/>
      <c r="D9" s="90"/>
      <c r="E9" s="90"/>
      <c r="F9" s="90"/>
      <c r="G9" s="90"/>
      <c r="H9" s="96">
        <v>1</v>
      </c>
      <c r="I9" s="96">
        <v>5</v>
      </c>
      <c r="J9" s="104">
        <v>5.0999999999999996</v>
      </c>
      <c r="K9" s="90" t="s">
        <v>210</v>
      </c>
      <c r="L9" s="105">
        <v>10</v>
      </c>
      <c r="M9" s="90"/>
      <c r="N9" s="96">
        <v>45.5</v>
      </c>
      <c r="O9" s="90"/>
      <c r="P9" s="90"/>
      <c r="Q9" s="90"/>
      <c r="R9" s="90">
        <v>200</v>
      </c>
      <c r="S9" s="90">
        <v>4446000000</v>
      </c>
      <c r="T9" s="91">
        <v>96000000</v>
      </c>
    </row>
    <row r="10" spans="1:33" ht="15.6">
      <c r="A10" s="88"/>
      <c r="B10" s="90"/>
      <c r="C10" s="90"/>
      <c r="D10" s="90"/>
      <c r="E10" s="90"/>
      <c r="F10" s="90"/>
      <c r="G10" s="90"/>
      <c r="H10" s="96">
        <v>1</v>
      </c>
      <c r="I10" s="96">
        <v>5</v>
      </c>
      <c r="J10" s="104">
        <v>5.0999999999999996</v>
      </c>
      <c r="K10" s="90" t="s">
        <v>258</v>
      </c>
      <c r="L10" s="89">
        <v>5</v>
      </c>
      <c r="M10" s="90"/>
      <c r="N10" s="90"/>
      <c r="O10" s="90"/>
      <c r="P10" s="90"/>
      <c r="Q10" s="90"/>
      <c r="R10" s="90"/>
      <c r="S10" s="109">
        <f>S9/R9</f>
        <v>22230000</v>
      </c>
    </row>
    <row r="11" spans="1:33" ht="15.6">
      <c r="A11" s="88"/>
      <c r="B11" s="90"/>
      <c r="C11" s="90"/>
      <c r="D11" s="90"/>
      <c r="E11" s="90"/>
      <c r="F11" s="90"/>
      <c r="G11" s="90"/>
      <c r="H11" s="96">
        <v>1</v>
      </c>
      <c r="I11" s="96">
        <v>5</v>
      </c>
      <c r="J11" s="104">
        <v>5.0999999999999996</v>
      </c>
      <c r="K11" s="90" t="s">
        <v>282</v>
      </c>
      <c r="L11" s="89">
        <v>2</v>
      </c>
      <c r="M11" s="90"/>
      <c r="N11" s="90"/>
      <c r="O11" s="90"/>
      <c r="P11" s="90"/>
      <c r="Q11" s="90"/>
      <c r="R11" s="90"/>
      <c r="S11" s="90"/>
    </row>
    <row r="12" spans="1:33" ht="15.6">
      <c r="A12" s="88"/>
      <c r="B12" s="90"/>
      <c r="C12" s="90"/>
      <c r="D12" s="90"/>
      <c r="E12" s="90"/>
      <c r="F12" s="90"/>
      <c r="G12" s="90"/>
      <c r="H12" s="96">
        <v>1</v>
      </c>
      <c r="I12" s="96">
        <v>5</v>
      </c>
      <c r="J12" s="90">
        <v>5.2</v>
      </c>
      <c r="K12" s="90" t="s">
        <v>292</v>
      </c>
      <c r="L12" s="89">
        <v>3</v>
      </c>
      <c r="M12" s="90"/>
      <c r="N12" s="110"/>
      <c r="O12" s="90"/>
      <c r="P12" s="90"/>
      <c r="Q12" s="90"/>
      <c r="R12" s="90"/>
      <c r="S12" s="90"/>
    </row>
    <row r="13" spans="1:33" ht="15.6">
      <c r="A13" s="88"/>
      <c r="B13" s="90"/>
      <c r="C13" s="90"/>
      <c r="D13" s="90"/>
      <c r="E13" s="90"/>
      <c r="F13" s="90"/>
      <c r="G13" s="90"/>
      <c r="H13" s="96">
        <v>1</v>
      </c>
      <c r="I13" s="96">
        <v>5</v>
      </c>
      <c r="J13" s="90">
        <v>5.3</v>
      </c>
      <c r="K13" s="90" t="s">
        <v>314</v>
      </c>
      <c r="L13" s="89">
        <v>2</v>
      </c>
      <c r="M13" s="90"/>
      <c r="N13" s="90"/>
      <c r="O13" s="90"/>
      <c r="P13" s="90"/>
      <c r="Q13" s="90"/>
      <c r="R13" s="90"/>
      <c r="S13" s="90"/>
    </row>
    <row r="14" spans="1:33" ht="15.6">
      <c r="A14" s="88"/>
      <c r="B14" s="90"/>
      <c r="C14" s="90"/>
      <c r="D14" s="90"/>
      <c r="E14" s="90"/>
      <c r="F14" s="90"/>
      <c r="G14" s="90"/>
      <c r="H14" s="90">
        <v>1</v>
      </c>
      <c r="I14" s="90">
        <v>6</v>
      </c>
      <c r="J14" s="90">
        <v>6.1</v>
      </c>
      <c r="K14" s="90" t="s">
        <v>329</v>
      </c>
      <c r="L14" s="89">
        <v>5</v>
      </c>
      <c r="M14" s="90"/>
      <c r="N14" s="90"/>
      <c r="O14" s="90"/>
      <c r="P14" s="90"/>
      <c r="Q14" s="90"/>
      <c r="R14" s="90"/>
      <c r="S14" s="90"/>
    </row>
    <row r="15" spans="1:33" ht="15.6">
      <c r="A15" s="88"/>
      <c r="B15" s="90"/>
      <c r="C15" s="90"/>
      <c r="D15" s="90"/>
      <c r="E15" s="90"/>
      <c r="F15" s="90">
        <v>24</v>
      </c>
      <c r="G15" s="90"/>
      <c r="H15" s="90">
        <v>1</v>
      </c>
      <c r="I15" s="90">
        <v>6</v>
      </c>
      <c r="J15" s="90">
        <v>6.1</v>
      </c>
      <c r="K15" s="90" t="s">
        <v>352</v>
      </c>
      <c r="L15" s="89">
        <v>1</v>
      </c>
      <c r="M15" s="90"/>
      <c r="N15" s="90"/>
      <c r="O15" s="90"/>
      <c r="P15" s="90"/>
      <c r="Q15" s="90"/>
      <c r="R15" s="90"/>
      <c r="S15" s="90"/>
    </row>
    <row r="16" spans="1:33" ht="15.6">
      <c r="A16" s="88"/>
      <c r="B16" s="90"/>
      <c r="C16" s="90"/>
      <c r="D16" s="90"/>
      <c r="E16" s="90"/>
      <c r="F16" s="90">
        <v>12</v>
      </c>
      <c r="G16" s="90"/>
      <c r="H16" s="90">
        <v>1</v>
      </c>
      <c r="I16" s="90">
        <v>7</v>
      </c>
      <c r="J16" s="90">
        <v>7.1</v>
      </c>
      <c r="K16" s="90" t="s">
        <v>364</v>
      </c>
      <c r="L16" s="89">
        <v>7</v>
      </c>
      <c r="M16" s="90"/>
      <c r="N16" s="90"/>
      <c r="O16" s="90"/>
      <c r="P16" s="90"/>
      <c r="Q16" s="90"/>
      <c r="R16" s="90"/>
      <c r="S16" s="90"/>
    </row>
    <row r="17" spans="1:19" ht="15.6">
      <c r="A17" s="88"/>
      <c r="B17" s="90"/>
      <c r="C17" s="90"/>
      <c r="D17" s="90"/>
      <c r="E17" s="90"/>
      <c r="F17" s="90">
        <v>11.3</v>
      </c>
      <c r="G17" s="90"/>
      <c r="H17" s="90">
        <v>1</v>
      </c>
      <c r="I17" s="90">
        <v>8</v>
      </c>
      <c r="J17" s="90">
        <v>8.1</v>
      </c>
      <c r="K17" s="90" t="s">
        <v>401</v>
      </c>
      <c r="L17" s="89">
        <v>6</v>
      </c>
      <c r="M17" s="90"/>
      <c r="N17" s="90"/>
      <c r="O17" s="90"/>
      <c r="P17" s="90"/>
      <c r="Q17" s="90"/>
      <c r="R17" s="90"/>
      <c r="S17" s="90"/>
    </row>
    <row r="18" spans="1:19" ht="15.6">
      <c r="A18" s="88"/>
      <c r="B18" s="90"/>
      <c r="C18" s="90"/>
      <c r="D18" s="90"/>
      <c r="E18" s="90"/>
      <c r="F18" s="90">
        <v>43.8</v>
      </c>
      <c r="G18" s="90"/>
      <c r="H18" s="90">
        <v>1</v>
      </c>
      <c r="I18" s="90">
        <v>8</v>
      </c>
      <c r="J18" s="90">
        <v>8.1</v>
      </c>
      <c r="K18" s="91" t="s">
        <v>427</v>
      </c>
      <c r="L18" s="111">
        <v>2</v>
      </c>
      <c r="M18" s="90"/>
      <c r="N18" s="90"/>
      <c r="O18" s="90"/>
      <c r="P18" s="90"/>
      <c r="Q18" s="90"/>
      <c r="R18" s="90"/>
      <c r="S18" s="90"/>
    </row>
    <row r="19" spans="1:19" ht="15.6">
      <c r="A19" s="88"/>
      <c r="B19" s="90"/>
      <c r="C19" s="90"/>
      <c r="D19" s="90"/>
      <c r="E19" s="90"/>
      <c r="F19" s="90">
        <v>8.9</v>
      </c>
      <c r="G19" s="90"/>
      <c r="H19" s="90">
        <v>1</v>
      </c>
      <c r="I19" s="90">
        <v>8</v>
      </c>
      <c r="J19" s="90">
        <v>8.1</v>
      </c>
      <c r="K19" s="91" t="s">
        <v>436</v>
      </c>
      <c r="L19" s="111">
        <v>4</v>
      </c>
      <c r="M19" s="90"/>
      <c r="N19" s="90"/>
      <c r="O19" s="90"/>
      <c r="P19" s="90"/>
      <c r="Q19" s="90"/>
      <c r="R19" s="90"/>
      <c r="S19" s="90"/>
    </row>
    <row r="20" spans="1:19" ht="15.6">
      <c r="A20" s="88"/>
      <c r="B20" s="90"/>
      <c r="C20" s="90"/>
      <c r="D20" s="90"/>
      <c r="E20" s="90"/>
      <c r="F20" s="90"/>
      <c r="G20" s="90"/>
      <c r="H20" s="90">
        <v>1</v>
      </c>
      <c r="I20" s="90">
        <v>9</v>
      </c>
      <c r="J20" s="90">
        <v>9.1</v>
      </c>
      <c r="K20" s="90" t="s">
        <v>1624</v>
      </c>
      <c r="L20" s="89">
        <v>2</v>
      </c>
      <c r="M20" s="90"/>
      <c r="N20" s="90"/>
      <c r="O20" s="90"/>
      <c r="P20" s="90"/>
      <c r="Q20" s="90"/>
      <c r="R20" s="90"/>
      <c r="S20" s="90"/>
    </row>
    <row r="21" spans="1:19" ht="15.6">
      <c r="A21" s="88"/>
      <c r="B21" s="90"/>
      <c r="C21" s="90"/>
      <c r="D21" s="90"/>
      <c r="E21" s="90"/>
      <c r="F21" s="90"/>
      <c r="G21" s="90"/>
      <c r="H21" s="90">
        <v>1</v>
      </c>
      <c r="I21" s="90">
        <v>10</v>
      </c>
      <c r="J21" s="90">
        <v>10.1</v>
      </c>
      <c r="K21" s="90" t="s">
        <v>485</v>
      </c>
      <c r="L21" s="89">
        <v>3</v>
      </c>
      <c r="M21" s="90"/>
      <c r="N21" s="90"/>
      <c r="O21" s="90"/>
      <c r="P21" s="90"/>
      <c r="Q21" s="90"/>
      <c r="R21" s="90"/>
      <c r="S21" s="90"/>
    </row>
    <row r="22" spans="1:19" ht="15.6">
      <c r="A22" s="88"/>
      <c r="B22" s="90"/>
      <c r="C22" s="90"/>
      <c r="D22" s="90"/>
      <c r="E22" s="90"/>
      <c r="F22" s="90"/>
      <c r="G22" s="90"/>
      <c r="H22" s="90">
        <v>1</v>
      </c>
      <c r="I22" s="90">
        <v>10</v>
      </c>
      <c r="J22" s="90">
        <v>10.199999999999999</v>
      </c>
      <c r="K22" s="90" t="s">
        <v>485</v>
      </c>
      <c r="L22" s="89">
        <v>2</v>
      </c>
      <c r="M22" s="90"/>
      <c r="N22" s="90"/>
      <c r="O22" s="90"/>
      <c r="P22" s="90"/>
      <c r="Q22" s="90"/>
      <c r="R22" s="90"/>
      <c r="S22" s="90"/>
    </row>
    <row r="23" spans="1:19" ht="15.6">
      <c r="A23" s="88"/>
      <c r="B23" s="90"/>
      <c r="C23" s="90"/>
      <c r="D23" s="90"/>
      <c r="E23" s="90"/>
      <c r="F23" s="90"/>
      <c r="G23" s="90"/>
      <c r="H23" s="90">
        <v>2</v>
      </c>
      <c r="I23" s="90">
        <v>11</v>
      </c>
      <c r="J23" s="90">
        <v>11.1</v>
      </c>
      <c r="K23" s="90" t="s">
        <v>496</v>
      </c>
      <c r="L23" s="89">
        <v>9</v>
      </c>
      <c r="M23" s="90"/>
      <c r="N23" s="90"/>
      <c r="O23" s="90"/>
      <c r="P23" s="90"/>
      <c r="Q23" s="90"/>
      <c r="R23" s="90"/>
      <c r="S23" s="90"/>
    </row>
    <row r="24" spans="1:19" ht="15.6">
      <c r="A24" s="88"/>
      <c r="B24" s="90"/>
      <c r="C24" s="90"/>
      <c r="D24" s="90"/>
      <c r="E24" s="90"/>
      <c r="F24" s="90"/>
      <c r="G24" s="90"/>
      <c r="H24" s="90">
        <v>2</v>
      </c>
      <c r="I24" s="90">
        <v>12</v>
      </c>
      <c r="J24" s="90">
        <v>12.1</v>
      </c>
      <c r="K24" s="90" t="s">
        <v>531</v>
      </c>
      <c r="L24" s="89">
        <v>11</v>
      </c>
      <c r="M24" s="90"/>
      <c r="N24" s="90"/>
      <c r="O24" s="90"/>
      <c r="P24" s="90"/>
      <c r="Q24" s="90"/>
      <c r="R24" s="90"/>
      <c r="S24" s="90"/>
    </row>
    <row r="25" spans="1:19" ht="15.6">
      <c r="A25" s="112"/>
      <c r="H25" s="90">
        <v>2</v>
      </c>
      <c r="I25" s="91">
        <v>13</v>
      </c>
      <c r="J25" s="91">
        <v>13.1</v>
      </c>
      <c r="K25" s="91" t="s">
        <v>547</v>
      </c>
      <c r="L25" s="111">
        <v>8</v>
      </c>
    </row>
    <row r="26" spans="1:19" ht="15.6">
      <c r="A26" s="112"/>
      <c r="H26" s="90">
        <v>2</v>
      </c>
      <c r="I26" s="91">
        <v>13</v>
      </c>
      <c r="J26" s="91">
        <v>13.2</v>
      </c>
      <c r="K26" s="91" t="s">
        <v>577</v>
      </c>
      <c r="L26" s="111">
        <v>2</v>
      </c>
    </row>
    <row r="27" spans="1:19" ht="15.6">
      <c r="A27" s="112"/>
      <c r="H27" s="90">
        <v>2</v>
      </c>
      <c r="I27" s="91">
        <v>14</v>
      </c>
      <c r="J27" s="91">
        <v>14.1</v>
      </c>
      <c r="K27" s="91" t="s">
        <v>591</v>
      </c>
      <c r="L27" s="111">
        <v>8</v>
      </c>
    </row>
    <row r="28" spans="1:19" ht="15.6">
      <c r="A28" s="112"/>
      <c r="H28" s="90">
        <v>2</v>
      </c>
      <c r="I28" s="91">
        <v>15</v>
      </c>
      <c r="J28" s="91">
        <v>15.1</v>
      </c>
      <c r="K28" s="91" t="s">
        <v>621</v>
      </c>
      <c r="L28" s="111">
        <v>4</v>
      </c>
    </row>
    <row r="29" spans="1:19" ht="15.6">
      <c r="A29" s="112"/>
      <c r="H29" s="90">
        <v>2</v>
      </c>
      <c r="I29" s="91">
        <v>16</v>
      </c>
      <c r="J29" s="91">
        <v>16.100000000000001</v>
      </c>
      <c r="K29" s="91" t="s">
        <v>639</v>
      </c>
      <c r="L29" s="111">
        <v>4</v>
      </c>
    </row>
    <row r="30" spans="1:19" ht="15.6">
      <c r="A30" s="112"/>
      <c r="H30" s="91">
        <v>3</v>
      </c>
      <c r="I30" s="91">
        <v>17</v>
      </c>
      <c r="J30" s="91">
        <v>17.100000000000001</v>
      </c>
      <c r="K30" s="91" t="s">
        <v>660</v>
      </c>
      <c r="L30" s="111">
        <v>12</v>
      </c>
    </row>
    <row r="31" spans="1:19" ht="15.6">
      <c r="A31" s="112"/>
      <c r="H31" s="91">
        <v>3</v>
      </c>
      <c r="I31" s="91">
        <v>17</v>
      </c>
      <c r="J31" s="91">
        <v>17.100000000000001</v>
      </c>
      <c r="K31" s="91" t="s">
        <v>703</v>
      </c>
      <c r="L31" s="111">
        <v>7</v>
      </c>
    </row>
    <row r="32" spans="1:19" ht="15.6">
      <c r="A32" s="112"/>
      <c r="H32" s="91">
        <v>3</v>
      </c>
      <c r="I32" s="91">
        <v>17</v>
      </c>
      <c r="J32" s="91">
        <v>17.100000000000001</v>
      </c>
      <c r="K32" s="91" t="s">
        <v>729</v>
      </c>
      <c r="L32" s="111">
        <v>2</v>
      </c>
    </row>
    <row r="33" spans="1:12" ht="15.6">
      <c r="A33" s="112"/>
      <c r="H33" s="91">
        <v>3</v>
      </c>
      <c r="I33" s="91">
        <v>18</v>
      </c>
      <c r="J33" s="91">
        <v>18.100000000000001</v>
      </c>
      <c r="K33" s="91" t="s">
        <v>740</v>
      </c>
      <c r="L33" s="111">
        <v>5</v>
      </c>
    </row>
    <row r="34" spans="1:12" ht="15.6">
      <c r="A34" s="112"/>
      <c r="H34" s="91">
        <v>3</v>
      </c>
      <c r="I34" s="91">
        <v>19</v>
      </c>
      <c r="J34" s="91">
        <v>19.100000000000001</v>
      </c>
      <c r="K34" s="91" t="s">
        <v>763</v>
      </c>
      <c r="L34" s="111">
        <v>1</v>
      </c>
    </row>
    <row r="35" spans="1:12" ht="15.6">
      <c r="A35" s="112"/>
      <c r="H35" s="91">
        <v>3</v>
      </c>
      <c r="I35" s="91">
        <v>19</v>
      </c>
      <c r="J35" s="91">
        <v>19.100000000000001</v>
      </c>
      <c r="K35" s="91" t="s">
        <v>772</v>
      </c>
      <c r="L35" s="111">
        <v>2</v>
      </c>
    </row>
    <row r="36" spans="1:12" ht="15.6">
      <c r="A36" s="112"/>
      <c r="H36" s="91">
        <v>3</v>
      </c>
      <c r="I36" s="91">
        <v>20</v>
      </c>
      <c r="J36" s="91">
        <v>20.100000000000001</v>
      </c>
      <c r="K36" s="91" t="s">
        <v>786</v>
      </c>
      <c r="L36" s="111">
        <v>5</v>
      </c>
    </row>
    <row r="37" spans="1:12" ht="15.6">
      <c r="A37" s="112"/>
      <c r="H37" s="91">
        <v>3</v>
      </c>
      <c r="I37" s="91">
        <v>21</v>
      </c>
      <c r="J37" s="91">
        <v>21.1</v>
      </c>
      <c r="K37" s="91" t="s">
        <v>811</v>
      </c>
      <c r="L37" s="111">
        <v>10</v>
      </c>
    </row>
    <row r="38" spans="1:12" ht="15.6">
      <c r="A38" s="112"/>
      <c r="H38" s="91">
        <v>3</v>
      </c>
      <c r="I38" s="91">
        <v>22</v>
      </c>
      <c r="J38" s="91">
        <v>22.1</v>
      </c>
      <c r="K38" s="113" t="s">
        <v>811</v>
      </c>
      <c r="L38" s="111">
        <v>0</v>
      </c>
    </row>
    <row r="39" spans="1:12" ht="15.6">
      <c r="A39" s="112"/>
      <c r="H39" s="91">
        <v>4</v>
      </c>
      <c r="I39" s="91">
        <v>23</v>
      </c>
      <c r="J39" s="91">
        <v>23.1</v>
      </c>
      <c r="K39" s="91" t="s">
        <v>854</v>
      </c>
      <c r="L39" s="111">
        <v>10</v>
      </c>
    </row>
    <row r="40" spans="1:12" ht="15.6">
      <c r="A40" s="112"/>
      <c r="H40" s="91">
        <v>4</v>
      </c>
      <c r="I40" s="91">
        <v>23</v>
      </c>
      <c r="J40" s="91">
        <v>23.2</v>
      </c>
      <c r="K40" s="91" t="s">
        <v>894</v>
      </c>
      <c r="L40" s="111">
        <v>9</v>
      </c>
    </row>
    <row r="41" spans="1:12" ht="15.6">
      <c r="A41" s="112"/>
      <c r="H41" s="91">
        <v>4</v>
      </c>
      <c r="I41" s="91">
        <v>23</v>
      </c>
      <c r="J41" s="91">
        <v>23.3</v>
      </c>
      <c r="K41" s="91" t="s">
        <v>927</v>
      </c>
      <c r="L41" s="114">
        <v>4</v>
      </c>
    </row>
    <row r="42" spans="1:12" ht="15.6">
      <c r="A42" s="112"/>
      <c r="H42" s="91">
        <v>4</v>
      </c>
      <c r="I42" s="91">
        <v>23</v>
      </c>
      <c r="J42" s="91">
        <v>23.4</v>
      </c>
      <c r="K42" s="91" t="s">
        <v>945</v>
      </c>
      <c r="L42" s="114">
        <v>3</v>
      </c>
    </row>
    <row r="43" spans="1:12" ht="15.6">
      <c r="A43" s="112"/>
      <c r="H43" s="91">
        <v>4</v>
      </c>
      <c r="I43" s="91">
        <v>24</v>
      </c>
      <c r="J43" s="91">
        <v>24.1</v>
      </c>
      <c r="K43" s="91" t="s">
        <v>1625</v>
      </c>
      <c r="L43" s="111">
        <v>1</v>
      </c>
    </row>
    <row r="44" spans="1:12" ht="15.6">
      <c r="A44" s="112"/>
      <c r="H44" s="91">
        <v>4</v>
      </c>
      <c r="I44" s="91">
        <v>24</v>
      </c>
      <c r="J44" s="91">
        <v>24.1</v>
      </c>
      <c r="K44" s="91" t="s">
        <v>966</v>
      </c>
      <c r="L44" s="111">
        <v>1</v>
      </c>
    </row>
    <row r="45" spans="1:12" ht="15.6">
      <c r="A45" s="112"/>
      <c r="H45" s="91">
        <v>4</v>
      </c>
      <c r="I45" s="91">
        <v>24</v>
      </c>
      <c r="J45" s="91">
        <v>24.2</v>
      </c>
      <c r="K45" s="91" t="s">
        <v>973</v>
      </c>
      <c r="L45" s="111">
        <v>1</v>
      </c>
    </row>
    <row r="46" spans="1:12" ht="15.6">
      <c r="A46" s="112"/>
      <c r="H46" s="91">
        <v>4</v>
      </c>
      <c r="I46" s="91">
        <v>24</v>
      </c>
      <c r="J46" s="91">
        <v>24.2</v>
      </c>
      <c r="K46" s="91" t="s">
        <v>980</v>
      </c>
      <c r="L46" s="111">
        <v>1</v>
      </c>
    </row>
    <row r="47" spans="1:12" ht="15.6">
      <c r="A47" s="112"/>
      <c r="H47" s="91">
        <v>4</v>
      </c>
      <c r="I47" s="91">
        <v>24</v>
      </c>
      <c r="J47" s="91">
        <v>24.2</v>
      </c>
      <c r="K47" s="91" t="s">
        <v>986</v>
      </c>
      <c r="L47" s="111">
        <v>1</v>
      </c>
    </row>
    <row r="48" spans="1:12" ht="15.6">
      <c r="A48" s="112"/>
      <c r="H48" s="91">
        <v>4</v>
      </c>
      <c r="I48" s="91">
        <v>24</v>
      </c>
      <c r="J48" s="91">
        <v>24.2</v>
      </c>
      <c r="K48" s="91" t="s">
        <v>1626</v>
      </c>
      <c r="L48" s="111">
        <v>1</v>
      </c>
    </row>
    <row r="49" spans="1:28" ht="15.6">
      <c r="A49" s="112"/>
      <c r="H49" s="91">
        <v>4</v>
      </c>
      <c r="I49" s="91">
        <v>24</v>
      </c>
      <c r="J49" s="91">
        <v>24.2</v>
      </c>
      <c r="K49" s="91" t="s">
        <v>999</v>
      </c>
      <c r="L49" s="111">
        <v>1</v>
      </c>
    </row>
    <row r="50" spans="1:28" ht="15.6">
      <c r="A50" s="112"/>
      <c r="H50" s="91">
        <v>4</v>
      </c>
      <c r="I50" s="91">
        <v>24</v>
      </c>
      <c r="J50" s="91">
        <v>24.2</v>
      </c>
      <c r="K50" s="91" t="s">
        <v>1004</v>
      </c>
      <c r="L50" s="111">
        <v>1</v>
      </c>
    </row>
    <row r="51" spans="1:28" ht="15.6">
      <c r="A51" s="112"/>
      <c r="H51" s="91">
        <v>4</v>
      </c>
      <c r="I51" s="91">
        <v>24</v>
      </c>
      <c r="J51" s="91">
        <v>24.2</v>
      </c>
      <c r="K51" s="91" t="s">
        <v>1009</v>
      </c>
      <c r="L51" s="111">
        <v>1</v>
      </c>
    </row>
    <row r="52" spans="1:28" ht="15.6">
      <c r="A52" s="112"/>
      <c r="H52" s="91">
        <v>4</v>
      </c>
      <c r="I52" s="91">
        <v>24</v>
      </c>
      <c r="J52" s="91">
        <v>24.2</v>
      </c>
      <c r="K52" s="91" t="s">
        <v>1015</v>
      </c>
      <c r="L52" s="111">
        <v>1</v>
      </c>
    </row>
    <row r="53" spans="1:28" ht="15.6">
      <c r="A53" s="112"/>
      <c r="H53" s="91">
        <v>4</v>
      </c>
      <c r="I53" s="91">
        <v>24</v>
      </c>
      <c r="J53" s="91">
        <v>24.2</v>
      </c>
      <c r="K53" s="91" t="s">
        <v>1020</v>
      </c>
      <c r="L53" s="111">
        <v>1</v>
      </c>
    </row>
    <row r="54" spans="1:28" ht="15.6">
      <c r="A54" s="112"/>
      <c r="H54" s="91">
        <v>4</v>
      </c>
      <c r="I54" s="91">
        <v>24</v>
      </c>
      <c r="J54" s="91">
        <v>24.3</v>
      </c>
      <c r="K54" s="91" t="s">
        <v>1025</v>
      </c>
      <c r="L54" s="111">
        <v>9</v>
      </c>
    </row>
    <row r="55" spans="1:28" ht="15.6">
      <c r="A55" s="112"/>
      <c r="H55" s="91">
        <v>4</v>
      </c>
      <c r="I55" s="91">
        <v>25</v>
      </c>
      <c r="J55" s="91">
        <v>25.1</v>
      </c>
      <c r="K55" s="91" t="s">
        <v>1057</v>
      </c>
      <c r="L55" s="111">
        <v>9</v>
      </c>
    </row>
    <row r="56" spans="1:28" ht="15.6">
      <c r="A56" s="112"/>
      <c r="H56" s="91">
        <v>4</v>
      </c>
      <c r="I56" s="91">
        <v>25</v>
      </c>
      <c r="J56" s="91">
        <v>25.2</v>
      </c>
      <c r="K56" s="91" t="s">
        <v>1089</v>
      </c>
      <c r="L56" s="111">
        <v>4</v>
      </c>
    </row>
    <row r="57" spans="1:28" ht="15.6">
      <c r="A57" s="112"/>
      <c r="H57" s="91">
        <v>4</v>
      </c>
      <c r="I57" s="91">
        <v>25</v>
      </c>
      <c r="J57" s="91">
        <v>25.3</v>
      </c>
      <c r="K57" s="91" t="s">
        <v>1108</v>
      </c>
      <c r="L57" s="111">
        <v>2</v>
      </c>
    </row>
    <row r="58" spans="1:28" ht="22.8">
      <c r="A58" s="112"/>
      <c r="H58" s="91">
        <v>4</v>
      </c>
      <c r="I58" s="91">
        <v>25</v>
      </c>
      <c r="J58" s="91">
        <v>25.4</v>
      </c>
      <c r="K58" s="91" t="s">
        <v>1119</v>
      </c>
      <c r="L58" s="111">
        <v>6</v>
      </c>
      <c r="S58" s="1" t="s">
        <v>38</v>
      </c>
      <c r="T58" s="1" t="s">
        <v>39</v>
      </c>
      <c r="U58" s="1" t="s">
        <v>40</v>
      </c>
      <c r="V58" s="1" t="s">
        <v>41</v>
      </c>
      <c r="W58" s="1"/>
      <c r="X58" s="1" t="s">
        <v>42</v>
      </c>
      <c r="Y58" s="1" t="s">
        <v>43</v>
      </c>
      <c r="Z58" s="1" t="s">
        <v>44</v>
      </c>
      <c r="AA58" s="5" t="s">
        <v>45</v>
      </c>
      <c r="AB58" s="5" t="s">
        <v>46</v>
      </c>
    </row>
    <row r="59" spans="1:28" ht="15.6">
      <c r="A59" s="112"/>
      <c r="H59" s="91">
        <v>4</v>
      </c>
      <c r="I59" s="91">
        <v>25</v>
      </c>
      <c r="J59" s="91">
        <v>25.4</v>
      </c>
      <c r="K59" s="91" t="s">
        <v>1143</v>
      </c>
      <c r="L59" s="111">
        <v>1</v>
      </c>
      <c r="S59" s="115">
        <v>24899</v>
      </c>
      <c r="T59" s="115">
        <v>24899</v>
      </c>
      <c r="U59" s="26">
        <v>0</v>
      </c>
      <c r="V59" s="26"/>
      <c r="W59" s="29"/>
      <c r="X59" s="29">
        <f t="shared" ref="X59:Y59" si="4">(O59+Q59+S59+U59)</f>
        <v>24899</v>
      </c>
      <c r="Y59" s="22">
        <f t="shared" si="4"/>
        <v>24899</v>
      </c>
      <c r="Z59" s="22">
        <f t="shared" ref="Z59:Z76" si="5">Y59/X59</f>
        <v>1</v>
      </c>
      <c r="AA59" s="23" t="str">
        <f>IF(X59&lt;= 0.01, "0%", IF(X59 &gt; 1, X59, X59 * 100) &amp; "%")</f>
        <v>24899%</v>
      </c>
      <c r="AB59" s="24">
        <f t="shared" ref="AB59:AB76" si="6">IF(X59=0, 0, Y59/X59)</f>
        <v>1</v>
      </c>
    </row>
    <row r="60" spans="1:28" ht="15.6">
      <c r="A60" s="112"/>
      <c r="H60" s="91">
        <v>4</v>
      </c>
      <c r="I60" s="91">
        <v>26</v>
      </c>
      <c r="J60" s="91">
        <v>26.1</v>
      </c>
      <c r="K60" s="91" t="s">
        <v>1151</v>
      </c>
      <c r="L60" s="111">
        <v>8</v>
      </c>
      <c r="S60" s="116">
        <v>1E-3</v>
      </c>
      <c r="T60" s="115">
        <v>0</v>
      </c>
      <c r="U60" s="115">
        <v>6</v>
      </c>
      <c r="V60" s="115">
        <v>0</v>
      </c>
      <c r="W60" s="117"/>
      <c r="X60" s="117">
        <f t="shared" ref="X60:Y60" si="7">(O60+Q60+S60+U60)</f>
        <v>6.0010000000000003</v>
      </c>
      <c r="Y60" s="117">
        <f t="shared" si="7"/>
        <v>0</v>
      </c>
      <c r="Z60" s="117">
        <f t="shared" si="5"/>
        <v>0</v>
      </c>
      <c r="AA60" s="118" t="str">
        <f t="shared" ref="AA60:AA67" si="8">IF(X60&gt; 1, IF(X60 = Y60, "100%", X60 &amp; "%"), IF(X60 &lt;= 0.01, "0%", X60 * 100 &amp; "%"))</f>
        <v>6.001%</v>
      </c>
      <c r="AB60" s="119">
        <f t="shared" si="6"/>
        <v>0</v>
      </c>
    </row>
    <row r="61" spans="1:28" ht="15.6">
      <c r="A61" s="112"/>
      <c r="H61" s="91">
        <v>4</v>
      </c>
      <c r="I61" s="91">
        <v>26</v>
      </c>
      <c r="J61" s="91">
        <v>26.2</v>
      </c>
      <c r="K61" s="91" t="s">
        <v>1184</v>
      </c>
      <c r="L61" s="111">
        <v>5</v>
      </c>
      <c r="S61" s="115">
        <v>300</v>
      </c>
      <c r="T61" s="115">
        <v>300</v>
      </c>
      <c r="U61" s="115">
        <v>1000</v>
      </c>
      <c r="V61" s="115">
        <v>0</v>
      </c>
      <c r="W61" s="117"/>
      <c r="X61" s="117">
        <f t="shared" ref="X61:Y61" si="9">(O61+Q61+S61+U61)</f>
        <v>1300</v>
      </c>
      <c r="Y61" s="117">
        <f t="shared" si="9"/>
        <v>300</v>
      </c>
      <c r="Z61" s="117">
        <f t="shared" si="5"/>
        <v>0.23076923076923078</v>
      </c>
      <c r="AA61" s="118" t="str">
        <f t="shared" si="8"/>
        <v>1300%</v>
      </c>
      <c r="AB61" s="119">
        <f t="shared" si="6"/>
        <v>0.23076923076923078</v>
      </c>
    </row>
    <row r="62" spans="1:28" ht="15.6">
      <c r="A62" s="112"/>
      <c r="H62" s="91">
        <v>4</v>
      </c>
      <c r="I62" s="91">
        <v>26</v>
      </c>
      <c r="J62" s="91">
        <v>26.3</v>
      </c>
      <c r="K62" s="91" t="s">
        <v>1204</v>
      </c>
      <c r="L62" s="111">
        <v>4</v>
      </c>
      <c r="S62" s="115">
        <v>3245</v>
      </c>
      <c r="T62" s="115">
        <v>3245</v>
      </c>
      <c r="U62" s="115">
        <v>806</v>
      </c>
      <c r="V62" s="115">
        <v>0</v>
      </c>
      <c r="W62" s="117"/>
      <c r="X62" s="117">
        <f t="shared" ref="X62:Y62" si="10">(O62+Q62+S62+U62)</f>
        <v>4051</v>
      </c>
      <c r="Y62" s="117">
        <f t="shared" si="10"/>
        <v>3245</v>
      </c>
      <c r="Z62" s="117">
        <f t="shared" si="5"/>
        <v>0.80103678104171805</v>
      </c>
      <c r="AA62" s="118" t="str">
        <f t="shared" si="8"/>
        <v>4051%</v>
      </c>
      <c r="AB62" s="119">
        <f t="shared" si="6"/>
        <v>0.80103678104171805</v>
      </c>
    </row>
    <row r="63" spans="1:28" ht="15.6">
      <c r="A63" s="112"/>
      <c r="H63" s="91">
        <v>4</v>
      </c>
      <c r="I63" s="91">
        <v>26</v>
      </c>
      <c r="J63" s="91">
        <v>26.4</v>
      </c>
      <c r="K63" s="91" t="s">
        <v>1221</v>
      </c>
      <c r="L63" s="111">
        <v>3</v>
      </c>
      <c r="S63" s="115">
        <v>1500</v>
      </c>
      <c r="T63" s="115">
        <v>1631</v>
      </c>
      <c r="U63" s="115">
        <v>0</v>
      </c>
      <c r="V63" s="115">
        <v>0</v>
      </c>
      <c r="W63" s="117"/>
      <c r="X63" s="117">
        <f t="shared" ref="X63:Y63" si="11">(O63+Q63+S63+U63)</f>
        <v>1500</v>
      </c>
      <c r="Y63" s="117">
        <f t="shared" si="11"/>
        <v>1631</v>
      </c>
      <c r="Z63" s="117">
        <f t="shared" si="5"/>
        <v>1.0873333333333333</v>
      </c>
      <c r="AA63" s="118" t="str">
        <f t="shared" si="8"/>
        <v>1500%</v>
      </c>
      <c r="AB63" s="119">
        <f t="shared" si="6"/>
        <v>1.0873333333333333</v>
      </c>
    </row>
    <row r="64" spans="1:28" ht="15.6">
      <c r="A64" s="112"/>
      <c r="H64" s="91">
        <v>4</v>
      </c>
      <c r="I64" s="91">
        <v>27</v>
      </c>
      <c r="J64" s="91">
        <v>27.1</v>
      </c>
      <c r="K64" s="163" t="s">
        <v>1234</v>
      </c>
      <c r="L64" s="111">
        <v>6</v>
      </c>
      <c r="S64" s="115">
        <v>68</v>
      </c>
      <c r="T64" s="115">
        <v>68</v>
      </c>
      <c r="U64" s="115">
        <v>45</v>
      </c>
      <c r="V64" s="115">
        <v>0</v>
      </c>
      <c r="W64" s="117"/>
      <c r="X64" s="117">
        <f t="shared" ref="X64:Y64" si="12">(O64+Q64+S64+U64)</f>
        <v>113</v>
      </c>
      <c r="Y64" s="117">
        <f t="shared" si="12"/>
        <v>68</v>
      </c>
      <c r="Z64" s="117">
        <f t="shared" si="5"/>
        <v>0.60176991150442483</v>
      </c>
      <c r="AA64" s="118" t="str">
        <f t="shared" si="8"/>
        <v>113%</v>
      </c>
      <c r="AB64" s="119">
        <f t="shared" si="6"/>
        <v>0.60176991150442483</v>
      </c>
    </row>
    <row r="65" spans="1:28" ht="15.6">
      <c r="A65" s="112"/>
      <c r="H65" s="91">
        <v>4</v>
      </c>
      <c r="I65" s="91">
        <v>27</v>
      </c>
      <c r="J65" s="91">
        <v>27.2</v>
      </c>
      <c r="K65" s="164"/>
      <c r="L65" s="111">
        <v>3</v>
      </c>
      <c r="S65" s="115">
        <v>500</v>
      </c>
      <c r="T65" s="115">
        <v>500</v>
      </c>
      <c r="U65" s="115">
        <v>500</v>
      </c>
      <c r="V65" s="115">
        <v>0</v>
      </c>
      <c r="W65" s="117"/>
      <c r="X65" s="117">
        <f t="shared" ref="X65:Y65" si="13">(O65+Q65+S65+U65)</f>
        <v>1000</v>
      </c>
      <c r="Y65" s="117">
        <f t="shared" si="13"/>
        <v>500</v>
      </c>
      <c r="Z65" s="117">
        <f t="shared" si="5"/>
        <v>0.5</v>
      </c>
      <c r="AA65" s="118" t="str">
        <f t="shared" si="8"/>
        <v>1000%</v>
      </c>
      <c r="AB65" s="119">
        <f t="shared" si="6"/>
        <v>0.5</v>
      </c>
    </row>
    <row r="66" spans="1:28" ht="15.6">
      <c r="A66" s="112"/>
      <c r="H66" s="91">
        <v>4</v>
      </c>
      <c r="I66" s="91">
        <v>27</v>
      </c>
      <c r="J66" s="91">
        <v>27.3</v>
      </c>
      <c r="K66" s="164"/>
      <c r="L66" s="111">
        <v>2</v>
      </c>
      <c r="S66" s="115">
        <v>100</v>
      </c>
      <c r="T66" s="115">
        <v>100</v>
      </c>
      <c r="U66" s="115">
        <v>25</v>
      </c>
      <c r="V66" s="115">
        <v>0</v>
      </c>
      <c r="W66" s="116"/>
      <c r="X66" s="116">
        <f t="shared" ref="X66:Y66" si="14">(O66+Q66+S66+U66)</f>
        <v>125</v>
      </c>
      <c r="Y66" s="117">
        <f t="shared" si="14"/>
        <v>100</v>
      </c>
      <c r="Z66" s="117">
        <f t="shared" si="5"/>
        <v>0.8</v>
      </c>
      <c r="AA66" s="118" t="str">
        <f t="shared" si="8"/>
        <v>125%</v>
      </c>
      <c r="AB66" s="119">
        <f t="shared" si="6"/>
        <v>0.8</v>
      </c>
    </row>
    <row r="67" spans="1:28" ht="15.6">
      <c r="A67" s="112"/>
      <c r="H67" s="91">
        <v>4</v>
      </c>
      <c r="I67" s="91">
        <v>27</v>
      </c>
      <c r="J67" s="91">
        <v>27.4</v>
      </c>
      <c r="K67" s="164"/>
      <c r="L67" s="111">
        <v>1</v>
      </c>
      <c r="S67" s="115">
        <v>1000</v>
      </c>
      <c r="T67" s="115">
        <v>1087</v>
      </c>
      <c r="U67" s="115">
        <v>1000</v>
      </c>
      <c r="V67" s="115">
        <v>0</v>
      </c>
      <c r="W67" s="116"/>
      <c r="X67" s="116">
        <f>(O67+Q67+S67+U67)/2</f>
        <v>1000</v>
      </c>
      <c r="Y67" s="117">
        <f>(P67+R67+T67+V67)</f>
        <v>1087</v>
      </c>
      <c r="Z67" s="117">
        <f t="shared" si="5"/>
        <v>1.087</v>
      </c>
      <c r="AA67" s="118" t="str">
        <f t="shared" si="8"/>
        <v>1000%</v>
      </c>
      <c r="AB67" s="119">
        <f t="shared" si="6"/>
        <v>1.087</v>
      </c>
    </row>
    <row r="68" spans="1:28" ht="15.6">
      <c r="A68" s="112"/>
      <c r="H68" s="91">
        <v>4</v>
      </c>
      <c r="I68" s="91">
        <v>27</v>
      </c>
      <c r="J68" s="91">
        <v>27.5</v>
      </c>
      <c r="K68" s="164"/>
      <c r="L68" s="111">
        <v>2</v>
      </c>
      <c r="S68" s="115">
        <v>750</v>
      </c>
      <c r="T68" s="115">
        <v>750</v>
      </c>
      <c r="U68" s="115">
        <v>20</v>
      </c>
      <c r="V68" s="115">
        <v>0</v>
      </c>
      <c r="W68" s="116"/>
      <c r="X68" s="116">
        <f t="shared" ref="X68:Y68" si="15">(O68+Q68+S68+U68)</f>
        <v>770</v>
      </c>
      <c r="Y68" s="116">
        <f t="shared" si="15"/>
        <v>750</v>
      </c>
      <c r="Z68" s="117">
        <f t="shared" si="5"/>
        <v>0.97402597402597402</v>
      </c>
      <c r="AA68" s="119" t="str">
        <f>IF(X68&lt;= 0.01, "0%", IF(X68 &gt; 1, X68, X68 * 100) &amp; "%")</f>
        <v>770%</v>
      </c>
      <c r="AB68" s="119">
        <f t="shared" si="6"/>
        <v>0.97402597402597402</v>
      </c>
    </row>
    <row r="69" spans="1:28" ht="15.6">
      <c r="A69" s="112"/>
      <c r="H69" s="91">
        <v>4</v>
      </c>
      <c r="I69" s="91">
        <v>28</v>
      </c>
      <c r="J69" s="91">
        <v>28.1</v>
      </c>
      <c r="K69" s="91" t="s">
        <v>1286</v>
      </c>
      <c r="L69" s="111">
        <v>2</v>
      </c>
      <c r="S69" s="115">
        <v>4500</v>
      </c>
      <c r="T69" s="115">
        <v>5257</v>
      </c>
      <c r="U69" s="115">
        <v>4500</v>
      </c>
      <c r="V69" s="115">
        <v>0</v>
      </c>
      <c r="W69" s="116"/>
      <c r="X69" s="116">
        <f>(O69+Q69+S69+U69)/2</f>
        <v>4500</v>
      </c>
      <c r="Y69" s="116">
        <f>(P69+R69+T69+V69)</f>
        <v>5257</v>
      </c>
      <c r="Z69" s="117">
        <f t="shared" si="5"/>
        <v>1.1682222222222223</v>
      </c>
      <c r="AA69" s="118" t="str">
        <f t="shared" ref="AA69:AA76" si="16">IF(X69&gt; 1, IF(X69 = Y69, "100%", X69 &amp; "%"), IF(X69 &lt;= 0.01, "0%", X69 * 100 &amp; "%"))</f>
        <v>4500%</v>
      </c>
      <c r="AB69" s="119">
        <f t="shared" si="6"/>
        <v>1.1682222222222223</v>
      </c>
    </row>
    <row r="70" spans="1:28" ht="15.6">
      <c r="A70" s="112"/>
      <c r="H70" s="91">
        <v>4</v>
      </c>
      <c r="I70" s="91">
        <v>28</v>
      </c>
      <c r="J70" s="91">
        <v>28.2</v>
      </c>
      <c r="K70" s="91" t="s">
        <v>1298</v>
      </c>
      <c r="L70" s="111">
        <v>4</v>
      </c>
      <c r="S70" s="115">
        <v>2200</v>
      </c>
      <c r="T70" s="115">
        <v>2258</v>
      </c>
      <c r="U70" s="115">
        <v>2300</v>
      </c>
      <c r="V70" s="115">
        <v>0</v>
      </c>
      <c r="W70" s="116"/>
      <c r="X70" s="116">
        <f t="shared" ref="X70:Y70" si="17">(O70+Q70+S70+U70)</f>
        <v>4500</v>
      </c>
      <c r="Y70" s="117">
        <f t="shared" si="17"/>
        <v>2258</v>
      </c>
      <c r="Z70" s="117">
        <f t="shared" si="5"/>
        <v>0.50177777777777777</v>
      </c>
      <c r="AA70" s="118" t="str">
        <f t="shared" si="16"/>
        <v>4500%</v>
      </c>
      <c r="AB70" s="119">
        <f t="shared" si="6"/>
        <v>0.50177777777777777</v>
      </c>
    </row>
    <row r="71" spans="1:28" ht="15.6">
      <c r="A71" s="112"/>
      <c r="H71" s="91">
        <v>4</v>
      </c>
      <c r="I71" s="91">
        <v>28</v>
      </c>
      <c r="J71" s="91">
        <v>28.3</v>
      </c>
      <c r="K71" s="91" t="s">
        <v>1313</v>
      </c>
      <c r="L71" s="111">
        <v>3</v>
      </c>
      <c r="S71" s="115">
        <v>2400</v>
      </c>
      <c r="T71" s="115">
        <v>2400</v>
      </c>
      <c r="U71" s="115">
        <v>300</v>
      </c>
      <c r="V71" s="115">
        <v>0</v>
      </c>
      <c r="W71" s="116"/>
      <c r="X71" s="116">
        <f t="shared" ref="X71:Y71" si="18">(O71+Q71+S71+U71)</f>
        <v>2700</v>
      </c>
      <c r="Y71" s="116">
        <f t="shared" si="18"/>
        <v>2400</v>
      </c>
      <c r="Z71" s="117">
        <f t="shared" si="5"/>
        <v>0.88888888888888884</v>
      </c>
      <c r="AA71" s="118" t="str">
        <f t="shared" si="16"/>
        <v>2700%</v>
      </c>
      <c r="AB71" s="119">
        <f t="shared" si="6"/>
        <v>0.88888888888888884</v>
      </c>
    </row>
    <row r="72" spans="1:28" ht="15.6">
      <c r="A72" s="112"/>
      <c r="H72" s="91">
        <v>4</v>
      </c>
      <c r="I72" s="91">
        <v>28</v>
      </c>
      <c r="J72" s="91">
        <v>28.4</v>
      </c>
      <c r="K72" s="91" t="s">
        <v>1325</v>
      </c>
      <c r="L72" s="111">
        <v>2</v>
      </c>
      <c r="S72" s="120">
        <v>1E-3</v>
      </c>
      <c r="T72" s="115">
        <v>0</v>
      </c>
      <c r="U72" s="115">
        <v>2</v>
      </c>
      <c r="V72" s="115">
        <v>0</v>
      </c>
      <c r="W72" s="117"/>
      <c r="X72" s="117">
        <f>(O72+Q72+S72+U72)/2</f>
        <v>1.0004999999999999</v>
      </c>
      <c r="Y72" s="117">
        <f>(P72+R72+T72+V72)</f>
        <v>0</v>
      </c>
      <c r="Z72" s="117">
        <f t="shared" si="5"/>
        <v>0</v>
      </c>
      <c r="AA72" s="118" t="str">
        <f t="shared" si="16"/>
        <v>1.0005%</v>
      </c>
      <c r="AB72" s="119">
        <f t="shared" si="6"/>
        <v>0</v>
      </c>
    </row>
    <row r="73" spans="1:28" ht="15.6">
      <c r="A73" s="112"/>
      <c r="H73" s="91">
        <v>4</v>
      </c>
      <c r="I73" s="91">
        <v>28</v>
      </c>
      <c r="J73" s="91">
        <v>28.5</v>
      </c>
      <c r="K73" s="91" t="s">
        <v>1335</v>
      </c>
      <c r="L73" s="111">
        <v>2</v>
      </c>
      <c r="S73" s="120">
        <v>1E-3</v>
      </c>
      <c r="T73" s="115">
        <v>0</v>
      </c>
      <c r="U73" s="115">
        <v>3</v>
      </c>
      <c r="V73" s="115">
        <v>0</v>
      </c>
      <c r="W73" s="117"/>
      <c r="X73" s="117">
        <f t="shared" ref="X73:Y73" si="19">(O73+Q73+S73+U73)</f>
        <v>3.0009999999999999</v>
      </c>
      <c r="Y73" s="117">
        <f t="shared" si="19"/>
        <v>0</v>
      </c>
      <c r="Z73" s="117">
        <f t="shared" si="5"/>
        <v>0</v>
      </c>
      <c r="AA73" s="118" t="str">
        <f t="shared" si="16"/>
        <v>3.001%</v>
      </c>
      <c r="AB73" s="119">
        <f t="shared" si="6"/>
        <v>0</v>
      </c>
    </row>
    <row r="74" spans="1:28" ht="15.6">
      <c r="A74" s="112"/>
      <c r="H74" s="91">
        <v>4</v>
      </c>
      <c r="I74" s="91">
        <v>28</v>
      </c>
      <c r="J74" s="91">
        <v>28.6</v>
      </c>
      <c r="K74" s="91" t="s">
        <v>1344</v>
      </c>
      <c r="L74" s="111">
        <v>1</v>
      </c>
      <c r="S74" s="115">
        <v>700</v>
      </c>
      <c r="T74" s="115">
        <v>700</v>
      </c>
      <c r="U74" s="115">
        <v>300</v>
      </c>
      <c r="V74" s="115">
        <v>0</v>
      </c>
      <c r="W74" s="117"/>
      <c r="X74" s="117">
        <f t="shared" ref="X74:Y74" si="20">(O74+Q74+S74+U74)</f>
        <v>1000</v>
      </c>
      <c r="Y74" s="117">
        <f t="shared" si="20"/>
        <v>700</v>
      </c>
      <c r="Z74" s="117">
        <f t="shared" si="5"/>
        <v>0.7</v>
      </c>
      <c r="AA74" s="118" t="str">
        <f t="shared" si="16"/>
        <v>1000%</v>
      </c>
      <c r="AB74" s="119">
        <f t="shared" si="6"/>
        <v>0.7</v>
      </c>
    </row>
    <row r="75" spans="1:28" ht="15.6">
      <c r="A75" s="112"/>
      <c r="H75" s="91">
        <v>4</v>
      </c>
      <c r="I75" s="91">
        <v>28</v>
      </c>
      <c r="J75" s="91">
        <v>28.7</v>
      </c>
      <c r="K75" s="91" t="s">
        <v>1352</v>
      </c>
      <c r="L75" s="111">
        <v>1</v>
      </c>
      <c r="S75" s="115">
        <v>550</v>
      </c>
      <c r="T75" s="115">
        <v>550</v>
      </c>
      <c r="U75" s="115">
        <v>150</v>
      </c>
      <c r="V75" s="115">
        <v>0</v>
      </c>
      <c r="W75" s="117"/>
      <c r="X75" s="117">
        <f t="shared" ref="X75:Y75" si="21">(O75+Q75+S75+U75)</f>
        <v>700</v>
      </c>
      <c r="Y75" s="117">
        <f t="shared" si="21"/>
        <v>550</v>
      </c>
      <c r="Z75" s="117">
        <f t="shared" si="5"/>
        <v>0.7857142857142857</v>
      </c>
      <c r="AA75" s="118" t="str">
        <f t="shared" si="16"/>
        <v>700%</v>
      </c>
      <c r="AB75" s="119">
        <f t="shared" si="6"/>
        <v>0.7857142857142857</v>
      </c>
    </row>
    <row r="76" spans="1:28" ht="15.6">
      <c r="A76" s="112"/>
      <c r="H76" s="91">
        <v>4</v>
      </c>
      <c r="I76" s="91">
        <v>28</v>
      </c>
      <c r="J76" s="91">
        <v>28.8</v>
      </c>
      <c r="K76" s="91" t="s">
        <v>1359</v>
      </c>
      <c r="L76" s="111">
        <v>1</v>
      </c>
      <c r="S76" s="115">
        <v>400</v>
      </c>
      <c r="T76" s="115">
        <v>400</v>
      </c>
      <c r="U76" s="115">
        <v>400</v>
      </c>
      <c r="V76" s="119"/>
      <c r="W76" s="116"/>
      <c r="X76" s="116">
        <f>(O76+Q76+S76+U76)/2</f>
        <v>400</v>
      </c>
      <c r="Y76" s="116">
        <f>(P76+R76+T76+V76)</f>
        <v>400</v>
      </c>
      <c r="Z76" s="117">
        <f t="shared" si="5"/>
        <v>1</v>
      </c>
      <c r="AA76" s="118" t="str">
        <f t="shared" si="16"/>
        <v>100%</v>
      </c>
      <c r="AB76" s="119">
        <f t="shared" si="6"/>
        <v>1</v>
      </c>
    </row>
    <row r="77" spans="1:28" ht="15.6">
      <c r="A77" s="112"/>
      <c r="H77" s="91">
        <v>4</v>
      </c>
      <c r="I77" s="91">
        <v>29</v>
      </c>
      <c r="J77" s="91">
        <v>29.1</v>
      </c>
      <c r="K77" s="91" t="s">
        <v>1368</v>
      </c>
      <c r="L77" s="111">
        <v>8</v>
      </c>
    </row>
    <row r="78" spans="1:28" ht="15.6">
      <c r="A78" s="112"/>
      <c r="H78" s="91">
        <v>4</v>
      </c>
      <c r="I78" s="91">
        <v>30</v>
      </c>
      <c r="J78" s="91">
        <v>30.1</v>
      </c>
      <c r="K78" s="91" t="s">
        <v>1397</v>
      </c>
      <c r="L78" s="111">
        <v>7</v>
      </c>
    </row>
    <row r="79" spans="1:28" ht="15.6">
      <c r="A79" s="112"/>
      <c r="H79" s="91">
        <v>4</v>
      </c>
      <c r="I79" s="91">
        <v>31</v>
      </c>
      <c r="J79" s="91">
        <v>31.1</v>
      </c>
      <c r="K79" s="91" t="s">
        <v>1423</v>
      </c>
      <c r="L79" s="111">
        <v>7</v>
      </c>
    </row>
    <row r="80" spans="1:28" ht="15.6">
      <c r="A80" s="112"/>
      <c r="H80" s="91">
        <v>4</v>
      </c>
      <c r="I80" s="91">
        <v>32</v>
      </c>
      <c r="J80" s="91">
        <v>32.1</v>
      </c>
      <c r="K80" s="91" t="s">
        <v>1454</v>
      </c>
      <c r="L80" s="111">
        <v>3</v>
      </c>
    </row>
    <row r="81" spans="1:12" ht="15.6">
      <c r="A81" s="112"/>
      <c r="H81" s="91">
        <v>5</v>
      </c>
      <c r="I81" s="91">
        <v>33</v>
      </c>
      <c r="J81" s="91">
        <v>33.1</v>
      </c>
      <c r="K81" s="91" t="s">
        <v>1469</v>
      </c>
      <c r="L81" s="111">
        <v>5</v>
      </c>
    </row>
    <row r="82" spans="1:12" ht="15.6">
      <c r="A82" s="112"/>
      <c r="H82" s="91">
        <v>5</v>
      </c>
      <c r="I82" s="91">
        <v>33</v>
      </c>
      <c r="J82" s="91">
        <v>33.200000000000003</v>
      </c>
      <c r="K82" s="91" t="s">
        <v>1490</v>
      </c>
      <c r="L82" s="111">
        <v>3</v>
      </c>
    </row>
    <row r="83" spans="1:12" ht="15.6">
      <c r="A83" s="112"/>
      <c r="H83" s="91">
        <v>5</v>
      </c>
      <c r="I83" s="91">
        <v>33</v>
      </c>
      <c r="J83" s="91">
        <v>33.299999999999997</v>
      </c>
      <c r="K83" s="91" t="s">
        <v>1508</v>
      </c>
      <c r="L83" s="111">
        <v>4</v>
      </c>
    </row>
    <row r="84" spans="1:12" ht="15.6">
      <c r="A84" s="112"/>
      <c r="H84" s="91">
        <v>5</v>
      </c>
      <c r="I84" s="91">
        <v>33</v>
      </c>
      <c r="J84" s="91">
        <v>33.4</v>
      </c>
      <c r="K84" s="91" t="s">
        <v>1526</v>
      </c>
      <c r="L84" s="111">
        <v>5</v>
      </c>
    </row>
    <row r="85" spans="1:12" ht="15.6">
      <c r="A85" s="112"/>
      <c r="H85" s="91">
        <v>5</v>
      </c>
      <c r="I85" s="91">
        <v>33</v>
      </c>
      <c r="J85" s="91">
        <v>33.5</v>
      </c>
      <c r="K85" s="91" t="s">
        <v>1548</v>
      </c>
      <c r="L85" s="111">
        <v>4</v>
      </c>
    </row>
    <row r="86" spans="1:12" ht="15.6">
      <c r="A86" s="112"/>
      <c r="H86" s="91">
        <v>5</v>
      </c>
      <c r="I86" s="91">
        <v>34</v>
      </c>
      <c r="J86" s="91">
        <v>34.1</v>
      </c>
      <c r="K86" s="91" t="s">
        <v>1627</v>
      </c>
      <c r="L86" s="111">
        <v>5</v>
      </c>
    </row>
    <row r="87" spans="1:12" ht="15.6">
      <c r="A87" s="112"/>
      <c r="H87" s="91">
        <v>5</v>
      </c>
      <c r="I87" s="91">
        <v>34</v>
      </c>
      <c r="J87" s="91">
        <v>34.200000000000003</v>
      </c>
      <c r="K87" s="91" t="s">
        <v>1596</v>
      </c>
      <c r="L87" s="111">
        <v>2</v>
      </c>
    </row>
    <row r="88" spans="1:12" ht="15.6">
      <c r="A88" s="112"/>
      <c r="L88" s="111"/>
    </row>
    <row r="89" spans="1:12" ht="15.6">
      <c r="A89" s="112"/>
      <c r="L89" s="111"/>
    </row>
    <row r="90" spans="1:12" ht="15.6">
      <c r="A90" s="112"/>
      <c r="L90" s="111"/>
    </row>
    <row r="91" spans="1:12" ht="15.6">
      <c r="A91" s="112"/>
      <c r="L91" s="111"/>
    </row>
    <row r="92" spans="1:12" ht="15.6">
      <c r="A92" s="112"/>
      <c r="L92" s="111"/>
    </row>
    <row r="93" spans="1:12" ht="15.6">
      <c r="A93" s="112"/>
      <c r="L93" s="111"/>
    </row>
    <row r="94" spans="1:12" ht="15.6">
      <c r="A94" s="112"/>
      <c r="L94" s="111"/>
    </row>
    <row r="95" spans="1:12" ht="15.6">
      <c r="A95" s="112"/>
      <c r="L95" s="111"/>
    </row>
    <row r="96" spans="1:12" ht="15.6">
      <c r="A96" s="112"/>
      <c r="L96" s="111"/>
    </row>
    <row r="97" spans="1:12" ht="15.6">
      <c r="A97" s="112"/>
      <c r="L97" s="111"/>
    </row>
    <row r="98" spans="1:12" ht="15.6">
      <c r="A98" s="112"/>
      <c r="L98" s="111"/>
    </row>
    <row r="99" spans="1:12" ht="15.6">
      <c r="A99" s="112"/>
      <c r="L99" s="111"/>
    </row>
    <row r="100" spans="1:12" ht="15.6">
      <c r="A100" s="112"/>
      <c r="L100" s="111"/>
    </row>
    <row r="101" spans="1:12" ht="15.6">
      <c r="A101" s="112"/>
      <c r="L101" s="111"/>
    </row>
    <row r="102" spans="1:12" ht="15.6">
      <c r="A102" s="112"/>
      <c r="L102" s="111"/>
    </row>
    <row r="103" spans="1:12" ht="15.6">
      <c r="A103" s="112"/>
      <c r="L103" s="111"/>
    </row>
    <row r="104" spans="1:12" ht="15.6">
      <c r="A104" s="112"/>
      <c r="L104" s="111"/>
    </row>
    <row r="105" spans="1:12" ht="15.6">
      <c r="A105" s="112"/>
      <c r="L105" s="111"/>
    </row>
    <row r="106" spans="1:12" ht="15.6">
      <c r="A106" s="112"/>
      <c r="L106" s="111"/>
    </row>
    <row r="107" spans="1:12" ht="15.6">
      <c r="A107" s="112"/>
      <c r="L107" s="111"/>
    </row>
    <row r="108" spans="1:12" ht="15.6">
      <c r="A108" s="112"/>
      <c r="L108" s="111"/>
    </row>
    <row r="109" spans="1:12" ht="15.6">
      <c r="A109" s="112"/>
      <c r="L109" s="111"/>
    </row>
    <row r="110" spans="1:12" ht="15.6">
      <c r="A110" s="112"/>
      <c r="L110" s="111"/>
    </row>
    <row r="111" spans="1:12" ht="15.6">
      <c r="A111" s="112"/>
      <c r="L111" s="111"/>
    </row>
    <row r="112" spans="1:12" ht="15.6">
      <c r="A112" s="112"/>
      <c r="L112" s="111"/>
    </row>
    <row r="113" spans="1:12" ht="15.6">
      <c r="A113" s="112"/>
      <c r="L113" s="111"/>
    </row>
    <row r="114" spans="1:12" ht="15.6">
      <c r="A114" s="112"/>
      <c r="L114" s="111"/>
    </row>
    <row r="115" spans="1:12" ht="15.6">
      <c r="A115" s="112"/>
      <c r="L115" s="111"/>
    </row>
    <row r="116" spans="1:12" ht="15.6">
      <c r="A116" s="112"/>
      <c r="L116" s="111"/>
    </row>
    <row r="117" spans="1:12" ht="15.6">
      <c r="A117" s="112"/>
      <c r="L117" s="111"/>
    </row>
    <row r="118" spans="1:12" ht="15.6">
      <c r="A118" s="112"/>
      <c r="L118" s="111"/>
    </row>
    <row r="119" spans="1:12" ht="15.6">
      <c r="A119" s="112"/>
      <c r="L119" s="111"/>
    </row>
    <row r="120" spans="1:12" ht="15.6">
      <c r="A120" s="112"/>
      <c r="L120" s="111"/>
    </row>
    <row r="121" spans="1:12" ht="15.6">
      <c r="A121" s="112"/>
      <c r="L121" s="111"/>
    </row>
    <row r="122" spans="1:12" ht="15.6">
      <c r="A122" s="112"/>
      <c r="L122" s="111"/>
    </row>
    <row r="123" spans="1:12" ht="15.6">
      <c r="A123" s="112"/>
      <c r="L123" s="111"/>
    </row>
    <row r="124" spans="1:12" ht="15.6">
      <c r="A124" s="112"/>
      <c r="L124" s="111"/>
    </row>
    <row r="125" spans="1:12" ht="15.6">
      <c r="A125" s="112"/>
      <c r="L125" s="111"/>
    </row>
    <row r="126" spans="1:12" ht="15.6">
      <c r="A126" s="112"/>
      <c r="L126" s="111"/>
    </row>
    <row r="127" spans="1:12" ht="15.6">
      <c r="A127" s="112"/>
      <c r="L127" s="111"/>
    </row>
    <row r="128" spans="1:12" ht="15.6">
      <c r="A128" s="112"/>
      <c r="L128" s="111"/>
    </row>
    <row r="129" spans="1:12" ht="15.6">
      <c r="A129" s="112"/>
      <c r="L129" s="111"/>
    </row>
    <row r="130" spans="1:12" ht="15.6">
      <c r="A130" s="112"/>
      <c r="L130" s="111"/>
    </row>
    <row r="131" spans="1:12" ht="15.6">
      <c r="A131" s="112"/>
      <c r="L131" s="111"/>
    </row>
    <row r="132" spans="1:12" ht="15.6">
      <c r="A132" s="112"/>
      <c r="L132" s="111"/>
    </row>
    <row r="133" spans="1:12" ht="15.6">
      <c r="A133" s="112"/>
      <c r="L133" s="111"/>
    </row>
    <row r="134" spans="1:12" ht="15.6">
      <c r="A134" s="112"/>
      <c r="L134" s="111"/>
    </row>
    <row r="135" spans="1:12" ht="15.6">
      <c r="A135" s="112"/>
      <c r="L135" s="111"/>
    </row>
    <row r="136" spans="1:12" ht="15.6">
      <c r="A136" s="112"/>
      <c r="L136" s="111"/>
    </row>
    <row r="137" spans="1:12" ht="15.6">
      <c r="A137" s="112"/>
      <c r="L137" s="111"/>
    </row>
    <row r="138" spans="1:12" ht="15.6">
      <c r="A138" s="112"/>
      <c r="L138" s="111"/>
    </row>
    <row r="139" spans="1:12" ht="15.6">
      <c r="A139" s="112"/>
      <c r="L139" s="111"/>
    </row>
    <row r="140" spans="1:12" ht="15.6">
      <c r="A140" s="112"/>
      <c r="L140" s="111"/>
    </row>
    <row r="141" spans="1:12" ht="15.6">
      <c r="A141" s="112"/>
      <c r="L141" s="111"/>
    </row>
    <row r="142" spans="1:12" ht="15.6">
      <c r="A142" s="112"/>
      <c r="L142" s="111"/>
    </row>
    <row r="143" spans="1:12" ht="15.6">
      <c r="A143" s="112"/>
      <c r="L143" s="111"/>
    </row>
    <row r="144" spans="1:12" ht="15.6">
      <c r="A144" s="112"/>
      <c r="L144" s="111"/>
    </row>
    <row r="145" spans="1:12" ht="15.6">
      <c r="A145" s="112"/>
      <c r="L145" s="111"/>
    </row>
    <row r="146" spans="1:12" ht="15.6">
      <c r="A146" s="112"/>
      <c r="L146" s="111"/>
    </row>
    <row r="147" spans="1:12" ht="15.6">
      <c r="A147" s="112"/>
      <c r="L147" s="111"/>
    </row>
    <row r="148" spans="1:12" ht="15.6">
      <c r="A148" s="112"/>
      <c r="L148" s="111"/>
    </row>
    <row r="149" spans="1:12" ht="15.6">
      <c r="A149" s="112"/>
      <c r="L149" s="111"/>
    </row>
    <row r="150" spans="1:12" ht="15.6">
      <c r="A150" s="112"/>
      <c r="L150" s="111"/>
    </row>
    <row r="151" spans="1:12" ht="15.6">
      <c r="A151" s="112"/>
      <c r="L151" s="111"/>
    </row>
    <row r="152" spans="1:12" ht="15.6">
      <c r="A152" s="112"/>
      <c r="L152" s="111"/>
    </row>
    <row r="153" spans="1:12" ht="15.6">
      <c r="A153" s="112"/>
      <c r="L153" s="111"/>
    </row>
    <row r="154" spans="1:12" ht="15.6">
      <c r="A154" s="112"/>
      <c r="L154" s="111"/>
    </row>
    <row r="155" spans="1:12" ht="15.6">
      <c r="A155" s="112"/>
      <c r="L155" s="111"/>
    </row>
    <row r="156" spans="1:12" ht="15.6">
      <c r="A156" s="112"/>
      <c r="L156" s="111"/>
    </row>
    <row r="157" spans="1:12" ht="15.6">
      <c r="A157" s="112"/>
      <c r="L157" s="111"/>
    </row>
    <row r="158" spans="1:12" ht="15.6">
      <c r="A158" s="112"/>
      <c r="L158" s="111"/>
    </row>
    <row r="159" spans="1:12" ht="15.6">
      <c r="A159" s="112"/>
      <c r="L159" s="111"/>
    </row>
    <row r="160" spans="1:12" ht="15.6">
      <c r="A160" s="112"/>
      <c r="L160" s="111"/>
    </row>
    <row r="161" spans="1:12" ht="15.6">
      <c r="A161" s="112"/>
      <c r="L161" s="111"/>
    </row>
    <row r="162" spans="1:12" ht="15.6">
      <c r="A162" s="112"/>
      <c r="L162" s="111"/>
    </row>
    <row r="163" spans="1:12" ht="15.6">
      <c r="A163" s="112"/>
      <c r="L163" s="111"/>
    </row>
    <row r="164" spans="1:12" ht="15.6">
      <c r="A164" s="112"/>
      <c r="L164" s="111"/>
    </row>
    <row r="165" spans="1:12" ht="15.6">
      <c r="A165" s="112"/>
      <c r="L165" s="111"/>
    </row>
    <row r="166" spans="1:12" ht="15.6">
      <c r="A166" s="112"/>
      <c r="L166" s="111"/>
    </row>
    <row r="167" spans="1:12" ht="15.6">
      <c r="A167" s="112"/>
      <c r="L167" s="111"/>
    </row>
    <row r="168" spans="1:12" ht="15.6">
      <c r="A168" s="112"/>
      <c r="L168" s="111"/>
    </row>
    <row r="169" spans="1:12" ht="15.6">
      <c r="A169" s="112"/>
      <c r="L169" s="111"/>
    </row>
    <row r="170" spans="1:12" ht="15.6">
      <c r="A170" s="112"/>
      <c r="L170" s="111"/>
    </row>
    <row r="171" spans="1:12" ht="15.6">
      <c r="A171" s="112"/>
      <c r="L171" s="111"/>
    </row>
    <row r="172" spans="1:12" ht="15.6">
      <c r="A172" s="112"/>
      <c r="L172" s="111"/>
    </row>
    <row r="173" spans="1:12" ht="15.6">
      <c r="A173" s="112"/>
      <c r="L173" s="111"/>
    </row>
    <row r="174" spans="1:12" ht="15.6">
      <c r="A174" s="112"/>
      <c r="L174" s="111"/>
    </row>
    <row r="175" spans="1:12" ht="15.6">
      <c r="A175" s="112"/>
      <c r="L175" s="111"/>
    </row>
    <row r="176" spans="1:12" ht="15.6">
      <c r="A176" s="112"/>
      <c r="L176" s="111"/>
    </row>
    <row r="177" spans="1:12" ht="15.6">
      <c r="A177" s="112"/>
      <c r="L177" s="111"/>
    </row>
    <row r="178" spans="1:12" ht="15.6">
      <c r="A178" s="112"/>
      <c r="L178" s="111"/>
    </row>
    <row r="179" spans="1:12" ht="15.6">
      <c r="A179" s="112"/>
      <c r="L179" s="111"/>
    </row>
    <row r="180" spans="1:12" ht="15.6">
      <c r="A180" s="112"/>
      <c r="L180" s="111"/>
    </row>
    <row r="181" spans="1:12" ht="15.6">
      <c r="A181" s="112"/>
      <c r="L181" s="111"/>
    </row>
    <row r="182" spans="1:12" ht="15.6">
      <c r="A182" s="112"/>
      <c r="L182" s="111"/>
    </row>
    <row r="183" spans="1:12" ht="15.6">
      <c r="A183" s="112"/>
      <c r="L183" s="111"/>
    </row>
    <row r="184" spans="1:12" ht="15.6">
      <c r="A184" s="112"/>
      <c r="L184" s="111"/>
    </row>
    <row r="185" spans="1:12" ht="15.6">
      <c r="A185" s="112"/>
      <c r="L185" s="111"/>
    </row>
    <row r="186" spans="1:12" ht="15.6">
      <c r="A186" s="112"/>
      <c r="L186" s="111"/>
    </row>
    <row r="187" spans="1:12" ht="15.6">
      <c r="A187" s="112"/>
      <c r="L187" s="111"/>
    </row>
    <row r="188" spans="1:12" ht="15.6">
      <c r="A188" s="112"/>
      <c r="L188" s="111"/>
    </row>
    <row r="189" spans="1:12" ht="15.6">
      <c r="A189" s="112"/>
      <c r="L189" s="111"/>
    </row>
    <row r="190" spans="1:12" ht="15.6">
      <c r="A190" s="112"/>
      <c r="L190" s="111"/>
    </row>
    <row r="191" spans="1:12" ht="15.6">
      <c r="A191" s="112"/>
      <c r="L191" s="111"/>
    </row>
    <row r="192" spans="1:12" ht="15.6">
      <c r="A192" s="112"/>
      <c r="L192" s="111"/>
    </row>
    <row r="193" spans="1:12" ht="15.6">
      <c r="A193" s="112"/>
      <c r="L193" s="111"/>
    </row>
    <row r="194" spans="1:12" ht="15.6">
      <c r="A194" s="112"/>
      <c r="L194" s="111"/>
    </row>
    <row r="195" spans="1:12" ht="15.6">
      <c r="A195" s="112"/>
      <c r="L195" s="111"/>
    </row>
    <row r="196" spans="1:12" ht="15.6">
      <c r="A196" s="112"/>
      <c r="L196" s="111"/>
    </row>
    <row r="197" spans="1:12" ht="15.6">
      <c r="A197" s="112"/>
      <c r="L197" s="111"/>
    </row>
    <row r="198" spans="1:12" ht="15.6">
      <c r="A198" s="112"/>
      <c r="L198" s="111"/>
    </row>
    <row r="199" spans="1:12" ht="15.6">
      <c r="A199" s="112"/>
      <c r="L199" s="111"/>
    </row>
    <row r="200" spans="1:12" ht="15.6">
      <c r="A200" s="112"/>
      <c r="L200" s="111"/>
    </row>
    <row r="201" spans="1:12" ht="15.6">
      <c r="A201" s="112"/>
      <c r="L201" s="111"/>
    </row>
    <row r="202" spans="1:12" ht="15.6">
      <c r="A202" s="112"/>
      <c r="L202" s="111"/>
    </row>
    <row r="203" spans="1:12" ht="15.6">
      <c r="A203" s="112"/>
      <c r="L203" s="111"/>
    </row>
    <row r="204" spans="1:12" ht="15.6">
      <c r="A204" s="112"/>
      <c r="L204" s="111"/>
    </row>
    <row r="205" spans="1:12" ht="15.6">
      <c r="A205" s="112"/>
      <c r="L205" s="111"/>
    </row>
    <row r="206" spans="1:12" ht="15.6">
      <c r="A206" s="112"/>
      <c r="L206" s="111"/>
    </row>
    <row r="207" spans="1:12" ht="15.6">
      <c r="A207" s="112"/>
      <c r="L207" s="111"/>
    </row>
    <row r="208" spans="1:12" ht="15.6">
      <c r="A208" s="112"/>
      <c r="L208" s="111"/>
    </row>
    <row r="209" spans="1:12" ht="15.6">
      <c r="A209" s="112"/>
      <c r="L209" s="111"/>
    </row>
    <row r="210" spans="1:12" ht="15.6">
      <c r="A210" s="112"/>
      <c r="L210" s="111"/>
    </row>
    <row r="211" spans="1:12" ht="15.6">
      <c r="A211" s="112"/>
      <c r="L211" s="111"/>
    </row>
    <row r="212" spans="1:12" ht="15.6">
      <c r="A212" s="112"/>
      <c r="L212" s="111"/>
    </row>
    <row r="213" spans="1:12" ht="15.6">
      <c r="A213" s="112"/>
      <c r="L213" s="111"/>
    </row>
    <row r="214" spans="1:12" ht="15.6">
      <c r="A214" s="112"/>
      <c r="L214" s="111"/>
    </row>
    <row r="215" spans="1:12" ht="15.6">
      <c r="A215" s="112"/>
      <c r="L215" s="111"/>
    </row>
    <row r="216" spans="1:12" ht="15.6">
      <c r="A216" s="112"/>
      <c r="L216" s="111"/>
    </row>
    <row r="217" spans="1:12" ht="15.6">
      <c r="A217" s="112"/>
      <c r="L217" s="111"/>
    </row>
    <row r="218" spans="1:12" ht="15.6">
      <c r="A218" s="112"/>
      <c r="L218" s="111"/>
    </row>
    <row r="219" spans="1:12" ht="15.6">
      <c r="A219" s="112"/>
      <c r="L219" s="111"/>
    </row>
    <row r="220" spans="1:12" ht="15.6">
      <c r="A220" s="112"/>
      <c r="L220" s="111"/>
    </row>
    <row r="221" spans="1:12" ht="15.6">
      <c r="A221" s="112"/>
      <c r="L221" s="111"/>
    </row>
    <row r="222" spans="1:12" ht="15.6">
      <c r="A222" s="112"/>
      <c r="L222" s="111"/>
    </row>
    <row r="223" spans="1:12" ht="15.6">
      <c r="A223" s="112"/>
      <c r="L223" s="111"/>
    </row>
    <row r="224" spans="1:12" ht="15.6">
      <c r="A224" s="112"/>
      <c r="L224" s="111"/>
    </row>
    <row r="225" spans="1:12" ht="15.6">
      <c r="A225" s="112"/>
      <c r="L225" s="111"/>
    </row>
    <row r="226" spans="1:12" ht="15.6">
      <c r="A226" s="112"/>
      <c r="L226" s="111"/>
    </row>
    <row r="227" spans="1:12" ht="15.6">
      <c r="A227" s="112"/>
      <c r="L227" s="111"/>
    </row>
    <row r="228" spans="1:12" ht="15.6">
      <c r="A228" s="112"/>
      <c r="L228" s="111"/>
    </row>
    <row r="229" spans="1:12" ht="15.6">
      <c r="A229" s="112"/>
      <c r="L229" s="111"/>
    </row>
    <row r="230" spans="1:12" ht="15.6">
      <c r="A230" s="112"/>
      <c r="L230" s="111"/>
    </row>
    <row r="231" spans="1:12" ht="15.6">
      <c r="A231" s="112"/>
      <c r="L231" s="111"/>
    </row>
    <row r="232" spans="1:12" ht="15.6">
      <c r="A232" s="112"/>
      <c r="L232" s="111"/>
    </row>
    <row r="233" spans="1:12" ht="15.6">
      <c r="A233" s="112"/>
      <c r="L233" s="111"/>
    </row>
    <row r="234" spans="1:12" ht="15.6">
      <c r="A234" s="112"/>
      <c r="L234" s="111"/>
    </row>
    <row r="235" spans="1:12" ht="15.6">
      <c r="A235" s="112"/>
      <c r="L235" s="111"/>
    </row>
    <row r="236" spans="1:12" ht="15.6">
      <c r="A236" s="112"/>
      <c r="L236" s="111"/>
    </row>
    <row r="237" spans="1:12" ht="15.6">
      <c r="A237" s="112"/>
      <c r="L237" s="111"/>
    </row>
    <row r="238" spans="1:12" ht="15.6">
      <c r="A238" s="112"/>
      <c r="L238" s="111"/>
    </row>
    <row r="239" spans="1:12" ht="15.6">
      <c r="A239" s="112"/>
      <c r="L239" s="111"/>
    </row>
    <row r="240" spans="1:12" ht="15.6">
      <c r="A240" s="112"/>
      <c r="L240" s="111"/>
    </row>
    <row r="241" spans="1:12" ht="15.6">
      <c r="A241" s="112"/>
      <c r="L241" s="111"/>
    </row>
    <row r="242" spans="1:12" ht="15.6">
      <c r="A242" s="112"/>
      <c r="L242" s="111"/>
    </row>
    <row r="243" spans="1:12" ht="15.6">
      <c r="A243" s="112"/>
      <c r="L243" s="111"/>
    </row>
    <row r="244" spans="1:12" ht="15.6">
      <c r="A244" s="112"/>
      <c r="L244" s="111"/>
    </row>
    <row r="245" spans="1:12" ht="15.6">
      <c r="A245" s="112"/>
      <c r="L245" s="111"/>
    </row>
    <row r="246" spans="1:12" ht="15.6">
      <c r="A246" s="112"/>
      <c r="L246" s="111"/>
    </row>
    <row r="247" spans="1:12" ht="15.6">
      <c r="A247" s="112"/>
      <c r="L247" s="111"/>
    </row>
    <row r="248" spans="1:12" ht="15.6">
      <c r="A248" s="112"/>
      <c r="L248" s="111"/>
    </row>
    <row r="249" spans="1:12" ht="15.6">
      <c r="A249" s="112"/>
      <c r="L249" s="111"/>
    </row>
    <row r="250" spans="1:12" ht="15.6">
      <c r="A250" s="112"/>
      <c r="L250" s="111"/>
    </row>
    <row r="251" spans="1:12" ht="15.6">
      <c r="A251" s="112"/>
      <c r="L251" s="111"/>
    </row>
    <row r="252" spans="1:12" ht="15.6">
      <c r="A252" s="112"/>
      <c r="L252" s="111"/>
    </row>
    <row r="253" spans="1:12" ht="15.6">
      <c r="A253" s="112"/>
      <c r="L253" s="111"/>
    </row>
    <row r="254" spans="1:12" ht="15.6">
      <c r="A254" s="112"/>
      <c r="L254" s="111"/>
    </row>
    <row r="255" spans="1:12" ht="15.6">
      <c r="A255" s="112"/>
      <c r="L255" s="111"/>
    </row>
    <row r="256" spans="1:12" ht="15.6">
      <c r="A256" s="112"/>
      <c r="L256" s="111"/>
    </row>
    <row r="257" spans="1:12" ht="15.6">
      <c r="A257" s="112"/>
      <c r="L257" s="111"/>
    </row>
    <row r="258" spans="1:12" ht="15.6">
      <c r="A258" s="112"/>
      <c r="L258" s="111"/>
    </row>
    <row r="259" spans="1:12" ht="15.6">
      <c r="A259" s="112"/>
      <c r="L259" s="111"/>
    </row>
    <row r="260" spans="1:12" ht="15.6">
      <c r="A260" s="112"/>
      <c r="L260" s="111"/>
    </row>
    <row r="261" spans="1:12" ht="15.6">
      <c r="A261" s="112"/>
      <c r="L261" s="111"/>
    </row>
    <row r="262" spans="1:12" ht="15.6">
      <c r="A262" s="112"/>
      <c r="L262" s="111"/>
    </row>
    <row r="263" spans="1:12" ht="15.6">
      <c r="A263" s="112"/>
      <c r="L263" s="111"/>
    </row>
    <row r="264" spans="1:12" ht="15.6">
      <c r="A264" s="112"/>
      <c r="L264" s="111"/>
    </row>
    <row r="265" spans="1:12" ht="15.6">
      <c r="A265" s="112"/>
      <c r="L265" s="111"/>
    </row>
    <row r="266" spans="1:12" ht="15.6">
      <c r="A266" s="112"/>
      <c r="L266" s="111"/>
    </row>
    <row r="267" spans="1:12" ht="15.6">
      <c r="A267" s="112"/>
      <c r="L267" s="111"/>
    </row>
    <row r="268" spans="1:12" ht="15.6">
      <c r="A268" s="112"/>
      <c r="L268" s="111"/>
    </row>
    <row r="269" spans="1:12" ht="15.6">
      <c r="A269" s="112"/>
      <c r="L269" s="111"/>
    </row>
    <row r="270" spans="1:12" ht="15.6">
      <c r="A270" s="112"/>
      <c r="L270" s="111"/>
    </row>
    <row r="271" spans="1:12" ht="15.6">
      <c r="A271" s="112"/>
      <c r="L271" s="111"/>
    </row>
    <row r="272" spans="1:12" ht="15.6">
      <c r="A272" s="112"/>
      <c r="L272" s="111"/>
    </row>
    <row r="273" spans="1:12" ht="15.6">
      <c r="A273" s="112"/>
      <c r="L273" s="111"/>
    </row>
    <row r="274" spans="1:12" ht="15.6">
      <c r="A274" s="112"/>
      <c r="L274" s="111"/>
    </row>
    <row r="275" spans="1:12" ht="15.6">
      <c r="A275" s="112"/>
      <c r="L275" s="111"/>
    </row>
    <row r="276" spans="1:12" ht="15.6">
      <c r="A276" s="112"/>
      <c r="L276" s="111"/>
    </row>
    <row r="277" spans="1:12" ht="15.6">
      <c r="A277" s="112"/>
      <c r="L277" s="111"/>
    </row>
    <row r="278" spans="1:12" ht="15.6">
      <c r="A278" s="112"/>
      <c r="L278" s="111"/>
    </row>
    <row r="279" spans="1:12" ht="15.6">
      <c r="A279" s="112"/>
      <c r="L279" s="111"/>
    </row>
    <row r="280" spans="1:12" ht="15.6">
      <c r="A280" s="112"/>
      <c r="L280" s="111"/>
    </row>
    <row r="281" spans="1:12" ht="15.6">
      <c r="A281" s="112"/>
      <c r="L281" s="111"/>
    </row>
    <row r="282" spans="1:12" ht="15.6">
      <c r="A282" s="112"/>
      <c r="L282" s="111"/>
    </row>
    <row r="283" spans="1:12" ht="15.6">
      <c r="A283" s="112"/>
      <c r="L283" s="111"/>
    </row>
    <row r="284" spans="1:12" ht="15.6">
      <c r="A284" s="112"/>
      <c r="L284" s="111"/>
    </row>
    <row r="285" spans="1:12" ht="15.6">
      <c r="A285" s="112"/>
      <c r="L285" s="111"/>
    </row>
    <row r="286" spans="1:12" ht="15.6">
      <c r="A286" s="112"/>
      <c r="L286" s="111"/>
    </row>
    <row r="287" spans="1:12" ht="15.6">
      <c r="A287" s="112"/>
      <c r="L287" s="111"/>
    </row>
    <row r="288" spans="1:12" ht="15.6">
      <c r="A288" s="112"/>
      <c r="L288" s="111"/>
    </row>
    <row r="289" spans="1:12" ht="15.6">
      <c r="A289" s="112"/>
      <c r="L289" s="111"/>
    </row>
    <row r="290" spans="1:12" ht="15.6">
      <c r="A290" s="112"/>
      <c r="L290" s="111"/>
    </row>
    <row r="291" spans="1:12" ht="15.6">
      <c r="A291" s="112"/>
      <c r="L291" s="111"/>
    </row>
    <row r="292" spans="1:12" ht="15.6">
      <c r="A292" s="112"/>
      <c r="L292" s="111"/>
    </row>
    <row r="293" spans="1:12" ht="15.6">
      <c r="A293" s="112"/>
      <c r="L293" s="111"/>
    </row>
    <row r="294" spans="1:12" ht="15.6">
      <c r="A294" s="112"/>
      <c r="L294" s="111"/>
    </row>
    <row r="295" spans="1:12" ht="15.6">
      <c r="A295" s="112"/>
      <c r="L295" s="111"/>
    </row>
    <row r="296" spans="1:12" ht="15.6">
      <c r="A296" s="112"/>
      <c r="L296" s="111"/>
    </row>
    <row r="297" spans="1:12" ht="15.6">
      <c r="A297" s="112"/>
      <c r="L297" s="111"/>
    </row>
    <row r="298" spans="1:12" ht="15.6">
      <c r="A298" s="112"/>
      <c r="L298" s="111"/>
    </row>
    <row r="299" spans="1:12" ht="15.6">
      <c r="A299" s="112"/>
      <c r="L299" s="111"/>
    </row>
    <row r="300" spans="1:12" ht="15.6">
      <c r="A300" s="112"/>
      <c r="L300" s="111"/>
    </row>
    <row r="301" spans="1:12" ht="15.6">
      <c r="A301" s="112"/>
      <c r="L301" s="111"/>
    </row>
    <row r="302" spans="1:12" ht="15.6">
      <c r="A302" s="112"/>
      <c r="L302" s="111"/>
    </row>
    <row r="303" spans="1:12" ht="15.6">
      <c r="A303" s="112"/>
      <c r="L303" s="111"/>
    </row>
    <row r="304" spans="1:12" ht="15.6">
      <c r="A304" s="112"/>
      <c r="L304" s="111"/>
    </row>
    <row r="305" spans="1:12" ht="15.6">
      <c r="A305" s="112"/>
      <c r="L305" s="111"/>
    </row>
    <row r="306" spans="1:12" ht="15.6">
      <c r="A306" s="112"/>
      <c r="L306" s="111"/>
    </row>
    <row r="307" spans="1:12" ht="15.6">
      <c r="A307" s="112"/>
      <c r="L307" s="111"/>
    </row>
    <row r="308" spans="1:12" ht="15.6">
      <c r="A308" s="112"/>
      <c r="L308" s="111"/>
    </row>
    <row r="309" spans="1:12" ht="15.6">
      <c r="A309" s="112"/>
      <c r="L309" s="111"/>
    </row>
    <row r="310" spans="1:12" ht="15.6">
      <c r="A310" s="112"/>
      <c r="L310" s="111"/>
    </row>
    <row r="311" spans="1:12" ht="15.6">
      <c r="A311" s="112"/>
      <c r="L311" s="111"/>
    </row>
    <row r="312" spans="1:12" ht="15.6">
      <c r="A312" s="112"/>
      <c r="L312" s="111"/>
    </row>
    <row r="313" spans="1:12" ht="15.6">
      <c r="A313" s="112"/>
      <c r="L313" s="111"/>
    </row>
    <row r="314" spans="1:12" ht="15.6">
      <c r="A314" s="112"/>
      <c r="L314" s="111"/>
    </row>
    <row r="315" spans="1:12" ht="15.6">
      <c r="A315" s="112"/>
      <c r="L315" s="111"/>
    </row>
    <row r="316" spans="1:12" ht="15.6">
      <c r="A316" s="112"/>
      <c r="L316" s="111"/>
    </row>
    <row r="317" spans="1:12" ht="15.6">
      <c r="A317" s="112"/>
      <c r="L317" s="111"/>
    </row>
    <row r="318" spans="1:12" ht="15.6">
      <c r="A318" s="112"/>
      <c r="L318" s="111"/>
    </row>
    <row r="319" spans="1:12" ht="15.6">
      <c r="A319" s="112"/>
      <c r="L319" s="111"/>
    </row>
    <row r="320" spans="1:12" ht="15.6">
      <c r="A320" s="112"/>
      <c r="L320" s="111"/>
    </row>
    <row r="321" spans="1:12" ht="15.6">
      <c r="A321" s="112"/>
      <c r="L321" s="111"/>
    </row>
    <row r="322" spans="1:12" ht="15.6">
      <c r="A322" s="112"/>
      <c r="L322" s="111"/>
    </row>
    <row r="323" spans="1:12" ht="15.6">
      <c r="A323" s="112"/>
      <c r="L323" s="111"/>
    </row>
    <row r="324" spans="1:12" ht="15.6">
      <c r="A324" s="112"/>
      <c r="L324" s="111"/>
    </row>
    <row r="325" spans="1:12" ht="15.6">
      <c r="A325" s="112"/>
      <c r="L325" s="111"/>
    </row>
    <row r="326" spans="1:12" ht="15.6">
      <c r="A326" s="112"/>
      <c r="L326" s="111"/>
    </row>
    <row r="327" spans="1:12" ht="15.6">
      <c r="A327" s="112"/>
      <c r="L327" s="111"/>
    </row>
    <row r="328" spans="1:12" ht="15.6">
      <c r="A328" s="112"/>
      <c r="L328" s="111"/>
    </row>
    <row r="329" spans="1:12" ht="15.6">
      <c r="A329" s="112"/>
      <c r="L329" s="111"/>
    </row>
    <row r="330" spans="1:12" ht="15.6">
      <c r="A330" s="112"/>
      <c r="L330" s="111"/>
    </row>
    <row r="331" spans="1:12" ht="15.6">
      <c r="A331" s="112"/>
      <c r="L331" s="111"/>
    </row>
    <row r="332" spans="1:12" ht="15.6">
      <c r="A332" s="112"/>
      <c r="L332" s="111"/>
    </row>
    <row r="333" spans="1:12" ht="15.6">
      <c r="A333" s="112"/>
      <c r="L333" s="111"/>
    </row>
    <row r="334" spans="1:12" ht="15.6">
      <c r="A334" s="112"/>
      <c r="L334" s="111"/>
    </row>
    <row r="335" spans="1:12" ht="15.6">
      <c r="A335" s="112"/>
      <c r="L335" s="111"/>
    </row>
    <row r="336" spans="1:12" ht="15.6">
      <c r="A336" s="112"/>
      <c r="L336" s="111"/>
    </row>
    <row r="337" spans="1:12" ht="15.6">
      <c r="A337" s="112"/>
      <c r="L337" s="111"/>
    </row>
    <row r="338" spans="1:12" ht="15.6">
      <c r="A338" s="112"/>
      <c r="L338" s="111"/>
    </row>
    <row r="339" spans="1:12" ht="15.6">
      <c r="A339" s="112"/>
      <c r="L339" s="111"/>
    </row>
    <row r="340" spans="1:12" ht="15.6">
      <c r="A340" s="112"/>
      <c r="L340" s="111"/>
    </row>
    <row r="341" spans="1:12" ht="15.6">
      <c r="A341" s="112"/>
      <c r="L341" s="111"/>
    </row>
    <row r="342" spans="1:12" ht="15.6">
      <c r="A342" s="112"/>
      <c r="L342" s="111"/>
    </row>
    <row r="343" spans="1:12" ht="15.6">
      <c r="A343" s="112"/>
      <c r="L343" s="111"/>
    </row>
    <row r="344" spans="1:12" ht="15.6">
      <c r="A344" s="112"/>
      <c r="L344" s="111"/>
    </row>
    <row r="345" spans="1:12" ht="15.6">
      <c r="A345" s="112"/>
      <c r="L345" s="111"/>
    </row>
    <row r="346" spans="1:12" ht="15.6">
      <c r="A346" s="112"/>
      <c r="L346" s="111"/>
    </row>
    <row r="347" spans="1:12" ht="15.6">
      <c r="A347" s="112"/>
      <c r="L347" s="111"/>
    </row>
    <row r="348" spans="1:12" ht="15.6">
      <c r="A348" s="112"/>
      <c r="L348" s="111"/>
    </row>
    <row r="349" spans="1:12" ht="15.6">
      <c r="A349" s="112"/>
      <c r="L349" s="111"/>
    </row>
    <row r="350" spans="1:12" ht="15.6">
      <c r="A350" s="112"/>
      <c r="L350" s="111"/>
    </row>
    <row r="351" spans="1:12" ht="15.6">
      <c r="A351" s="112"/>
      <c r="L351" s="111"/>
    </row>
    <row r="352" spans="1:12" ht="15.6">
      <c r="A352" s="112"/>
      <c r="L352" s="111"/>
    </row>
    <row r="353" spans="1:12" ht="15.6">
      <c r="A353" s="112"/>
      <c r="L353" s="111"/>
    </row>
    <row r="354" spans="1:12" ht="15.6">
      <c r="A354" s="112"/>
      <c r="L354" s="111"/>
    </row>
    <row r="355" spans="1:12" ht="15.6">
      <c r="A355" s="112"/>
      <c r="L355" s="111"/>
    </row>
    <row r="356" spans="1:12" ht="15.6">
      <c r="A356" s="112"/>
      <c r="L356" s="111"/>
    </row>
    <row r="357" spans="1:12" ht="15.6">
      <c r="A357" s="112"/>
      <c r="L357" s="111"/>
    </row>
    <row r="358" spans="1:12" ht="15.6">
      <c r="A358" s="112"/>
      <c r="L358" s="111"/>
    </row>
    <row r="359" spans="1:12" ht="15.6">
      <c r="A359" s="112"/>
      <c r="L359" s="111"/>
    </row>
    <row r="360" spans="1:12" ht="15.6">
      <c r="A360" s="112"/>
      <c r="L360" s="111"/>
    </row>
    <row r="361" spans="1:12" ht="15.6">
      <c r="A361" s="112"/>
      <c r="L361" s="111"/>
    </row>
    <row r="362" spans="1:12" ht="15.6">
      <c r="A362" s="112"/>
      <c r="L362" s="111"/>
    </row>
    <row r="363" spans="1:12" ht="15.6">
      <c r="A363" s="112"/>
      <c r="L363" s="111"/>
    </row>
    <row r="364" spans="1:12" ht="15.6">
      <c r="A364" s="112"/>
      <c r="L364" s="111"/>
    </row>
    <row r="365" spans="1:12" ht="15.6">
      <c r="A365" s="112"/>
      <c r="L365" s="111"/>
    </row>
    <row r="366" spans="1:12" ht="15.6">
      <c r="A366" s="112"/>
      <c r="L366" s="111"/>
    </row>
    <row r="367" spans="1:12" ht="15.6">
      <c r="A367" s="112"/>
      <c r="L367" s="111"/>
    </row>
    <row r="368" spans="1:12" ht="15.6">
      <c r="A368" s="112"/>
      <c r="L368" s="111"/>
    </row>
    <row r="369" spans="1:12" ht="15.6">
      <c r="A369" s="112"/>
      <c r="L369" s="111"/>
    </row>
    <row r="370" spans="1:12" ht="15.6">
      <c r="A370" s="112"/>
      <c r="L370" s="111"/>
    </row>
    <row r="371" spans="1:12" ht="15.6">
      <c r="A371" s="112"/>
      <c r="L371" s="111"/>
    </row>
    <row r="372" spans="1:12" ht="15.6">
      <c r="A372" s="112"/>
      <c r="L372" s="111"/>
    </row>
    <row r="373" spans="1:12" ht="15.6">
      <c r="A373" s="112"/>
      <c r="L373" s="111"/>
    </row>
    <row r="374" spans="1:12" ht="15.6">
      <c r="A374" s="112"/>
      <c r="L374" s="111"/>
    </row>
    <row r="375" spans="1:12" ht="15.6">
      <c r="A375" s="112"/>
      <c r="L375" s="111"/>
    </row>
    <row r="376" spans="1:12" ht="15.6">
      <c r="A376" s="112"/>
      <c r="L376" s="111"/>
    </row>
    <row r="377" spans="1:12" ht="15.6">
      <c r="A377" s="112"/>
      <c r="L377" s="111"/>
    </row>
    <row r="378" spans="1:12" ht="15.6">
      <c r="A378" s="112"/>
      <c r="L378" s="111"/>
    </row>
    <row r="379" spans="1:12" ht="15.6">
      <c r="A379" s="112"/>
      <c r="L379" s="111"/>
    </row>
    <row r="380" spans="1:12" ht="15.6">
      <c r="A380" s="112"/>
      <c r="L380" s="111"/>
    </row>
    <row r="381" spans="1:12" ht="15.6">
      <c r="A381" s="112"/>
      <c r="L381" s="111"/>
    </row>
    <row r="382" spans="1:12" ht="15.6">
      <c r="A382" s="112"/>
      <c r="L382" s="111"/>
    </row>
    <row r="383" spans="1:12" ht="15.6">
      <c r="A383" s="112"/>
      <c r="L383" s="111"/>
    </row>
    <row r="384" spans="1:12" ht="15.6">
      <c r="A384" s="112"/>
      <c r="L384" s="111"/>
    </row>
    <row r="385" spans="1:12" ht="15.6">
      <c r="A385" s="112"/>
      <c r="L385" s="111"/>
    </row>
    <row r="386" spans="1:12" ht="15.6">
      <c r="A386" s="112"/>
      <c r="L386" s="111"/>
    </row>
    <row r="387" spans="1:12" ht="15.6">
      <c r="A387" s="112"/>
      <c r="L387" s="111"/>
    </row>
    <row r="388" spans="1:12" ht="15.6">
      <c r="A388" s="112"/>
      <c r="L388" s="111"/>
    </row>
    <row r="389" spans="1:12" ht="15.6">
      <c r="A389" s="112"/>
      <c r="L389" s="111"/>
    </row>
    <row r="390" spans="1:12" ht="15.6">
      <c r="A390" s="112"/>
      <c r="L390" s="111"/>
    </row>
    <row r="391" spans="1:12" ht="15.6">
      <c r="A391" s="112"/>
      <c r="L391" s="111"/>
    </row>
    <row r="392" spans="1:12" ht="15.6">
      <c r="A392" s="112"/>
      <c r="L392" s="111"/>
    </row>
    <row r="393" spans="1:12" ht="15.6">
      <c r="A393" s="112"/>
      <c r="L393" s="111"/>
    </row>
    <row r="394" spans="1:12" ht="15.6">
      <c r="A394" s="112"/>
      <c r="L394" s="111"/>
    </row>
    <row r="395" spans="1:12" ht="15.6">
      <c r="A395" s="112"/>
      <c r="L395" s="111"/>
    </row>
    <row r="396" spans="1:12" ht="15.6">
      <c r="A396" s="112"/>
      <c r="L396" s="111"/>
    </row>
    <row r="397" spans="1:12" ht="15.6">
      <c r="A397" s="112"/>
      <c r="L397" s="111"/>
    </row>
    <row r="398" spans="1:12" ht="15.6">
      <c r="A398" s="112"/>
      <c r="L398" s="111"/>
    </row>
    <row r="399" spans="1:12" ht="15.6">
      <c r="A399" s="112"/>
      <c r="L399" s="111"/>
    </row>
    <row r="400" spans="1:12" ht="15.6">
      <c r="A400" s="112"/>
      <c r="L400" s="111"/>
    </row>
    <row r="401" spans="1:12" ht="15.6">
      <c r="A401" s="112"/>
      <c r="L401" s="111"/>
    </row>
    <row r="402" spans="1:12" ht="15.6">
      <c r="A402" s="112"/>
      <c r="L402" s="111"/>
    </row>
    <row r="403" spans="1:12" ht="15.6">
      <c r="A403" s="112"/>
      <c r="L403" s="111"/>
    </row>
    <row r="404" spans="1:12" ht="15.6">
      <c r="A404" s="112"/>
      <c r="L404" s="111"/>
    </row>
    <row r="405" spans="1:12" ht="15.6">
      <c r="A405" s="112"/>
      <c r="L405" s="111"/>
    </row>
    <row r="406" spans="1:12" ht="15.6">
      <c r="A406" s="112"/>
      <c r="L406" s="111"/>
    </row>
    <row r="407" spans="1:12" ht="15.6">
      <c r="A407" s="112"/>
      <c r="L407" s="111"/>
    </row>
    <row r="408" spans="1:12" ht="15.6">
      <c r="A408" s="112"/>
      <c r="L408" s="111"/>
    </row>
    <row r="409" spans="1:12" ht="15.6">
      <c r="A409" s="112"/>
      <c r="L409" s="111"/>
    </row>
    <row r="410" spans="1:12" ht="15.6">
      <c r="A410" s="112"/>
      <c r="L410" s="111"/>
    </row>
    <row r="411" spans="1:12" ht="15.6">
      <c r="A411" s="112"/>
      <c r="L411" s="111"/>
    </row>
    <row r="412" spans="1:12" ht="15.6">
      <c r="A412" s="112"/>
      <c r="L412" s="111"/>
    </row>
    <row r="413" spans="1:12" ht="15.6">
      <c r="A413" s="112"/>
      <c r="L413" s="111"/>
    </row>
    <row r="414" spans="1:12" ht="15.6">
      <c r="A414" s="112"/>
      <c r="L414" s="111"/>
    </row>
    <row r="415" spans="1:12" ht="15.6">
      <c r="A415" s="112"/>
      <c r="L415" s="111"/>
    </row>
    <row r="416" spans="1:12" ht="15.6">
      <c r="A416" s="112"/>
      <c r="L416" s="111"/>
    </row>
    <row r="417" spans="1:12" ht="15.6">
      <c r="A417" s="112"/>
      <c r="L417" s="111"/>
    </row>
    <row r="418" spans="1:12" ht="15.6">
      <c r="A418" s="112"/>
      <c r="L418" s="111"/>
    </row>
    <row r="419" spans="1:12" ht="15.6">
      <c r="A419" s="112"/>
      <c r="L419" s="111"/>
    </row>
    <row r="420" spans="1:12" ht="15.6">
      <c r="A420" s="112"/>
      <c r="L420" s="111"/>
    </row>
    <row r="421" spans="1:12" ht="15.6">
      <c r="A421" s="112"/>
      <c r="L421" s="111"/>
    </row>
    <row r="422" spans="1:12" ht="15.6">
      <c r="A422" s="112"/>
      <c r="L422" s="111"/>
    </row>
    <row r="423" spans="1:12" ht="15.6">
      <c r="A423" s="112"/>
      <c r="L423" s="111"/>
    </row>
    <row r="424" spans="1:12" ht="15.6">
      <c r="A424" s="112"/>
      <c r="L424" s="111"/>
    </row>
    <row r="425" spans="1:12" ht="15.6">
      <c r="A425" s="112"/>
      <c r="L425" s="111"/>
    </row>
    <row r="426" spans="1:12" ht="15.6">
      <c r="A426" s="112"/>
      <c r="L426" s="111"/>
    </row>
    <row r="427" spans="1:12" ht="15.6">
      <c r="A427" s="112"/>
      <c r="L427" s="111"/>
    </row>
    <row r="428" spans="1:12" ht="15.6">
      <c r="A428" s="112"/>
      <c r="L428" s="111"/>
    </row>
    <row r="429" spans="1:12" ht="15.6">
      <c r="A429" s="112"/>
      <c r="L429" s="111"/>
    </row>
    <row r="430" spans="1:12" ht="15.6">
      <c r="A430" s="112"/>
      <c r="L430" s="111"/>
    </row>
    <row r="431" spans="1:12" ht="15.6">
      <c r="A431" s="112"/>
      <c r="L431" s="111"/>
    </row>
    <row r="432" spans="1:12" ht="15.6">
      <c r="A432" s="112"/>
      <c r="L432" s="111"/>
    </row>
    <row r="433" spans="1:12" ht="15.6">
      <c r="A433" s="112"/>
      <c r="L433" s="111"/>
    </row>
    <row r="434" spans="1:12" ht="15.6">
      <c r="A434" s="112"/>
      <c r="L434" s="111"/>
    </row>
    <row r="435" spans="1:12" ht="15.6">
      <c r="A435" s="112"/>
      <c r="L435" s="111"/>
    </row>
    <row r="436" spans="1:12" ht="15.6">
      <c r="A436" s="112"/>
      <c r="L436" s="111"/>
    </row>
    <row r="437" spans="1:12" ht="15.6">
      <c r="A437" s="112"/>
      <c r="L437" s="111"/>
    </row>
    <row r="438" spans="1:12" ht="15.6">
      <c r="A438" s="112"/>
      <c r="L438" s="111"/>
    </row>
    <row r="439" spans="1:12" ht="15.6">
      <c r="A439" s="112"/>
      <c r="L439" s="111"/>
    </row>
    <row r="440" spans="1:12" ht="15.6">
      <c r="A440" s="112"/>
      <c r="L440" s="111"/>
    </row>
    <row r="441" spans="1:12" ht="15.6">
      <c r="A441" s="112"/>
      <c r="L441" s="111"/>
    </row>
    <row r="442" spans="1:12" ht="15.6">
      <c r="A442" s="112"/>
      <c r="L442" s="111"/>
    </row>
    <row r="443" spans="1:12" ht="15.6">
      <c r="A443" s="112"/>
      <c r="L443" s="111"/>
    </row>
    <row r="444" spans="1:12" ht="15.6">
      <c r="A444" s="112"/>
      <c r="L444" s="111"/>
    </row>
    <row r="445" spans="1:12" ht="15.6">
      <c r="A445" s="112"/>
      <c r="L445" s="111"/>
    </row>
    <row r="446" spans="1:12" ht="15.6">
      <c r="A446" s="112"/>
      <c r="L446" s="111"/>
    </row>
    <row r="447" spans="1:12" ht="15.6">
      <c r="A447" s="112"/>
      <c r="L447" s="111"/>
    </row>
    <row r="448" spans="1:12" ht="15.6">
      <c r="A448" s="112"/>
      <c r="L448" s="111"/>
    </row>
    <row r="449" spans="1:12" ht="15.6">
      <c r="A449" s="112"/>
      <c r="L449" s="111"/>
    </row>
    <row r="450" spans="1:12" ht="15.6">
      <c r="A450" s="112"/>
      <c r="L450" s="111"/>
    </row>
    <row r="451" spans="1:12" ht="15.6">
      <c r="A451" s="112"/>
      <c r="L451" s="111"/>
    </row>
    <row r="452" spans="1:12" ht="15.6">
      <c r="A452" s="112"/>
      <c r="L452" s="111"/>
    </row>
    <row r="453" spans="1:12" ht="15.6">
      <c r="A453" s="112"/>
      <c r="L453" s="111"/>
    </row>
    <row r="454" spans="1:12" ht="15.6">
      <c r="A454" s="112"/>
      <c r="L454" s="111"/>
    </row>
    <row r="455" spans="1:12" ht="15.6">
      <c r="A455" s="112"/>
      <c r="L455" s="111"/>
    </row>
    <row r="456" spans="1:12" ht="15.6">
      <c r="A456" s="112"/>
      <c r="L456" s="111"/>
    </row>
    <row r="457" spans="1:12" ht="15.6">
      <c r="A457" s="112"/>
      <c r="L457" s="111"/>
    </row>
    <row r="458" spans="1:12" ht="15.6">
      <c r="A458" s="112"/>
      <c r="L458" s="111"/>
    </row>
    <row r="459" spans="1:12" ht="15.6">
      <c r="A459" s="112"/>
      <c r="L459" s="111"/>
    </row>
    <row r="460" spans="1:12" ht="15.6">
      <c r="A460" s="112"/>
      <c r="L460" s="111"/>
    </row>
    <row r="461" spans="1:12" ht="15.6">
      <c r="A461" s="112"/>
      <c r="L461" s="111"/>
    </row>
    <row r="462" spans="1:12" ht="15.6">
      <c r="A462" s="112"/>
      <c r="L462" s="111"/>
    </row>
    <row r="463" spans="1:12" ht="15.6">
      <c r="A463" s="112"/>
      <c r="L463" s="111"/>
    </row>
    <row r="464" spans="1:12" ht="15.6">
      <c r="A464" s="112"/>
      <c r="L464" s="111"/>
    </row>
    <row r="465" spans="1:12" ht="15.6">
      <c r="A465" s="112"/>
      <c r="L465" s="111"/>
    </row>
    <row r="466" spans="1:12" ht="15.6">
      <c r="A466" s="112"/>
      <c r="L466" s="111"/>
    </row>
    <row r="467" spans="1:12" ht="15.6">
      <c r="A467" s="112"/>
      <c r="L467" s="111"/>
    </row>
    <row r="468" spans="1:12" ht="15.6">
      <c r="A468" s="112"/>
      <c r="L468" s="111"/>
    </row>
    <row r="469" spans="1:12" ht="15.6">
      <c r="A469" s="112"/>
      <c r="L469" s="111"/>
    </row>
    <row r="470" spans="1:12" ht="15.6">
      <c r="A470" s="112"/>
      <c r="L470" s="111"/>
    </row>
    <row r="471" spans="1:12" ht="15.6">
      <c r="A471" s="112"/>
      <c r="L471" s="111"/>
    </row>
    <row r="472" spans="1:12" ht="15.6">
      <c r="A472" s="112"/>
      <c r="L472" s="111"/>
    </row>
    <row r="473" spans="1:12" ht="15.6">
      <c r="A473" s="112"/>
      <c r="L473" s="111"/>
    </row>
    <row r="474" spans="1:12" ht="15.6">
      <c r="A474" s="112"/>
      <c r="L474" s="111"/>
    </row>
    <row r="475" spans="1:12" ht="15.6">
      <c r="A475" s="112"/>
      <c r="L475" s="111"/>
    </row>
    <row r="476" spans="1:12" ht="15.6">
      <c r="A476" s="112"/>
      <c r="L476" s="111"/>
    </row>
    <row r="477" spans="1:12" ht="15.6">
      <c r="A477" s="112"/>
      <c r="L477" s="111"/>
    </row>
    <row r="478" spans="1:12" ht="15.6">
      <c r="A478" s="112"/>
      <c r="L478" s="111"/>
    </row>
    <row r="479" spans="1:12" ht="15.6">
      <c r="A479" s="112"/>
      <c r="L479" s="111"/>
    </row>
    <row r="480" spans="1:12" ht="15.6">
      <c r="A480" s="112"/>
      <c r="L480" s="111"/>
    </row>
    <row r="481" spans="1:12" ht="15.6">
      <c r="A481" s="112"/>
      <c r="L481" s="111"/>
    </row>
    <row r="482" spans="1:12" ht="15.6">
      <c r="A482" s="112"/>
      <c r="L482" s="111"/>
    </row>
    <row r="483" spans="1:12" ht="15.6">
      <c r="A483" s="112"/>
      <c r="L483" s="111"/>
    </row>
    <row r="484" spans="1:12" ht="15.6">
      <c r="A484" s="112"/>
      <c r="L484" s="111"/>
    </row>
    <row r="485" spans="1:12" ht="15.6">
      <c r="A485" s="112"/>
      <c r="L485" s="111"/>
    </row>
    <row r="486" spans="1:12" ht="15.6">
      <c r="A486" s="112"/>
      <c r="L486" s="111"/>
    </row>
    <row r="487" spans="1:12" ht="15.6">
      <c r="A487" s="112"/>
      <c r="L487" s="111"/>
    </row>
    <row r="488" spans="1:12" ht="15.6">
      <c r="A488" s="112"/>
      <c r="L488" s="111"/>
    </row>
    <row r="489" spans="1:12" ht="15.6">
      <c r="A489" s="112"/>
      <c r="L489" s="111"/>
    </row>
    <row r="490" spans="1:12" ht="15.6">
      <c r="A490" s="112"/>
      <c r="L490" s="111"/>
    </row>
    <row r="491" spans="1:12" ht="15.6">
      <c r="A491" s="112"/>
      <c r="L491" s="111"/>
    </row>
    <row r="492" spans="1:12" ht="15.6">
      <c r="A492" s="112"/>
      <c r="L492" s="111"/>
    </row>
    <row r="493" spans="1:12" ht="15.6">
      <c r="A493" s="112"/>
      <c r="L493" s="111"/>
    </row>
    <row r="494" spans="1:12" ht="15.6">
      <c r="A494" s="112"/>
      <c r="L494" s="111"/>
    </row>
    <row r="495" spans="1:12" ht="15.6">
      <c r="A495" s="112"/>
      <c r="L495" s="111"/>
    </row>
    <row r="496" spans="1:12" ht="15.6">
      <c r="A496" s="112"/>
      <c r="L496" s="111"/>
    </row>
    <row r="497" spans="1:12" ht="15.6">
      <c r="A497" s="112"/>
      <c r="L497" s="111"/>
    </row>
    <row r="498" spans="1:12" ht="15.6">
      <c r="A498" s="112"/>
      <c r="L498" s="111"/>
    </row>
    <row r="499" spans="1:12" ht="15.6">
      <c r="A499" s="112"/>
      <c r="L499" s="111"/>
    </row>
    <row r="500" spans="1:12" ht="15.6">
      <c r="A500" s="112"/>
      <c r="L500" s="111"/>
    </row>
    <row r="501" spans="1:12" ht="15.6">
      <c r="A501" s="112"/>
      <c r="L501" s="111"/>
    </row>
    <row r="502" spans="1:12" ht="15.6">
      <c r="A502" s="112"/>
      <c r="L502" s="111"/>
    </row>
    <row r="503" spans="1:12" ht="15.6">
      <c r="A503" s="112"/>
      <c r="L503" s="111"/>
    </row>
    <row r="504" spans="1:12" ht="15.6">
      <c r="A504" s="112"/>
      <c r="L504" s="111"/>
    </row>
    <row r="505" spans="1:12" ht="15.6">
      <c r="A505" s="112"/>
      <c r="L505" s="111"/>
    </row>
    <row r="506" spans="1:12" ht="15.6">
      <c r="A506" s="112"/>
      <c r="L506" s="111"/>
    </row>
    <row r="507" spans="1:12" ht="15.6">
      <c r="A507" s="112"/>
      <c r="L507" s="111"/>
    </row>
    <row r="508" spans="1:12" ht="15.6">
      <c r="A508" s="112"/>
      <c r="L508" s="111"/>
    </row>
    <row r="509" spans="1:12" ht="15.6">
      <c r="A509" s="112"/>
      <c r="L509" s="111"/>
    </row>
    <row r="510" spans="1:12" ht="15.6">
      <c r="A510" s="112"/>
      <c r="L510" s="111"/>
    </row>
    <row r="511" spans="1:12" ht="15.6">
      <c r="A511" s="112"/>
      <c r="L511" s="111"/>
    </row>
    <row r="512" spans="1:12" ht="15.6">
      <c r="A512" s="112"/>
      <c r="L512" s="111"/>
    </row>
    <row r="513" spans="1:12" ht="15.6">
      <c r="A513" s="112"/>
      <c r="L513" s="111"/>
    </row>
    <row r="514" spans="1:12" ht="15.6">
      <c r="A514" s="112"/>
      <c r="L514" s="111"/>
    </row>
    <row r="515" spans="1:12" ht="15.6">
      <c r="A515" s="112"/>
      <c r="L515" s="111"/>
    </row>
    <row r="516" spans="1:12" ht="15.6">
      <c r="A516" s="112"/>
      <c r="L516" s="111"/>
    </row>
    <row r="517" spans="1:12" ht="15.6">
      <c r="A517" s="112"/>
      <c r="L517" s="111"/>
    </row>
    <row r="518" spans="1:12" ht="15.6">
      <c r="A518" s="112"/>
      <c r="L518" s="111"/>
    </row>
    <row r="519" spans="1:12" ht="15.6">
      <c r="A519" s="112"/>
      <c r="L519" s="111"/>
    </row>
    <row r="520" spans="1:12" ht="15.6">
      <c r="A520" s="112"/>
      <c r="L520" s="111"/>
    </row>
    <row r="521" spans="1:12" ht="15.6">
      <c r="A521" s="112"/>
      <c r="L521" s="111"/>
    </row>
    <row r="522" spans="1:12" ht="15.6">
      <c r="A522" s="112"/>
      <c r="L522" s="111"/>
    </row>
    <row r="523" spans="1:12" ht="15.6">
      <c r="A523" s="112"/>
      <c r="L523" s="111"/>
    </row>
    <row r="524" spans="1:12" ht="15.6">
      <c r="A524" s="112"/>
      <c r="L524" s="111"/>
    </row>
    <row r="525" spans="1:12" ht="15.6">
      <c r="A525" s="112"/>
      <c r="L525" s="111"/>
    </row>
    <row r="526" spans="1:12" ht="15.6">
      <c r="A526" s="112"/>
      <c r="L526" s="111"/>
    </row>
    <row r="527" spans="1:12" ht="15.6">
      <c r="A527" s="112"/>
      <c r="L527" s="111"/>
    </row>
    <row r="528" spans="1:12" ht="15.6">
      <c r="A528" s="112"/>
      <c r="L528" s="111"/>
    </row>
    <row r="529" spans="1:12" ht="15.6">
      <c r="A529" s="112"/>
      <c r="L529" s="111"/>
    </row>
    <row r="530" spans="1:12" ht="15.6">
      <c r="A530" s="112"/>
      <c r="L530" s="111"/>
    </row>
    <row r="531" spans="1:12" ht="15.6">
      <c r="A531" s="112"/>
      <c r="L531" s="111"/>
    </row>
    <row r="532" spans="1:12" ht="15.6">
      <c r="A532" s="112"/>
      <c r="L532" s="111"/>
    </row>
    <row r="533" spans="1:12" ht="15.6">
      <c r="A533" s="112"/>
      <c r="L533" s="111"/>
    </row>
    <row r="534" spans="1:12" ht="15.6">
      <c r="A534" s="112"/>
      <c r="L534" s="111"/>
    </row>
    <row r="535" spans="1:12" ht="15.6">
      <c r="A535" s="112"/>
      <c r="L535" s="111"/>
    </row>
    <row r="536" spans="1:12" ht="15.6">
      <c r="A536" s="112"/>
      <c r="L536" s="111"/>
    </row>
    <row r="537" spans="1:12" ht="15.6">
      <c r="A537" s="112"/>
      <c r="L537" s="111"/>
    </row>
    <row r="538" spans="1:12" ht="15.6">
      <c r="A538" s="112"/>
      <c r="L538" s="111"/>
    </row>
    <row r="539" spans="1:12" ht="15.6">
      <c r="A539" s="112"/>
      <c r="L539" s="111"/>
    </row>
    <row r="540" spans="1:12" ht="15.6">
      <c r="A540" s="112"/>
      <c r="L540" s="111"/>
    </row>
    <row r="541" spans="1:12" ht="15.6">
      <c r="A541" s="112"/>
      <c r="L541" s="111"/>
    </row>
    <row r="542" spans="1:12" ht="15.6">
      <c r="A542" s="112"/>
      <c r="L542" s="111"/>
    </row>
    <row r="543" spans="1:12" ht="15.6">
      <c r="A543" s="112"/>
      <c r="L543" s="111"/>
    </row>
    <row r="544" spans="1:12" ht="15.6">
      <c r="A544" s="112"/>
      <c r="L544" s="111"/>
    </row>
    <row r="545" spans="1:12" ht="15.6">
      <c r="A545" s="112"/>
      <c r="L545" s="111"/>
    </row>
    <row r="546" spans="1:12" ht="15.6">
      <c r="A546" s="112"/>
      <c r="L546" s="111"/>
    </row>
    <row r="547" spans="1:12" ht="15.6">
      <c r="A547" s="112"/>
      <c r="L547" s="111"/>
    </row>
    <row r="548" spans="1:12" ht="15.6">
      <c r="A548" s="112"/>
      <c r="L548" s="111"/>
    </row>
    <row r="549" spans="1:12" ht="15.6">
      <c r="A549" s="112"/>
      <c r="L549" s="111"/>
    </row>
    <row r="550" spans="1:12" ht="15.6">
      <c r="A550" s="112"/>
      <c r="L550" s="111"/>
    </row>
    <row r="551" spans="1:12" ht="15.6">
      <c r="A551" s="112"/>
      <c r="L551" s="111"/>
    </row>
    <row r="552" spans="1:12" ht="15.6">
      <c r="A552" s="112"/>
      <c r="L552" s="111"/>
    </row>
    <row r="553" spans="1:12" ht="15.6">
      <c r="A553" s="112"/>
      <c r="L553" s="111"/>
    </row>
    <row r="554" spans="1:12" ht="15.6">
      <c r="A554" s="112"/>
      <c r="L554" s="111"/>
    </row>
    <row r="555" spans="1:12" ht="15.6">
      <c r="A555" s="112"/>
      <c r="L555" s="111"/>
    </row>
    <row r="556" spans="1:12" ht="15.6">
      <c r="A556" s="112"/>
      <c r="L556" s="111"/>
    </row>
    <row r="557" spans="1:12" ht="15.6">
      <c r="A557" s="112"/>
      <c r="L557" s="111"/>
    </row>
    <row r="558" spans="1:12" ht="15.6">
      <c r="A558" s="112"/>
      <c r="L558" s="111"/>
    </row>
    <row r="559" spans="1:12" ht="15.6">
      <c r="A559" s="112"/>
      <c r="L559" s="111"/>
    </row>
    <row r="560" spans="1:12" ht="15.6">
      <c r="A560" s="112"/>
      <c r="L560" s="111"/>
    </row>
    <row r="561" spans="1:12" ht="15.6">
      <c r="A561" s="112"/>
      <c r="L561" s="111"/>
    </row>
    <row r="562" spans="1:12" ht="15.6">
      <c r="A562" s="112"/>
      <c r="L562" s="111"/>
    </row>
    <row r="563" spans="1:12" ht="15.6">
      <c r="A563" s="112"/>
      <c r="L563" s="111"/>
    </row>
    <row r="564" spans="1:12" ht="15.6">
      <c r="A564" s="112"/>
      <c r="L564" s="111"/>
    </row>
    <row r="565" spans="1:12" ht="15.6">
      <c r="A565" s="112"/>
      <c r="L565" s="111"/>
    </row>
    <row r="566" spans="1:12" ht="15.6">
      <c r="A566" s="112"/>
      <c r="L566" s="111"/>
    </row>
    <row r="567" spans="1:12" ht="15.6">
      <c r="A567" s="112"/>
      <c r="L567" s="111"/>
    </row>
    <row r="568" spans="1:12" ht="15.6">
      <c r="A568" s="112"/>
      <c r="L568" s="111"/>
    </row>
    <row r="569" spans="1:12" ht="15.6">
      <c r="A569" s="112"/>
      <c r="L569" s="111"/>
    </row>
    <row r="570" spans="1:12" ht="15.6">
      <c r="A570" s="112"/>
      <c r="L570" s="111"/>
    </row>
    <row r="571" spans="1:12" ht="15.6">
      <c r="A571" s="112"/>
      <c r="L571" s="111"/>
    </row>
    <row r="572" spans="1:12" ht="15.6">
      <c r="A572" s="112"/>
      <c r="L572" s="111"/>
    </row>
    <row r="573" spans="1:12" ht="15.6">
      <c r="A573" s="112"/>
      <c r="L573" s="111"/>
    </row>
    <row r="574" spans="1:12" ht="15.6">
      <c r="A574" s="112"/>
      <c r="L574" s="111"/>
    </row>
    <row r="575" spans="1:12" ht="15.6">
      <c r="A575" s="112"/>
      <c r="L575" s="111"/>
    </row>
    <row r="576" spans="1:12" ht="15.6">
      <c r="A576" s="112"/>
      <c r="L576" s="111"/>
    </row>
    <row r="577" spans="1:12" ht="15.6">
      <c r="A577" s="112"/>
      <c r="L577" s="111"/>
    </row>
    <row r="578" spans="1:12" ht="15.6">
      <c r="A578" s="112"/>
      <c r="L578" s="111"/>
    </row>
    <row r="579" spans="1:12" ht="15.6">
      <c r="A579" s="112"/>
      <c r="L579" s="111"/>
    </row>
    <row r="580" spans="1:12" ht="15.6">
      <c r="A580" s="112"/>
      <c r="L580" s="111"/>
    </row>
    <row r="581" spans="1:12" ht="15.6">
      <c r="A581" s="112"/>
      <c r="L581" s="111"/>
    </row>
    <row r="582" spans="1:12" ht="15.6">
      <c r="A582" s="112"/>
      <c r="L582" s="111"/>
    </row>
    <row r="583" spans="1:12" ht="15.6">
      <c r="A583" s="112"/>
      <c r="L583" s="111"/>
    </row>
    <row r="584" spans="1:12" ht="15.6">
      <c r="A584" s="112"/>
      <c r="L584" s="111"/>
    </row>
    <row r="585" spans="1:12" ht="15.6">
      <c r="A585" s="112"/>
      <c r="L585" s="111"/>
    </row>
    <row r="586" spans="1:12" ht="15.6">
      <c r="A586" s="112"/>
      <c r="L586" s="111"/>
    </row>
    <row r="587" spans="1:12" ht="15.6">
      <c r="A587" s="112"/>
      <c r="L587" s="111"/>
    </row>
    <row r="588" spans="1:12" ht="15.6">
      <c r="A588" s="112"/>
      <c r="L588" s="111"/>
    </row>
    <row r="589" spans="1:12" ht="15.6">
      <c r="A589" s="112"/>
      <c r="L589" s="111"/>
    </row>
    <row r="590" spans="1:12" ht="15.6">
      <c r="A590" s="112"/>
      <c r="L590" s="111"/>
    </row>
    <row r="591" spans="1:12" ht="15.6">
      <c r="A591" s="112"/>
      <c r="L591" s="111"/>
    </row>
    <row r="592" spans="1:12" ht="15.6">
      <c r="A592" s="112"/>
      <c r="L592" s="111"/>
    </row>
    <row r="593" spans="1:12" ht="15.6">
      <c r="A593" s="112"/>
      <c r="L593" s="111"/>
    </row>
    <row r="594" spans="1:12" ht="15.6">
      <c r="A594" s="112"/>
      <c r="L594" s="111"/>
    </row>
    <row r="595" spans="1:12" ht="15.6">
      <c r="A595" s="112"/>
      <c r="L595" s="111"/>
    </row>
    <row r="596" spans="1:12" ht="15.6">
      <c r="A596" s="112"/>
      <c r="L596" s="111"/>
    </row>
    <row r="597" spans="1:12" ht="15.6">
      <c r="A597" s="112"/>
      <c r="L597" s="111"/>
    </row>
    <row r="598" spans="1:12" ht="15.6">
      <c r="A598" s="112"/>
      <c r="L598" s="111"/>
    </row>
    <row r="599" spans="1:12" ht="15.6">
      <c r="A599" s="112"/>
      <c r="L599" s="111"/>
    </row>
    <row r="600" spans="1:12" ht="15.6">
      <c r="A600" s="112"/>
      <c r="L600" s="111"/>
    </row>
    <row r="601" spans="1:12" ht="15.6">
      <c r="A601" s="112"/>
      <c r="L601" s="111"/>
    </row>
    <row r="602" spans="1:12" ht="15.6">
      <c r="A602" s="112"/>
      <c r="L602" s="111"/>
    </row>
    <row r="603" spans="1:12" ht="15.6">
      <c r="A603" s="112"/>
      <c r="L603" s="111"/>
    </row>
    <row r="604" spans="1:12" ht="15.6">
      <c r="A604" s="112"/>
      <c r="L604" s="111"/>
    </row>
    <row r="605" spans="1:12" ht="15.6">
      <c r="A605" s="112"/>
      <c r="L605" s="111"/>
    </row>
    <row r="606" spans="1:12" ht="15.6">
      <c r="A606" s="112"/>
      <c r="L606" s="111"/>
    </row>
    <row r="607" spans="1:12" ht="15.6">
      <c r="A607" s="112"/>
      <c r="L607" s="111"/>
    </row>
    <row r="608" spans="1:12" ht="15.6">
      <c r="A608" s="112"/>
      <c r="L608" s="111"/>
    </row>
    <row r="609" spans="1:12" ht="15.6">
      <c r="A609" s="112"/>
      <c r="L609" s="111"/>
    </row>
    <row r="610" spans="1:12" ht="15.6">
      <c r="A610" s="112"/>
      <c r="L610" s="111"/>
    </row>
    <row r="611" spans="1:12" ht="15.6">
      <c r="A611" s="112"/>
      <c r="L611" s="111"/>
    </row>
    <row r="612" spans="1:12" ht="15.6">
      <c r="A612" s="112"/>
      <c r="L612" s="111"/>
    </row>
    <row r="613" spans="1:12" ht="15.6">
      <c r="A613" s="112"/>
      <c r="L613" s="111"/>
    </row>
    <row r="614" spans="1:12" ht="15.6">
      <c r="A614" s="112"/>
      <c r="L614" s="111"/>
    </row>
    <row r="615" spans="1:12" ht="15.6">
      <c r="A615" s="112"/>
      <c r="L615" s="111"/>
    </row>
    <row r="616" spans="1:12" ht="15.6">
      <c r="A616" s="112"/>
      <c r="L616" s="111"/>
    </row>
    <row r="617" spans="1:12" ht="15.6">
      <c r="A617" s="112"/>
      <c r="L617" s="111"/>
    </row>
    <row r="618" spans="1:12" ht="15.6">
      <c r="A618" s="112"/>
      <c r="L618" s="111"/>
    </row>
    <row r="619" spans="1:12" ht="15.6">
      <c r="A619" s="112"/>
      <c r="L619" s="111"/>
    </row>
    <row r="620" spans="1:12" ht="15.6">
      <c r="A620" s="112"/>
      <c r="L620" s="111"/>
    </row>
    <row r="621" spans="1:12" ht="15.6">
      <c r="A621" s="112"/>
      <c r="L621" s="111"/>
    </row>
    <row r="622" spans="1:12" ht="15.6">
      <c r="A622" s="112"/>
      <c r="L622" s="111"/>
    </row>
    <row r="623" spans="1:12" ht="15.6">
      <c r="A623" s="112"/>
      <c r="L623" s="111"/>
    </row>
    <row r="624" spans="1:12" ht="15.6">
      <c r="A624" s="112"/>
      <c r="L624" s="111"/>
    </row>
    <row r="625" spans="1:12" ht="15.6">
      <c r="A625" s="112"/>
      <c r="L625" s="111"/>
    </row>
    <row r="626" spans="1:12" ht="15.6">
      <c r="A626" s="112"/>
      <c r="L626" s="111"/>
    </row>
    <row r="627" spans="1:12" ht="15.6">
      <c r="A627" s="112"/>
      <c r="L627" s="111"/>
    </row>
    <row r="628" spans="1:12" ht="15.6">
      <c r="A628" s="112"/>
      <c r="L628" s="111"/>
    </row>
    <row r="629" spans="1:12" ht="15.6">
      <c r="A629" s="112"/>
      <c r="L629" s="111"/>
    </row>
    <row r="630" spans="1:12" ht="15.6">
      <c r="A630" s="112"/>
      <c r="L630" s="111"/>
    </row>
    <row r="631" spans="1:12" ht="15.6">
      <c r="A631" s="112"/>
      <c r="L631" s="111"/>
    </row>
    <row r="632" spans="1:12" ht="15.6">
      <c r="A632" s="112"/>
      <c r="L632" s="111"/>
    </row>
    <row r="633" spans="1:12" ht="15.6">
      <c r="A633" s="112"/>
      <c r="L633" s="111"/>
    </row>
    <row r="634" spans="1:12" ht="15.6">
      <c r="A634" s="112"/>
      <c r="L634" s="111"/>
    </row>
    <row r="635" spans="1:12" ht="15.6">
      <c r="A635" s="112"/>
      <c r="L635" s="111"/>
    </row>
    <row r="636" spans="1:12" ht="15.6">
      <c r="A636" s="112"/>
      <c r="L636" s="111"/>
    </row>
    <row r="637" spans="1:12" ht="15.6">
      <c r="A637" s="112"/>
      <c r="L637" s="111"/>
    </row>
    <row r="638" spans="1:12" ht="15.6">
      <c r="A638" s="112"/>
      <c r="L638" s="111"/>
    </row>
    <row r="639" spans="1:12" ht="15.6">
      <c r="A639" s="112"/>
      <c r="L639" s="111"/>
    </row>
    <row r="640" spans="1:12" ht="15.6">
      <c r="A640" s="112"/>
      <c r="L640" s="111"/>
    </row>
    <row r="641" spans="1:12" ht="15.6">
      <c r="A641" s="112"/>
      <c r="L641" s="111"/>
    </row>
    <row r="642" spans="1:12" ht="15.6">
      <c r="A642" s="112"/>
      <c r="L642" s="111"/>
    </row>
    <row r="643" spans="1:12" ht="15.6">
      <c r="A643" s="112"/>
      <c r="L643" s="111"/>
    </row>
    <row r="644" spans="1:12" ht="15.6">
      <c r="A644" s="112"/>
      <c r="L644" s="111"/>
    </row>
    <row r="645" spans="1:12" ht="15.6">
      <c r="A645" s="112"/>
      <c r="L645" s="111"/>
    </row>
    <row r="646" spans="1:12" ht="15.6">
      <c r="A646" s="112"/>
      <c r="L646" s="111"/>
    </row>
    <row r="647" spans="1:12" ht="15.6">
      <c r="A647" s="112"/>
      <c r="L647" s="111"/>
    </row>
    <row r="648" spans="1:12" ht="15.6">
      <c r="A648" s="112"/>
      <c r="L648" s="111"/>
    </row>
    <row r="649" spans="1:12" ht="15.6">
      <c r="A649" s="112"/>
      <c r="L649" s="111"/>
    </row>
    <row r="650" spans="1:12" ht="15.6">
      <c r="A650" s="112"/>
      <c r="L650" s="111"/>
    </row>
    <row r="651" spans="1:12" ht="15.6">
      <c r="A651" s="112"/>
      <c r="L651" s="111"/>
    </row>
    <row r="652" spans="1:12" ht="15.6">
      <c r="A652" s="112"/>
      <c r="L652" s="111"/>
    </row>
    <row r="653" spans="1:12" ht="15.6">
      <c r="A653" s="112"/>
      <c r="L653" s="111"/>
    </row>
    <row r="654" spans="1:12" ht="15.6">
      <c r="A654" s="112"/>
      <c r="L654" s="111"/>
    </row>
    <row r="655" spans="1:12" ht="15.6">
      <c r="A655" s="112"/>
      <c r="L655" s="111"/>
    </row>
    <row r="656" spans="1:12" ht="15.6">
      <c r="A656" s="112"/>
      <c r="L656" s="111"/>
    </row>
    <row r="657" spans="1:12" ht="15.6">
      <c r="A657" s="112"/>
      <c r="L657" s="111"/>
    </row>
    <row r="658" spans="1:12" ht="15.6">
      <c r="A658" s="112"/>
      <c r="L658" s="111"/>
    </row>
    <row r="659" spans="1:12" ht="15.6">
      <c r="A659" s="112"/>
      <c r="L659" s="111"/>
    </row>
    <row r="660" spans="1:12" ht="15.6">
      <c r="A660" s="112"/>
      <c r="L660" s="111"/>
    </row>
    <row r="661" spans="1:12" ht="15.6">
      <c r="A661" s="112"/>
      <c r="L661" s="111"/>
    </row>
    <row r="662" spans="1:12" ht="15.6">
      <c r="A662" s="112"/>
      <c r="L662" s="111"/>
    </row>
    <row r="663" spans="1:12" ht="15.6">
      <c r="A663" s="112"/>
      <c r="L663" s="111"/>
    </row>
    <row r="664" spans="1:12" ht="15.6">
      <c r="A664" s="112"/>
      <c r="L664" s="111"/>
    </row>
    <row r="665" spans="1:12" ht="15.6">
      <c r="A665" s="112"/>
      <c r="L665" s="111"/>
    </row>
    <row r="666" spans="1:12" ht="15.6">
      <c r="A666" s="112"/>
      <c r="L666" s="111"/>
    </row>
    <row r="667" spans="1:12" ht="15.6">
      <c r="A667" s="112"/>
      <c r="L667" s="111"/>
    </row>
    <row r="668" spans="1:12" ht="15.6">
      <c r="A668" s="112"/>
      <c r="L668" s="111"/>
    </row>
    <row r="669" spans="1:12" ht="15.6">
      <c r="A669" s="112"/>
      <c r="L669" s="111"/>
    </row>
    <row r="670" spans="1:12" ht="15.6">
      <c r="A670" s="112"/>
      <c r="L670" s="111"/>
    </row>
    <row r="671" spans="1:12" ht="15.6">
      <c r="A671" s="112"/>
      <c r="L671" s="111"/>
    </row>
    <row r="672" spans="1:12" ht="15.6">
      <c r="A672" s="112"/>
      <c r="L672" s="111"/>
    </row>
    <row r="673" spans="1:12" ht="15.6">
      <c r="A673" s="112"/>
      <c r="L673" s="111"/>
    </row>
    <row r="674" spans="1:12" ht="15.6">
      <c r="A674" s="112"/>
      <c r="L674" s="111"/>
    </row>
    <row r="675" spans="1:12" ht="15.6">
      <c r="A675" s="112"/>
      <c r="L675" s="111"/>
    </row>
    <row r="676" spans="1:12" ht="15.6">
      <c r="A676" s="112"/>
      <c r="L676" s="111"/>
    </row>
    <row r="677" spans="1:12" ht="15.6">
      <c r="A677" s="112"/>
      <c r="L677" s="111"/>
    </row>
    <row r="678" spans="1:12" ht="15.6">
      <c r="A678" s="112"/>
      <c r="L678" s="111"/>
    </row>
    <row r="679" spans="1:12" ht="15.6">
      <c r="A679" s="112"/>
      <c r="L679" s="111"/>
    </row>
    <row r="680" spans="1:12" ht="15.6">
      <c r="A680" s="112"/>
      <c r="L680" s="111"/>
    </row>
    <row r="681" spans="1:12" ht="15.6">
      <c r="A681" s="112"/>
      <c r="L681" s="111"/>
    </row>
    <row r="682" spans="1:12" ht="15.6">
      <c r="A682" s="112"/>
      <c r="L682" s="111"/>
    </row>
    <row r="683" spans="1:12" ht="15.6">
      <c r="A683" s="112"/>
      <c r="L683" s="111"/>
    </row>
    <row r="684" spans="1:12" ht="15.6">
      <c r="A684" s="112"/>
      <c r="L684" s="111"/>
    </row>
    <row r="685" spans="1:12" ht="15.6">
      <c r="A685" s="112"/>
      <c r="L685" s="111"/>
    </row>
    <row r="686" spans="1:12" ht="15.6">
      <c r="A686" s="112"/>
      <c r="L686" s="111"/>
    </row>
    <row r="687" spans="1:12" ht="15.6">
      <c r="A687" s="112"/>
      <c r="L687" s="111"/>
    </row>
    <row r="688" spans="1:12" ht="15.6">
      <c r="A688" s="112"/>
      <c r="L688" s="111"/>
    </row>
    <row r="689" spans="1:12" ht="15.6">
      <c r="A689" s="112"/>
      <c r="L689" s="111"/>
    </row>
    <row r="690" spans="1:12" ht="15.6">
      <c r="A690" s="112"/>
      <c r="L690" s="111"/>
    </row>
    <row r="691" spans="1:12" ht="15.6">
      <c r="A691" s="112"/>
      <c r="L691" s="111"/>
    </row>
    <row r="692" spans="1:12" ht="15.6">
      <c r="A692" s="112"/>
      <c r="L692" s="111"/>
    </row>
    <row r="693" spans="1:12" ht="15.6">
      <c r="A693" s="112"/>
      <c r="L693" s="111"/>
    </row>
    <row r="694" spans="1:12" ht="15.6">
      <c r="A694" s="112"/>
      <c r="L694" s="111"/>
    </row>
    <row r="695" spans="1:12" ht="15.6">
      <c r="A695" s="112"/>
      <c r="L695" s="111"/>
    </row>
    <row r="696" spans="1:12" ht="15.6">
      <c r="A696" s="112"/>
      <c r="L696" s="111"/>
    </row>
    <row r="697" spans="1:12" ht="15.6">
      <c r="A697" s="112"/>
      <c r="L697" s="111"/>
    </row>
    <row r="698" spans="1:12" ht="15.6">
      <c r="A698" s="112"/>
      <c r="L698" s="111"/>
    </row>
    <row r="699" spans="1:12" ht="15.6">
      <c r="A699" s="112"/>
      <c r="L699" s="111"/>
    </row>
    <row r="700" spans="1:12" ht="15.6">
      <c r="A700" s="112"/>
      <c r="L700" s="111"/>
    </row>
    <row r="701" spans="1:12" ht="15.6">
      <c r="A701" s="112"/>
      <c r="L701" s="111"/>
    </row>
    <row r="702" spans="1:12" ht="15.6">
      <c r="A702" s="112"/>
      <c r="L702" s="111"/>
    </row>
    <row r="703" spans="1:12" ht="15.6">
      <c r="A703" s="112"/>
      <c r="L703" s="111"/>
    </row>
    <row r="704" spans="1:12" ht="15.6">
      <c r="A704" s="112"/>
      <c r="L704" s="111"/>
    </row>
    <row r="705" spans="1:12" ht="15.6">
      <c r="A705" s="112"/>
      <c r="L705" s="111"/>
    </row>
    <row r="706" spans="1:12" ht="15.6">
      <c r="A706" s="112"/>
      <c r="L706" s="111"/>
    </row>
    <row r="707" spans="1:12" ht="15.6">
      <c r="A707" s="112"/>
      <c r="L707" s="111"/>
    </row>
    <row r="708" spans="1:12" ht="15.6">
      <c r="A708" s="112"/>
      <c r="L708" s="111"/>
    </row>
    <row r="709" spans="1:12" ht="15.6">
      <c r="A709" s="112"/>
      <c r="L709" s="111"/>
    </row>
    <row r="710" spans="1:12" ht="15.6">
      <c r="A710" s="112"/>
      <c r="L710" s="111"/>
    </row>
    <row r="711" spans="1:12" ht="15.6">
      <c r="A711" s="112"/>
      <c r="L711" s="111"/>
    </row>
    <row r="712" spans="1:12" ht="15.6">
      <c r="A712" s="112"/>
      <c r="L712" s="111"/>
    </row>
    <row r="713" spans="1:12" ht="15.6">
      <c r="A713" s="112"/>
      <c r="L713" s="111"/>
    </row>
    <row r="714" spans="1:12" ht="15.6">
      <c r="A714" s="112"/>
      <c r="L714" s="111"/>
    </row>
    <row r="715" spans="1:12" ht="15.6">
      <c r="A715" s="112"/>
      <c r="L715" s="111"/>
    </row>
    <row r="716" spans="1:12" ht="15.6">
      <c r="A716" s="112"/>
      <c r="L716" s="111"/>
    </row>
    <row r="717" spans="1:12" ht="15.6">
      <c r="A717" s="112"/>
      <c r="L717" s="111"/>
    </row>
    <row r="718" spans="1:12" ht="15.6">
      <c r="A718" s="112"/>
      <c r="L718" s="111"/>
    </row>
    <row r="719" spans="1:12" ht="15.6">
      <c r="A719" s="112"/>
      <c r="L719" s="111"/>
    </row>
    <row r="720" spans="1:12" ht="15.6">
      <c r="A720" s="112"/>
      <c r="L720" s="111"/>
    </row>
    <row r="721" spans="1:12" ht="15.6">
      <c r="A721" s="112"/>
      <c r="L721" s="111"/>
    </row>
    <row r="722" spans="1:12" ht="15.6">
      <c r="A722" s="112"/>
      <c r="L722" s="111"/>
    </row>
    <row r="723" spans="1:12" ht="15.6">
      <c r="A723" s="112"/>
      <c r="L723" s="111"/>
    </row>
    <row r="724" spans="1:12" ht="15.6">
      <c r="A724" s="112"/>
      <c r="L724" s="111"/>
    </row>
    <row r="725" spans="1:12" ht="15.6">
      <c r="A725" s="112"/>
      <c r="L725" s="111"/>
    </row>
    <row r="726" spans="1:12" ht="15.6">
      <c r="A726" s="112"/>
      <c r="L726" s="111"/>
    </row>
    <row r="727" spans="1:12" ht="15.6">
      <c r="A727" s="112"/>
      <c r="L727" s="111"/>
    </row>
    <row r="728" spans="1:12" ht="15.6">
      <c r="A728" s="112"/>
      <c r="L728" s="111"/>
    </row>
    <row r="729" spans="1:12" ht="15.6">
      <c r="A729" s="112"/>
      <c r="L729" s="111"/>
    </row>
    <row r="730" spans="1:12" ht="15.6">
      <c r="A730" s="112"/>
      <c r="L730" s="111"/>
    </row>
    <row r="731" spans="1:12" ht="15.6">
      <c r="A731" s="112"/>
      <c r="L731" s="111"/>
    </row>
    <row r="732" spans="1:12" ht="15.6">
      <c r="A732" s="112"/>
      <c r="L732" s="111"/>
    </row>
    <row r="733" spans="1:12" ht="15.6">
      <c r="A733" s="112"/>
      <c r="L733" s="111"/>
    </row>
    <row r="734" spans="1:12" ht="15.6">
      <c r="A734" s="112"/>
      <c r="L734" s="111"/>
    </row>
    <row r="735" spans="1:12" ht="15.6">
      <c r="A735" s="112"/>
      <c r="L735" s="111"/>
    </row>
    <row r="736" spans="1:12" ht="15.6">
      <c r="A736" s="112"/>
      <c r="L736" s="111"/>
    </row>
    <row r="737" spans="1:12" ht="15.6">
      <c r="A737" s="112"/>
      <c r="L737" s="111"/>
    </row>
    <row r="738" spans="1:12" ht="15.6">
      <c r="A738" s="112"/>
      <c r="L738" s="111"/>
    </row>
    <row r="739" spans="1:12" ht="15.6">
      <c r="A739" s="112"/>
      <c r="L739" s="111"/>
    </row>
    <row r="740" spans="1:12" ht="15.6">
      <c r="A740" s="112"/>
      <c r="L740" s="111"/>
    </row>
    <row r="741" spans="1:12" ht="15.6">
      <c r="A741" s="112"/>
      <c r="L741" s="111"/>
    </row>
    <row r="742" spans="1:12" ht="15.6">
      <c r="A742" s="112"/>
      <c r="L742" s="111"/>
    </row>
    <row r="743" spans="1:12" ht="15.6">
      <c r="A743" s="112"/>
      <c r="L743" s="111"/>
    </row>
    <row r="744" spans="1:12" ht="15.6">
      <c r="A744" s="112"/>
      <c r="L744" s="111"/>
    </row>
    <row r="745" spans="1:12" ht="15.6">
      <c r="A745" s="112"/>
      <c r="L745" s="111"/>
    </row>
    <row r="746" spans="1:12" ht="15.6">
      <c r="A746" s="112"/>
      <c r="L746" s="111"/>
    </row>
    <row r="747" spans="1:12" ht="15.6">
      <c r="A747" s="112"/>
      <c r="L747" s="111"/>
    </row>
    <row r="748" spans="1:12" ht="15.6">
      <c r="A748" s="112"/>
      <c r="L748" s="111"/>
    </row>
    <row r="749" spans="1:12" ht="15.6">
      <c r="A749" s="112"/>
      <c r="L749" s="111"/>
    </row>
    <row r="750" spans="1:12" ht="15.6">
      <c r="A750" s="112"/>
      <c r="L750" s="111"/>
    </row>
    <row r="751" spans="1:12" ht="15.6">
      <c r="A751" s="112"/>
      <c r="L751" s="111"/>
    </row>
    <row r="752" spans="1:12" ht="15.6">
      <c r="A752" s="112"/>
      <c r="L752" s="111"/>
    </row>
    <row r="753" spans="1:12" ht="15.6">
      <c r="A753" s="112"/>
      <c r="L753" s="111"/>
    </row>
    <row r="754" spans="1:12" ht="15.6">
      <c r="A754" s="112"/>
      <c r="L754" s="111"/>
    </row>
    <row r="755" spans="1:12" ht="15.6">
      <c r="A755" s="112"/>
      <c r="L755" s="111"/>
    </row>
    <row r="756" spans="1:12" ht="15.6">
      <c r="A756" s="112"/>
      <c r="L756" s="111"/>
    </row>
    <row r="757" spans="1:12" ht="15.6">
      <c r="A757" s="112"/>
      <c r="L757" s="111"/>
    </row>
    <row r="758" spans="1:12" ht="15.6">
      <c r="A758" s="112"/>
      <c r="L758" s="111"/>
    </row>
    <row r="759" spans="1:12" ht="15.6">
      <c r="A759" s="112"/>
      <c r="L759" s="111"/>
    </row>
    <row r="760" spans="1:12" ht="15.6">
      <c r="A760" s="112"/>
      <c r="L760" s="111"/>
    </row>
    <row r="761" spans="1:12" ht="15.6">
      <c r="A761" s="112"/>
      <c r="L761" s="111"/>
    </row>
    <row r="762" spans="1:12" ht="15.6">
      <c r="A762" s="112"/>
      <c r="L762" s="111"/>
    </row>
    <row r="763" spans="1:12" ht="15.6">
      <c r="A763" s="112"/>
      <c r="L763" s="111"/>
    </row>
    <row r="764" spans="1:12" ht="15.6">
      <c r="A764" s="112"/>
      <c r="L764" s="111"/>
    </row>
    <row r="765" spans="1:12" ht="15.6">
      <c r="A765" s="112"/>
      <c r="L765" s="111"/>
    </row>
    <row r="766" spans="1:12" ht="15.6">
      <c r="A766" s="112"/>
      <c r="L766" s="111"/>
    </row>
    <row r="767" spans="1:12" ht="15.6">
      <c r="A767" s="112"/>
      <c r="L767" s="111"/>
    </row>
    <row r="768" spans="1:12" ht="15.6">
      <c r="A768" s="112"/>
      <c r="L768" s="111"/>
    </row>
    <row r="769" spans="1:12" ht="15.6">
      <c r="A769" s="112"/>
      <c r="L769" s="111"/>
    </row>
    <row r="770" spans="1:12" ht="15.6">
      <c r="A770" s="112"/>
      <c r="L770" s="111"/>
    </row>
    <row r="771" spans="1:12" ht="15.6">
      <c r="A771" s="112"/>
      <c r="L771" s="111"/>
    </row>
    <row r="772" spans="1:12" ht="15.6">
      <c r="A772" s="112"/>
      <c r="L772" s="111"/>
    </row>
    <row r="773" spans="1:12" ht="15.6">
      <c r="A773" s="112"/>
      <c r="L773" s="111"/>
    </row>
    <row r="774" spans="1:12" ht="15.6">
      <c r="A774" s="112"/>
      <c r="L774" s="111"/>
    </row>
    <row r="775" spans="1:12" ht="15.6">
      <c r="A775" s="112"/>
      <c r="L775" s="111"/>
    </row>
    <row r="776" spans="1:12" ht="15.6">
      <c r="A776" s="112"/>
      <c r="L776" s="111"/>
    </row>
    <row r="777" spans="1:12" ht="15.6">
      <c r="A777" s="112"/>
      <c r="L777" s="111"/>
    </row>
    <row r="778" spans="1:12" ht="15.6">
      <c r="A778" s="112"/>
      <c r="L778" s="111"/>
    </row>
    <row r="779" spans="1:12" ht="15.6">
      <c r="A779" s="112"/>
      <c r="L779" s="111"/>
    </row>
    <row r="780" spans="1:12" ht="15.6">
      <c r="A780" s="112"/>
      <c r="L780" s="111"/>
    </row>
    <row r="781" spans="1:12" ht="15.6">
      <c r="A781" s="112"/>
      <c r="L781" s="111"/>
    </row>
    <row r="782" spans="1:12" ht="15.6">
      <c r="A782" s="112"/>
      <c r="L782" s="111"/>
    </row>
    <row r="783" spans="1:12" ht="15.6">
      <c r="A783" s="112"/>
      <c r="L783" s="111"/>
    </row>
    <row r="784" spans="1:12" ht="15.6">
      <c r="A784" s="112"/>
      <c r="L784" s="111"/>
    </row>
    <row r="785" spans="1:12" ht="15.6">
      <c r="A785" s="112"/>
      <c r="L785" s="111"/>
    </row>
    <row r="786" spans="1:12" ht="15.6">
      <c r="A786" s="112"/>
      <c r="L786" s="111"/>
    </row>
    <row r="787" spans="1:12" ht="15.6">
      <c r="A787" s="112"/>
      <c r="L787" s="111"/>
    </row>
    <row r="788" spans="1:12" ht="15.6">
      <c r="A788" s="112"/>
      <c r="L788" s="111"/>
    </row>
    <row r="789" spans="1:12" ht="15.6">
      <c r="A789" s="112"/>
      <c r="L789" s="111"/>
    </row>
    <row r="790" spans="1:12" ht="15.6">
      <c r="A790" s="112"/>
      <c r="L790" s="111"/>
    </row>
    <row r="791" spans="1:12" ht="15.6">
      <c r="A791" s="112"/>
      <c r="L791" s="111"/>
    </row>
    <row r="792" spans="1:12" ht="15.6">
      <c r="A792" s="112"/>
      <c r="L792" s="111"/>
    </row>
    <row r="793" spans="1:12" ht="15.6">
      <c r="A793" s="112"/>
      <c r="L793" s="111"/>
    </row>
    <row r="794" spans="1:12" ht="15.6">
      <c r="A794" s="112"/>
      <c r="L794" s="111"/>
    </row>
    <row r="795" spans="1:12" ht="15.6">
      <c r="A795" s="112"/>
      <c r="L795" s="111"/>
    </row>
    <row r="796" spans="1:12" ht="15.6">
      <c r="A796" s="112"/>
      <c r="L796" s="111"/>
    </row>
    <row r="797" spans="1:12" ht="15.6">
      <c r="A797" s="112"/>
      <c r="L797" s="111"/>
    </row>
    <row r="798" spans="1:12" ht="15.6">
      <c r="A798" s="112"/>
      <c r="L798" s="111"/>
    </row>
    <row r="799" spans="1:12" ht="15.6">
      <c r="A799" s="112"/>
      <c r="L799" s="111"/>
    </row>
    <row r="800" spans="1:12" ht="15.6">
      <c r="A800" s="112"/>
      <c r="L800" s="111"/>
    </row>
    <row r="801" spans="1:12" ht="15.6">
      <c r="A801" s="112"/>
      <c r="L801" s="111"/>
    </row>
    <row r="802" spans="1:12" ht="15.6">
      <c r="A802" s="112"/>
      <c r="L802" s="111"/>
    </row>
    <row r="803" spans="1:12" ht="15.6">
      <c r="A803" s="112"/>
      <c r="L803" s="111"/>
    </row>
    <row r="804" spans="1:12" ht="15.6">
      <c r="A804" s="112"/>
      <c r="L804" s="111"/>
    </row>
    <row r="805" spans="1:12" ht="15.6">
      <c r="A805" s="112"/>
      <c r="L805" s="111"/>
    </row>
    <row r="806" spans="1:12" ht="15.6">
      <c r="A806" s="112"/>
      <c r="L806" s="111"/>
    </row>
    <row r="807" spans="1:12" ht="15.6">
      <c r="A807" s="112"/>
      <c r="L807" s="111"/>
    </row>
    <row r="808" spans="1:12" ht="15.6">
      <c r="A808" s="112"/>
      <c r="L808" s="111"/>
    </row>
    <row r="809" spans="1:12" ht="15.6">
      <c r="A809" s="112"/>
      <c r="L809" s="111"/>
    </row>
    <row r="810" spans="1:12" ht="15.6">
      <c r="A810" s="112"/>
      <c r="L810" s="111"/>
    </row>
    <row r="811" spans="1:12" ht="15.6">
      <c r="A811" s="112"/>
      <c r="L811" s="111"/>
    </row>
    <row r="812" spans="1:12" ht="15.6">
      <c r="A812" s="112"/>
      <c r="L812" s="111"/>
    </row>
    <row r="813" spans="1:12" ht="15.6">
      <c r="A813" s="112"/>
      <c r="L813" s="111"/>
    </row>
    <row r="814" spans="1:12" ht="15.6">
      <c r="A814" s="112"/>
      <c r="L814" s="111"/>
    </row>
    <row r="815" spans="1:12" ht="15.6">
      <c r="A815" s="112"/>
      <c r="L815" s="111"/>
    </row>
    <row r="816" spans="1:12" ht="15.6">
      <c r="A816" s="112"/>
      <c r="L816" s="111"/>
    </row>
    <row r="817" spans="1:12" ht="15.6">
      <c r="A817" s="112"/>
      <c r="L817" s="111"/>
    </row>
    <row r="818" spans="1:12" ht="15.6">
      <c r="A818" s="112"/>
      <c r="L818" s="111"/>
    </row>
    <row r="819" spans="1:12" ht="15.6">
      <c r="A819" s="112"/>
      <c r="L819" s="111"/>
    </row>
    <row r="820" spans="1:12" ht="15.6">
      <c r="A820" s="112"/>
      <c r="L820" s="111"/>
    </row>
    <row r="821" spans="1:12" ht="15.6">
      <c r="A821" s="112"/>
      <c r="L821" s="111"/>
    </row>
    <row r="822" spans="1:12" ht="15.6">
      <c r="A822" s="112"/>
      <c r="L822" s="111"/>
    </row>
    <row r="823" spans="1:12" ht="15.6">
      <c r="A823" s="112"/>
      <c r="L823" s="111"/>
    </row>
    <row r="824" spans="1:12" ht="15.6">
      <c r="A824" s="112"/>
      <c r="L824" s="111"/>
    </row>
    <row r="825" spans="1:12" ht="15.6">
      <c r="A825" s="112"/>
      <c r="L825" s="111"/>
    </row>
    <row r="826" spans="1:12" ht="15.6">
      <c r="A826" s="112"/>
      <c r="L826" s="111"/>
    </row>
    <row r="827" spans="1:12" ht="15.6">
      <c r="A827" s="112"/>
      <c r="L827" s="111"/>
    </row>
    <row r="828" spans="1:12" ht="15.6">
      <c r="A828" s="112"/>
      <c r="L828" s="111"/>
    </row>
    <row r="829" spans="1:12" ht="15.6">
      <c r="A829" s="112"/>
      <c r="L829" s="111"/>
    </row>
    <row r="830" spans="1:12" ht="15.6">
      <c r="A830" s="112"/>
      <c r="L830" s="111"/>
    </row>
    <row r="831" spans="1:12" ht="15.6">
      <c r="A831" s="112"/>
      <c r="L831" s="111"/>
    </row>
    <row r="832" spans="1:12" ht="15.6">
      <c r="A832" s="112"/>
      <c r="L832" s="111"/>
    </row>
    <row r="833" spans="1:12" ht="15.6">
      <c r="A833" s="112"/>
      <c r="L833" s="111"/>
    </row>
    <row r="834" spans="1:12" ht="15.6">
      <c r="A834" s="112"/>
      <c r="L834" s="111"/>
    </row>
    <row r="835" spans="1:12" ht="15.6">
      <c r="A835" s="112"/>
      <c r="L835" s="111"/>
    </row>
    <row r="836" spans="1:12" ht="15.6">
      <c r="A836" s="112"/>
      <c r="L836" s="111"/>
    </row>
    <row r="837" spans="1:12" ht="15.6">
      <c r="A837" s="112"/>
      <c r="L837" s="111"/>
    </row>
    <row r="838" spans="1:12" ht="15.6">
      <c r="A838" s="112"/>
      <c r="L838" s="111"/>
    </row>
    <row r="839" spans="1:12" ht="15.6">
      <c r="A839" s="112"/>
      <c r="L839" s="111"/>
    </row>
    <row r="840" spans="1:12" ht="15.6">
      <c r="A840" s="112"/>
      <c r="L840" s="111"/>
    </row>
    <row r="841" spans="1:12" ht="15.6">
      <c r="A841" s="112"/>
      <c r="L841" s="111"/>
    </row>
    <row r="842" spans="1:12" ht="15.6">
      <c r="A842" s="112"/>
      <c r="L842" s="111"/>
    </row>
    <row r="843" spans="1:12" ht="15.6">
      <c r="A843" s="112"/>
      <c r="L843" s="111"/>
    </row>
    <row r="844" spans="1:12" ht="15.6">
      <c r="A844" s="112"/>
      <c r="L844" s="111"/>
    </row>
    <row r="845" spans="1:12" ht="15.6">
      <c r="A845" s="112"/>
      <c r="L845" s="111"/>
    </row>
    <row r="846" spans="1:12" ht="15.6">
      <c r="A846" s="112"/>
      <c r="L846" s="111"/>
    </row>
    <row r="847" spans="1:12" ht="15.6">
      <c r="A847" s="112"/>
      <c r="L847" s="111"/>
    </row>
    <row r="848" spans="1:12" ht="15.6">
      <c r="A848" s="112"/>
      <c r="L848" s="111"/>
    </row>
    <row r="849" spans="1:12" ht="15.6">
      <c r="A849" s="112"/>
      <c r="L849" s="111"/>
    </row>
    <row r="850" spans="1:12" ht="15.6">
      <c r="A850" s="112"/>
      <c r="L850" s="111"/>
    </row>
    <row r="851" spans="1:12" ht="15.6">
      <c r="A851" s="112"/>
      <c r="L851" s="111"/>
    </row>
    <row r="852" spans="1:12" ht="15.6">
      <c r="A852" s="112"/>
      <c r="L852" s="111"/>
    </row>
    <row r="853" spans="1:12" ht="15.6">
      <c r="A853" s="112"/>
      <c r="L853" s="111"/>
    </row>
    <row r="854" spans="1:12" ht="15.6">
      <c r="A854" s="112"/>
      <c r="L854" s="111"/>
    </row>
    <row r="855" spans="1:12" ht="15.6">
      <c r="A855" s="112"/>
      <c r="L855" s="111"/>
    </row>
    <row r="856" spans="1:12" ht="15.6">
      <c r="A856" s="112"/>
      <c r="L856" s="111"/>
    </row>
    <row r="857" spans="1:12" ht="15.6">
      <c r="A857" s="112"/>
      <c r="L857" s="111"/>
    </row>
    <row r="858" spans="1:12" ht="15.6">
      <c r="A858" s="112"/>
      <c r="L858" s="111"/>
    </row>
    <row r="859" spans="1:12" ht="15.6">
      <c r="A859" s="112"/>
      <c r="L859" s="111"/>
    </row>
    <row r="860" spans="1:12" ht="15.6">
      <c r="A860" s="112"/>
      <c r="L860" s="111"/>
    </row>
    <row r="861" spans="1:12" ht="15.6">
      <c r="A861" s="112"/>
      <c r="L861" s="111"/>
    </row>
    <row r="862" spans="1:12" ht="15.6">
      <c r="A862" s="112"/>
      <c r="L862" s="111"/>
    </row>
    <row r="863" spans="1:12" ht="15.6">
      <c r="A863" s="112"/>
      <c r="L863" s="111"/>
    </row>
    <row r="864" spans="1:12" ht="15.6">
      <c r="A864" s="112"/>
      <c r="L864" s="111"/>
    </row>
    <row r="865" spans="1:12" ht="15.6">
      <c r="A865" s="112"/>
      <c r="L865" s="111"/>
    </row>
    <row r="866" spans="1:12" ht="15.6">
      <c r="A866" s="112"/>
      <c r="L866" s="111"/>
    </row>
    <row r="867" spans="1:12" ht="15.6">
      <c r="A867" s="112"/>
      <c r="L867" s="111"/>
    </row>
    <row r="868" spans="1:12" ht="15.6">
      <c r="A868" s="112"/>
      <c r="L868" s="111"/>
    </row>
    <row r="869" spans="1:12" ht="15.6">
      <c r="A869" s="112"/>
      <c r="L869" s="111"/>
    </row>
    <row r="870" spans="1:12" ht="15.6">
      <c r="A870" s="112"/>
      <c r="L870" s="111"/>
    </row>
    <row r="871" spans="1:12" ht="15.6">
      <c r="A871" s="112"/>
      <c r="L871" s="111"/>
    </row>
    <row r="872" spans="1:12" ht="15.6">
      <c r="A872" s="112"/>
      <c r="L872" s="111"/>
    </row>
    <row r="873" spans="1:12" ht="15.6">
      <c r="A873" s="112"/>
      <c r="L873" s="111"/>
    </row>
    <row r="874" spans="1:12" ht="15.6">
      <c r="A874" s="112"/>
      <c r="L874" s="111"/>
    </row>
    <row r="875" spans="1:12" ht="15.6">
      <c r="A875" s="112"/>
      <c r="L875" s="111"/>
    </row>
    <row r="876" spans="1:12" ht="15.6">
      <c r="A876" s="112"/>
      <c r="L876" s="111"/>
    </row>
    <row r="877" spans="1:12" ht="15.6">
      <c r="A877" s="112"/>
      <c r="L877" s="111"/>
    </row>
    <row r="878" spans="1:12" ht="15.6">
      <c r="A878" s="112"/>
      <c r="L878" s="111"/>
    </row>
    <row r="879" spans="1:12" ht="15.6">
      <c r="A879" s="112"/>
      <c r="L879" s="111"/>
    </row>
    <row r="880" spans="1:12" ht="15.6">
      <c r="A880" s="112"/>
      <c r="L880" s="111"/>
    </row>
    <row r="881" spans="1:12" ht="15.6">
      <c r="A881" s="112"/>
      <c r="L881" s="111"/>
    </row>
    <row r="882" spans="1:12" ht="15.6">
      <c r="A882" s="112"/>
      <c r="L882" s="111"/>
    </row>
    <row r="883" spans="1:12" ht="15.6">
      <c r="A883" s="112"/>
      <c r="L883" s="111"/>
    </row>
    <row r="884" spans="1:12" ht="15.6">
      <c r="A884" s="112"/>
      <c r="L884" s="111"/>
    </row>
    <row r="885" spans="1:12" ht="15.6">
      <c r="A885" s="112"/>
      <c r="L885" s="111"/>
    </row>
    <row r="886" spans="1:12" ht="15.6">
      <c r="A886" s="112"/>
      <c r="L886" s="111"/>
    </row>
    <row r="887" spans="1:12" ht="15.6">
      <c r="A887" s="112"/>
      <c r="L887" s="111"/>
    </row>
    <row r="888" spans="1:12" ht="15.6">
      <c r="A888" s="112"/>
      <c r="L888" s="111"/>
    </row>
    <row r="889" spans="1:12" ht="15.6">
      <c r="A889" s="112"/>
      <c r="L889" s="111"/>
    </row>
    <row r="890" spans="1:12" ht="15.6">
      <c r="A890" s="112"/>
      <c r="L890" s="111"/>
    </row>
    <row r="891" spans="1:12" ht="15.6">
      <c r="A891" s="112"/>
      <c r="L891" s="111"/>
    </row>
    <row r="892" spans="1:12" ht="15.6">
      <c r="A892" s="112"/>
      <c r="L892" s="111"/>
    </row>
    <row r="893" spans="1:12" ht="15.6">
      <c r="A893" s="112"/>
      <c r="L893" s="111"/>
    </row>
    <row r="894" spans="1:12" ht="15.6">
      <c r="A894" s="112"/>
      <c r="L894" s="111"/>
    </row>
    <row r="895" spans="1:12" ht="15.6">
      <c r="A895" s="112"/>
      <c r="L895" s="111"/>
    </row>
    <row r="896" spans="1:12" ht="15.6">
      <c r="A896" s="112"/>
      <c r="L896" s="111"/>
    </row>
    <row r="897" spans="1:12" ht="15.6">
      <c r="A897" s="112"/>
      <c r="L897" s="111"/>
    </row>
    <row r="898" spans="1:12" ht="15.6">
      <c r="A898" s="112"/>
      <c r="L898" s="111"/>
    </row>
    <row r="899" spans="1:12" ht="15.6">
      <c r="A899" s="112"/>
      <c r="L899" s="111"/>
    </row>
    <row r="900" spans="1:12" ht="15.6">
      <c r="A900" s="112"/>
      <c r="L900" s="111"/>
    </row>
    <row r="901" spans="1:12" ht="15.6">
      <c r="A901" s="112"/>
      <c r="L901" s="111"/>
    </row>
    <row r="902" spans="1:12" ht="15.6">
      <c r="A902" s="112"/>
      <c r="L902" s="111"/>
    </row>
    <row r="903" spans="1:12" ht="15.6">
      <c r="A903" s="112"/>
      <c r="L903" s="111"/>
    </row>
    <row r="904" spans="1:12" ht="15.6">
      <c r="A904" s="112"/>
      <c r="L904" s="111"/>
    </row>
    <row r="905" spans="1:12" ht="15.6">
      <c r="A905" s="112"/>
      <c r="L905" s="111"/>
    </row>
    <row r="906" spans="1:12" ht="15.6">
      <c r="A906" s="112"/>
      <c r="L906" s="111"/>
    </row>
    <row r="907" spans="1:12" ht="15.6">
      <c r="A907" s="112"/>
      <c r="L907" s="111"/>
    </row>
    <row r="908" spans="1:12" ht="15.6">
      <c r="A908" s="112"/>
      <c r="L908" s="111"/>
    </row>
    <row r="909" spans="1:12" ht="15.6">
      <c r="A909" s="112"/>
      <c r="L909" s="111"/>
    </row>
    <row r="910" spans="1:12" ht="15.6">
      <c r="A910" s="112"/>
      <c r="L910" s="111"/>
    </row>
    <row r="911" spans="1:12" ht="15.6">
      <c r="A911" s="112"/>
      <c r="L911" s="111"/>
    </row>
    <row r="912" spans="1:12" ht="15.6">
      <c r="A912" s="112"/>
      <c r="L912" s="111"/>
    </row>
    <row r="913" spans="1:12" ht="15.6">
      <c r="A913" s="112"/>
      <c r="L913" s="111"/>
    </row>
    <row r="914" spans="1:12" ht="15.6">
      <c r="A914" s="112"/>
      <c r="L914" s="111"/>
    </row>
    <row r="915" spans="1:12" ht="15.6">
      <c r="A915" s="112"/>
      <c r="L915" s="111"/>
    </row>
    <row r="916" spans="1:12" ht="15.6">
      <c r="A916" s="112"/>
      <c r="L916" s="111"/>
    </row>
    <row r="917" spans="1:12" ht="15.6">
      <c r="A917" s="112"/>
      <c r="L917" s="111"/>
    </row>
    <row r="918" spans="1:12" ht="15.6">
      <c r="A918" s="112"/>
      <c r="L918" s="111"/>
    </row>
    <row r="919" spans="1:12" ht="15.6">
      <c r="A919" s="112"/>
      <c r="L919" s="111"/>
    </row>
    <row r="920" spans="1:12" ht="15.6">
      <c r="A920" s="112"/>
      <c r="L920" s="111"/>
    </row>
    <row r="921" spans="1:12" ht="15.6">
      <c r="A921" s="112"/>
      <c r="L921" s="111"/>
    </row>
    <row r="922" spans="1:12" ht="15.6">
      <c r="A922" s="112"/>
      <c r="L922" s="111"/>
    </row>
    <row r="923" spans="1:12" ht="15.6">
      <c r="A923" s="112"/>
      <c r="L923" s="111"/>
    </row>
    <row r="924" spans="1:12" ht="15.6">
      <c r="A924" s="112"/>
      <c r="L924" s="111"/>
    </row>
    <row r="925" spans="1:12" ht="15.6">
      <c r="A925" s="112"/>
      <c r="L925" s="111"/>
    </row>
    <row r="926" spans="1:12" ht="15.6">
      <c r="A926" s="112"/>
      <c r="L926" s="111"/>
    </row>
    <row r="927" spans="1:12" ht="15.6">
      <c r="A927" s="112"/>
      <c r="L927" s="111"/>
    </row>
    <row r="928" spans="1:12" ht="15.6">
      <c r="A928" s="112"/>
      <c r="L928" s="111"/>
    </row>
    <row r="929" spans="1:12" ht="15.6">
      <c r="A929" s="112"/>
      <c r="L929" s="111"/>
    </row>
    <row r="930" spans="1:12" ht="15.6">
      <c r="A930" s="112"/>
      <c r="L930" s="111"/>
    </row>
    <row r="931" spans="1:12" ht="15.6">
      <c r="A931" s="112"/>
      <c r="L931" s="111"/>
    </row>
    <row r="932" spans="1:12" ht="15.6">
      <c r="A932" s="112"/>
      <c r="L932" s="111"/>
    </row>
    <row r="933" spans="1:12" ht="15.6">
      <c r="A933" s="112"/>
      <c r="L933" s="111"/>
    </row>
    <row r="934" spans="1:12" ht="15.6">
      <c r="A934" s="112"/>
      <c r="L934" s="111"/>
    </row>
    <row r="935" spans="1:12" ht="15.6">
      <c r="A935" s="112"/>
      <c r="L935" s="111"/>
    </row>
    <row r="936" spans="1:12" ht="15.6">
      <c r="A936" s="112"/>
      <c r="L936" s="111"/>
    </row>
    <row r="937" spans="1:12" ht="15.6">
      <c r="A937" s="112"/>
      <c r="L937" s="111"/>
    </row>
    <row r="938" spans="1:12" ht="15.6">
      <c r="A938" s="112"/>
      <c r="L938" s="111"/>
    </row>
    <row r="939" spans="1:12" ht="15.6">
      <c r="A939" s="112"/>
      <c r="L939" s="111"/>
    </row>
    <row r="940" spans="1:12" ht="15.6">
      <c r="A940" s="112"/>
      <c r="L940" s="111"/>
    </row>
    <row r="941" spans="1:12" ht="15.6">
      <c r="A941" s="112"/>
      <c r="L941" s="111"/>
    </row>
    <row r="942" spans="1:12" ht="15.6">
      <c r="A942" s="112"/>
      <c r="L942" s="111"/>
    </row>
    <row r="943" spans="1:12" ht="15.6">
      <c r="A943" s="112"/>
      <c r="L943" s="111"/>
    </row>
    <row r="944" spans="1:12" ht="15.6">
      <c r="A944" s="112"/>
      <c r="L944" s="111"/>
    </row>
    <row r="945" spans="1:12" ht="15.6">
      <c r="A945" s="112"/>
      <c r="L945" s="111"/>
    </row>
    <row r="946" spans="1:12" ht="15.6">
      <c r="A946" s="112"/>
      <c r="L946" s="111"/>
    </row>
    <row r="947" spans="1:12" ht="15.6">
      <c r="A947" s="112"/>
      <c r="L947" s="111"/>
    </row>
    <row r="948" spans="1:12" ht="15.6">
      <c r="A948" s="112"/>
      <c r="L948" s="111"/>
    </row>
    <row r="949" spans="1:12" ht="15.6">
      <c r="A949" s="112"/>
      <c r="L949" s="111"/>
    </row>
    <row r="950" spans="1:12" ht="15.6">
      <c r="A950" s="112"/>
      <c r="L950" s="111"/>
    </row>
    <row r="951" spans="1:12" ht="15.6">
      <c r="A951" s="112"/>
      <c r="L951" s="111"/>
    </row>
    <row r="952" spans="1:12" ht="15.6">
      <c r="A952" s="112"/>
      <c r="L952" s="111"/>
    </row>
    <row r="953" spans="1:12" ht="15.6">
      <c r="A953" s="112"/>
      <c r="L953" s="111"/>
    </row>
    <row r="954" spans="1:12" ht="15.6">
      <c r="A954" s="112"/>
      <c r="L954" s="111"/>
    </row>
    <row r="955" spans="1:12" ht="15.6">
      <c r="A955" s="112"/>
      <c r="L955" s="111"/>
    </row>
    <row r="956" spans="1:12" ht="15.6">
      <c r="A956" s="112"/>
      <c r="L956" s="111"/>
    </row>
    <row r="957" spans="1:12" ht="15.6">
      <c r="A957" s="112"/>
      <c r="L957" s="111"/>
    </row>
    <row r="958" spans="1:12" ht="15.6">
      <c r="A958" s="112"/>
      <c r="L958" s="111"/>
    </row>
    <row r="959" spans="1:12" ht="15.6">
      <c r="A959" s="112"/>
      <c r="L959" s="111"/>
    </row>
    <row r="960" spans="1:12" ht="15.6">
      <c r="A960" s="112"/>
      <c r="L960" s="111"/>
    </row>
    <row r="961" spans="1:12" ht="15.6">
      <c r="A961" s="112"/>
      <c r="L961" s="111"/>
    </row>
    <row r="962" spans="1:12" ht="15.6">
      <c r="A962" s="112"/>
      <c r="L962" s="111"/>
    </row>
    <row r="963" spans="1:12" ht="15.6">
      <c r="A963" s="112"/>
      <c r="L963" s="111"/>
    </row>
    <row r="964" spans="1:12" ht="15.6">
      <c r="A964" s="112"/>
      <c r="L964" s="111"/>
    </row>
    <row r="965" spans="1:12" ht="15.6">
      <c r="A965" s="112"/>
      <c r="L965" s="111"/>
    </row>
    <row r="966" spans="1:12" ht="15.6">
      <c r="A966" s="112"/>
      <c r="L966" s="111"/>
    </row>
    <row r="967" spans="1:12" ht="15.6">
      <c r="A967" s="112"/>
      <c r="L967" s="111"/>
    </row>
    <row r="968" spans="1:12" ht="15.6">
      <c r="A968" s="112"/>
      <c r="L968" s="111"/>
    </row>
    <row r="969" spans="1:12" ht="15.6">
      <c r="A969" s="112"/>
      <c r="L969" s="111"/>
    </row>
    <row r="970" spans="1:12" ht="15.6">
      <c r="A970" s="112"/>
      <c r="L970" s="111"/>
    </row>
    <row r="971" spans="1:12" ht="15.6">
      <c r="A971" s="112"/>
      <c r="L971" s="111"/>
    </row>
    <row r="972" spans="1:12" ht="15.6">
      <c r="A972" s="112"/>
      <c r="L972" s="111"/>
    </row>
    <row r="973" spans="1:12" ht="15.6">
      <c r="A973" s="112"/>
      <c r="L973" s="111"/>
    </row>
    <row r="974" spans="1:12" ht="15.6">
      <c r="A974" s="112"/>
      <c r="L974" s="111"/>
    </row>
    <row r="975" spans="1:12" ht="15.6">
      <c r="A975" s="112"/>
      <c r="L975" s="111"/>
    </row>
    <row r="976" spans="1:12" ht="15.6">
      <c r="A976" s="112"/>
      <c r="L976" s="111"/>
    </row>
    <row r="977" spans="1:12" ht="15.6">
      <c r="A977" s="112"/>
      <c r="L977" s="111"/>
    </row>
    <row r="978" spans="1:12" ht="15.6">
      <c r="A978" s="112"/>
      <c r="L978" s="111"/>
    </row>
    <row r="979" spans="1:12" ht="15.6">
      <c r="A979" s="112"/>
      <c r="L979" s="111"/>
    </row>
    <row r="980" spans="1:12" ht="15.6">
      <c r="A980" s="112"/>
      <c r="L980" s="111"/>
    </row>
    <row r="981" spans="1:12" ht="15.6">
      <c r="A981" s="112"/>
      <c r="L981" s="111"/>
    </row>
    <row r="982" spans="1:12" ht="15.6">
      <c r="A982" s="112"/>
      <c r="L982" s="111"/>
    </row>
    <row r="983" spans="1:12" ht="15.6">
      <c r="A983" s="112"/>
      <c r="L983" s="111"/>
    </row>
    <row r="984" spans="1:12" ht="15.6">
      <c r="A984" s="112"/>
      <c r="L984" s="111"/>
    </row>
    <row r="985" spans="1:12" ht="15.6">
      <c r="A985" s="112"/>
      <c r="L985" s="111"/>
    </row>
    <row r="986" spans="1:12" ht="15.6">
      <c r="A986" s="112"/>
      <c r="L986" s="111"/>
    </row>
    <row r="987" spans="1:12" ht="15.6">
      <c r="A987" s="112"/>
      <c r="L987" s="111"/>
    </row>
    <row r="988" spans="1:12" ht="15.6">
      <c r="A988" s="112"/>
      <c r="L988" s="111"/>
    </row>
    <row r="989" spans="1:12" ht="15.6">
      <c r="A989" s="112"/>
      <c r="L989" s="111"/>
    </row>
    <row r="990" spans="1:12" ht="15.6">
      <c r="A990" s="112"/>
      <c r="L990" s="111"/>
    </row>
    <row r="991" spans="1:12" ht="15.6">
      <c r="A991" s="112"/>
      <c r="L991" s="111"/>
    </row>
    <row r="992" spans="1:12" ht="15.6">
      <c r="A992" s="112"/>
      <c r="L992" s="111"/>
    </row>
    <row r="993" spans="1:12" ht="15.6">
      <c r="A993" s="112"/>
      <c r="L993" s="111"/>
    </row>
    <row r="994" spans="1:12" ht="15.6">
      <c r="A994" s="112"/>
      <c r="L994" s="111"/>
    </row>
    <row r="995" spans="1:12" ht="15.6">
      <c r="A995" s="112"/>
      <c r="L995" s="111"/>
    </row>
    <row r="996" spans="1:12" ht="15.6">
      <c r="A996" s="112"/>
      <c r="L996" s="111"/>
    </row>
    <row r="997" spans="1:12" ht="15.6">
      <c r="A997" s="112"/>
      <c r="L997" s="111"/>
    </row>
    <row r="998" spans="1:12" ht="15.6">
      <c r="A998" s="112"/>
      <c r="L998" s="111"/>
    </row>
    <row r="999" spans="1:12" ht="15.6">
      <c r="A999" s="112"/>
      <c r="L999" s="111"/>
    </row>
    <row r="1000" spans="1:12" ht="15.6">
      <c r="A1000" s="112"/>
      <c r="L1000" s="111"/>
    </row>
    <row r="1001" spans="1:12" ht="15.6">
      <c r="A1001" s="112"/>
      <c r="L1001" s="111"/>
    </row>
    <row r="1002" spans="1:12" ht="15.6">
      <c r="A1002" s="112"/>
      <c r="L1002" s="111"/>
    </row>
    <row r="1003" spans="1:12" ht="15.6">
      <c r="A1003" s="112"/>
      <c r="L1003" s="111"/>
    </row>
  </sheetData>
  <mergeCells count="1">
    <mergeCell ref="K64:K68"/>
  </mergeCells>
  <conditionalFormatting sqref="S59:AB59 S75:AB76">
    <cfRule type="expression" dxfId="0" priority="1">
      <formula>AND($AQ59=0, $AR59=0)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/>
  </sheetViews>
  <sheetFormatPr defaultColWidth="11.19921875" defaultRowHeight="15" customHeight="1"/>
  <cols>
    <col min="3" max="3" width="14.59765625" customWidth="1"/>
    <col min="4" max="5" width="8.19921875" customWidth="1"/>
    <col min="6" max="6" width="26.296875" customWidth="1"/>
    <col min="10" max="10" width="13.19921875" customWidth="1"/>
    <col min="12" max="12" width="15.59765625" customWidth="1"/>
  </cols>
  <sheetData>
    <row r="1" spans="1:27" ht="36">
      <c r="A1" s="121"/>
      <c r="B1" s="122" t="s">
        <v>1628</v>
      </c>
      <c r="C1" s="122" t="s">
        <v>0</v>
      </c>
      <c r="D1" s="123" t="s">
        <v>1629</v>
      </c>
      <c r="E1" s="123" t="str">
        <f ca="1">IFERROR(__xludf.DUMMYFUNCTION("UNIQUE(FILTER(PDM!$F:$G, PDM!$F:$F &lt;&gt; """"))"),"COD,.INT. PROGRAMA")</f>
        <v>COD,.INT. PROGRAMA</v>
      </c>
      <c r="F1" s="123" t="str">
        <f ca="1">IFERROR(__xludf.DUMMYFUNCTION("""COMPUTED_VALUE"""),"PROGRAMA PDT")</f>
        <v>PROGRAMA PDT</v>
      </c>
      <c r="G1" s="124" t="s">
        <v>1630</v>
      </c>
      <c r="H1" s="124" t="s">
        <v>1631</v>
      </c>
      <c r="I1" s="125" t="s">
        <v>1604</v>
      </c>
      <c r="J1" s="125" t="s">
        <v>1632</v>
      </c>
      <c r="K1" s="125" t="s">
        <v>1633</v>
      </c>
      <c r="L1" s="126" t="s">
        <v>77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 spans="1:27" ht="48">
      <c r="A2" s="121"/>
      <c r="B2" s="127">
        <v>1</v>
      </c>
      <c r="C2" s="128" t="s">
        <v>1634</v>
      </c>
      <c r="D2" s="128">
        <v>0.24</v>
      </c>
      <c r="E2" s="128">
        <f ca="1">IFERROR(__xludf.DUMMYFUNCTION("""COMPUTED_VALUE"""),1)</f>
        <v>1</v>
      </c>
      <c r="F2" s="128" t="str">
        <f ca="1">IFERROR(__xludf.DUMMYFUNCTION("""COMPUTED_VALUE"""),"Programa Integral de Sostenibilidad y Educación Ambiental (PISEA) 
(Gestión Intergal del recurso hídrico)
")</f>
        <v xml:space="preserve">Programa Integral de Sostenibilidad y Educación Ambiental (PISEA) 
(Gestión Intergal del recurso hídrico)
</v>
      </c>
      <c r="G2" s="129">
        <f t="shared" ref="G2:G35" ca="1" si="0">H2*100</f>
        <v>0.47725429963105814</v>
      </c>
      <c r="H2" s="130">
        <f t="shared" ref="H2:H35" ca="1" si="1">(D2 * I2 * J2) / SUMPRODUCT($D$2:$D$35 * $I$2:$I$35* $J$2:$J$35)</f>
        <v>4.7725429963105812E-3</v>
      </c>
      <c r="I2" s="127">
        <f ca="1">COUNTIFS(PDM!F:F, E2, PDM!S:S, "&lt;&gt;")</f>
        <v>7</v>
      </c>
      <c r="J2" s="131">
        <f t="shared" ref="J2:J35" ca="1" si="2">(L2/$L$38)*100</f>
        <v>1.2961848818264421</v>
      </c>
      <c r="K2" s="132">
        <f t="shared" ref="K2:K35" ca="1" si="3">H2/I2</f>
        <v>6.8179185661579734E-4</v>
      </c>
      <c r="L2" s="133">
        <f ca="1">SUMIF(PDM!F:F, E2, PDM!CD:CD)</f>
        <v>6252565381</v>
      </c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60">
      <c r="A3" s="121"/>
      <c r="B3" s="127">
        <v>1</v>
      </c>
      <c r="C3" s="128" t="s">
        <v>1634</v>
      </c>
      <c r="D3" s="128">
        <v>0.24</v>
      </c>
      <c r="E3" s="128">
        <f ca="1">IFERROR(__xludf.DUMMYFUNCTION("""COMPUTED_VALUE"""),2)</f>
        <v>2</v>
      </c>
      <c r="F3" s="128" t="str">
        <f ca="1">IFERROR(__xludf.DUMMYFUNCTION("""COMPUTED_VALUE"""),"Programa Integral de Transformación Urbana (PINTU)
(Ordenamiento territorial y desarrollo urbano)")</f>
        <v>Programa Integral de Transformación Urbana (PINTU)
(Ordenamiento territorial y desarrollo urbano)</v>
      </c>
      <c r="G3" s="129">
        <f t="shared" ca="1" si="0"/>
        <v>7.2090016468426055E-2</v>
      </c>
      <c r="H3" s="134">
        <f t="shared" ca="1" si="1"/>
        <v>7.209001646842606E-4</v>
      </c>
      <c r="I3" s="127">
        <f ca="1">COUNTIFS(PDM!F:F, E3, PDM!S:S, "&lt;&gt;")</f>
        <v>4</v>
      </c>
      <c r="J3" s="131">
        <f t="shared" ca="1" si="2"/>
        <v>0.34263385727724166</v>
      </c>
      <c r="K3" s="132">
        <f t="shared" ca="1" si="3"/>
        <v>1.8022504117106515E-4</v>
      </c>
      <c r="L3" s="133">
        <f ca="1">SUMIF(PDM!F:F, E3, PDM!CD:CD)</f>
        <v>1652804800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60">
      <c r="A4" s="121"/>
      <c r="B4" s="127">
        <v>1</v>
      </c>
      <c r="C4" s="128" t="s">
        <v>1634</v>
      </c>
      <c r="D4" s="128">
        <v>0.24</v>
      </c>
      <c r="E4" s="128">
        <f ca="1">IFERROR(__xludf.DUMMYFUNCTION("""COMPUTED_VALUE"""),3)</f>
        <v>3</v>
      </c>
      <c r="F4" s="128" t="str">
        <f ca="1">IFERROR(__xludf.DUMMYFUNCTION("""COMPUTED_VALUE"""),"Programa Avanzado de Gestión Territorial Inteligente (PRAGETI)
(Fortalecimiento a la gestión y dirección de la gestió pública territorial)")</f>
        <v>Programa Avanzado de Gestión Territorial Inteligente (PRAGETI)
(Fortalecimiento a la gestión y dirección de la gestió pública territorial)</v>
      </c>
      <c r="G4" s="129">
        <f t="shared" ca="1" si="0"/>
        <v>0.47579410869161198</v>
      </c>
      <c r="H4" s="131">
        <f t="shared" ca="1" si="1"/>
        <v>4.75794108691612E-3</v>
      </c>
      <c r="I4" s="127">
        <f ca="1">COUNTIFS(PDM!F:F, E4, PDM!S:S, "&lt;&gt;")</f>
        <v>8</v>
      </c>
      <c r="J4" s="131">
        <f t="shared" ca="1" si="2"/>
        <v>1.1306917290148977</v>
      </c>
      <c r="K4" s="132">
        <f t="shared" ca="1" si="3"/>
        <v>5.9474263586451501E-4</v>
      </c>
      <c r="L4" s="133">
        <f ca="1">SUMIF(PDM!F:F, E4, PDM!CD:CD)</f>
        <v>5454255840</v>
      </c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60">
      <c r="A5" s="121"/>
      <c r="B5" s="127">
        <v>1</v>
      </c>
      <c r="C5" s="128" t="s">
        <v>1634</v>
      </c>
      <c r="D5" s="128">
        <v>0.24</v>
      </c>
      <c r="E5" s="128">
        <f ca="1">IFERROR(__xludf.DUMMYFUNCTION("""COMPUTED_VALUE"""),4)</f>
        <v>4</v>
      </c>
      <c r="F5" s="128" t="str">
        <f ca="1">IFERROR(__xludf.DUMMYFUNCTION("""COMPUTED_VALUE"""),"Ordenamiento Territorial y Desarrollo Urbano Inteligente y Sostenible-OTEDUS
(Ordenamiento territorial y desarrollo urbano)")</f>
        <v>Ordenamiento Territorial y Desarrollo Urbano Inteligente y Sostenible-OTEDUS
(Ordenamiento territorial y desarrollo urbano)</v>
      </c>
      <c r="G5" s="129">
        <f t="shared" ca="1" si="0"/>
        <v>0.12541656114351557</v>
      </c>
      <c r="H5" s="131">
        <f t="shared" ca="1" si="1"/>
        <v>1.2541656114351558E-3</v>
      </c>
      <c r="I5" s="127">
        <f ca="1">COUNTIFS(PDM!F:F, E5, PDM!S:S, "&lt;&gt;")</f>
        <v>5</v>
      </c>
      <c r="J5" s="131">
        <f t="shared" ca="1" si="2"/>
        <v>0.47687002684895324</v>
      </c>
      <c r="K5" s="132">
        <f t="shared" ca="1" si="3"/>
        <v>2.5083312228703114E-4</v>
      </c>
      <c r="L5" s="133">
        <f ca="1">SUMIF(PDM!F:F, E5, PDM!CD:CD)</f>
        <v>2300336212</v>
      </c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72">
      <c r="A6" s="121"/>
      <c r="B6" s="127">
        <v>1</v>
      </c>
      <c r="C6" s="128" t="s">
        <v>1634</v>
      </c>
      <c r="D6" s="128">
        <v>0.24</v>
      </c>
      <c r="E6" s="128">
        <f ca="1">IFERROR(__xludf.DUMMYFUNCTION("""COMPUTED_VALUE"""),5)</f>
        <v>5</v>
      </c>
      <c r="F6" s="128" t="str">
        <f ca="1">IFERROR(__xludf.DUMMYFUNCTION("""COMPUTED_VALUE"""),"Programa Integral de Innovación de Servicios Públicos de Acuedcto, Alcantarillado y Aseo (PISAAA)
(Acceso de la población a los servicios de agua potable y saneamiento básico)")</f>
        <v>Programa Integral de Innovación de Servicios Públicos de Acuedcto, Alcantarillado y Aseo (PISAAA)
(Acceso de la población a los servicios de agua potable y saneamiento básico)</v>
      </c>
      <c r="G6" s="129">
        <f t="shared" ca="1" si="0"/>
        <v>7.694216243147932</v>
      </c>
      <c r="H6" s="135">
        <f t="shared" ca="1" si="1"/>
        <v>7.6942162431479319E-2</v>
      </c>
      <c r="I6" s="127">
        <f ca="1">COUNTIFS(PDM!F:F, E6, PDM!S:S, "&lt;&gt;")</f>
        <v>22</v>
      </c>
      <c r="J6" s="131">
        <f t="shared" ca="1" si="2"/>
        <v>6.6490079014165646</v>
      </c>
      <c r="K6" s="132">
        <f t="shared" ca="1" si="3"/>
        <v>3.4973710196126964E-3</v>
      </c>
      <c r="L6" s="133">
        <f ca="1">SUMIF(PDM!F:F, E6, PDM!CD:CD)</f>
        <v>32073631783</v>
      </c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72">
      <c r="A7" s="121"/>
      <c r="B7" s="127">
        <v>1</v>
      </c>
      <c r="C7" s="128" t="s">
        <v>1634</v>
      </c>
      <c r="D7" s="128">
        <v>0.24</v>
      </c>
      <c r="E7" s="128">
        <f ca="1">IFERROR(__xludf.DUMMYFUNCTION("""COMPUTED_VALUE"""),6)</f>
        <v>6</v>
      </c>
      <c r="F7" s="128" t="str">
        <f ca="1">IFERROR(__xludf.DUMMYFUNCTION("""COMPUTED_VALUE"""),"Programa Integral de Innovación de Servicios Públicos domiciliarios de Tenjo (PIMSEPT)
(Consolidación productiva del sector de energía eléctrica)")</f>
        <v>Programa Integral de Innovación de Servicios Públicos domiciliarios de Tenjo (PIMSEPT)
(Consolidación productiva del sector de energía eléctrica)</v>
      </c>
      <c r="G7" s="129">
        <f t="shared" ca="1" si="0"/>
        <v>0.84272601691238436</v>
      </c>
      <c r="H7" s="131">
        <f t="shared" ca="1" si="1"/>
        <v>8.4272601691238441E-3</v>
      </c>
      <c r="I7" s="127">
        <f ca="1">COUNTIFS(PDM!F:F, E7, PDM!S:S, "&lt;&gt;")</f>
        <v>6</v>
      </c>
      <c r="J7" s="131">
        <f t="shared" ca="1" si="2"/>
        <v>2.6702399763314548</v>
      </c>
      <c r="K7" s="132">
        <f t="shared" ca="1" si="3"/>
        <v>1.4045433615206407E-3</v>
      </c>
      <c r="L7" s="133">
        <f ca="1">SUMIF(PDM!F:F, E7, PDM!CD:CD)</f>
        <v>12880762821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48">
      <c r="A8" s="121"/>
      <c r="B8" s="127">
        <v>1</v>
      </c>
      <c r="C8" s="128" t="s">
        <v>1634</v>
      </c>
      <c r="D8" s="128">
        <v>0.24</v>
      </c>
      <c r="E8" s="128">
        <f ca="1">IFERROR(__xludf.DUMMYFUNCTION("""COMPUTED_VALUE"""),7)</f>
        <v>7</v>
      </c>
      <c r="F8" s="128" t="str">
        <f ca="1">IFERROR(__xludf.DUMMYFUNCTION("""COMPUTED_VALUE"""),"Es el tiempo del Mejoramiento de vial 
(Infraestrcutura red vial regional)")</f>
        <v>Es el tiempo del Mejoramiento de vial 
(Infraestrcutura red vial regional)</v>
      </c>
      <c r="G8" s="129">
        <f t="shared" ca="1" si="0"/>
        <v>3.6265642502860858</v>
      </c>
      <c r="H8" s="131">
        <f t="shared" ca="1" si="1"/>
        <v>3.6265642502860858E-2</v>
      </c>
      <c r="I8" s="127">
        <f ca="1">COUNTIFS(PDM!F:F, E8, PDM!S:S, "&lt;&gt;")</f>
        <v>7</v>
      </c>
      <c r="J8" s="131">
        <f t="shared" ca="1" si="2"/>
        <v>9.8494612994098691</v>
      </c>
      <c r="K8" s="132">
        <f t="shared" ca="1" si="3"/>
        <v>5.1808060718372658E-3</v>
      </c>
      <c r="L8" s="133">
        <f ca="1">SUMIF(PDM!F:F, E8, PDM!CD:CD)</f>
        <v>47512049867</v>
      </c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48">
      <c r="A9" s="121"/>
      <c r="B9" s="127">
        <v>1</v>
      </c>
      <c r="C9" s="128" t="s">
        <v>1634</v>
      </c>
      <c r="D9" s="128">
        <v>0.24</v>
      </c>
      <c r="E9" s="128">
        <f ca="1">IFERROR(__xludf.DUMMYFUNCTION("""COMPUTED_VALUE"""),8)</f>
        <v>8</v>
      </c>
      <c r="F9" s="128" t="str">
        <f ca="1">IFERROR(__xludf.DUMMYFUNCTION("""COMPUTED_VALUE"""),"Movilidad Inteligente y Sostenible de Tenjo (MIST)
(Infraestrcutura red vial regional)")</f>
        <v>Movilidad Inteligente y Sostenible de Tenjo (MIST)
(Infraestrcutura red vial regional)</v>
      </c>
      <c r="G9" s="129">
        <f t="shared" ca="1" si="0"/>
        <v>1.2415605033145585</v>
      </c>
      <c r="H9" s="131">
        <f t="shared" ca="1" si="1"/>
        <v>1.2415605033145585E-2</v>
      </c>
      <c r="I9" s="127">
        <f ca="1">COUNTIFS(PDM!F:F, E9, PDM!S:S, "&lt;&gt;")</f>
        <v>12</v>
      </c>
      <c r="J9" s="131">
        <f t="shared" ca="1" si="2"/>
        <v>1.9669883345546535</v>
      </c>
      <c r="K9" s="132">
        <f t="shared" ca="1" si="3"/>
        <v>1.034633752762132E-3</v>
      </c>
      <c r="L9" s="133">
        <f ca="1">SUMIF(PDM!F:F, E9, PDM!CD:CD)</f>
        <v>9488401954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60">
      <c r="A10" s="121"/>
      <c r="B10" s="127">
        <v>1</v>
      </c>
      <c r="C10" s="128" t="s">
        <v>1634</v>
      </c>
      <c r="D10" s="128">
        <v>0.24</v>
      </c>
      <c r="E10" s="128">
        <f ca="1">IFERROR(__xludf.DUMMYFUNCTION("""COMPUTED_VALUE"""),9)</f>
        <v>9</v>
      </c>
      <c r="F10" s="128" t="str">
        <f ca="1">IFERROR(__xludf.DUMMYFUNCTION("""COMPUTED_VALUE"""),"Es el tiempo de espacio público innovador
(Ordenamiento territorial y desarrollo urbano)")</f>
        <v>Es el tiempo de espacio público innovador
(Ordenamiento territorial y desarrollo urbano)</v>
      </c>
      <c r="G10" s="129">
        <f t="shared" ca="1" si="0"/>
        <v>0.10904193959931938</v>
      </c>
      <c r="H10" s="131">
        <f t="shared" ca="1" si="1"/>
        <v>1.0904193959931938E-3</v>
      </c>
      <c r="I10" s="127">
        <f ca="1">COUNTIFS(PDM!F:F, E10, PDM!S:S, "&lt;&gt;")</f>
        <v>2</v>
      </c>
      <c r="J10" s="131">
        <f t="shared" ca="1" si="2"/>
        <v>1.036522453459845</v>
      </c>
      <c r="K10" s="132">
        <f t="shared" ca="1" si="3"/>
        <v>5.4520969799659689E-4</v>
      </c>
      <c r="L10" s="133">
        <f ca="1">SUMIF(PDM!F:F, E10, PDM!CD:CD)</f>
        <v>5000000000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48">
      <c r="A11" s="121"/>
      <c r="B11" s="127">
        <v>1</v>
      </c>
      <c r="C11" s="128" t="s">
        <v>1634</v>
      </c>
      <c r="D11" s="128">
        <v>0.24</v>
      </c>
      <c r="E11" s="128">
        <f ca="1">IFERROR(__xludf.DUMMYFUNCTION("""COMPUTED_VALUE"""),10)</f>
        <v>10</v>
      </c>
      <c r="F11" s="128" t="str">
        <f ca="1">IFERROR(__xludf.DUMMYFUNCTION("""COMPUTED_VALUE"""),"Es el tiempo de la vivienda y Desarrollo Sostenible para Tenjo
(Acceso a soluciones de vivienda)")</f>
        <v>Es el tiempo de la vivienda y Desarrollo Sostenible para Tenjo
(Acceso a soluciones de vivienda)</v>
      </c>
      <c r="G11" s="129">
        <f t="shared" ca="1" si="0"/>
        <v>4.9695511985008788E-2</v>
      </c>
      <c r="H11" s="134">
        <f t="shared" ca="1" si="1"/>
        <v>4.9695511985008785E-4</v>
      </c>
      <c r="I11" s="127">
        <f ca="1">COUNTIFS(PDM!F:F, E11, PDM!S:S, "&lt;&gt;")</f>
        <v>5</v>
      </c>
      <c r="J11" s="131">
        <f t="shared" ca="1" si="2"/>
        <v>0.18895670490793784</v>
      </c>
      <c r="K11" s="132">
        <f t="shared" ca="1" si="3"/>
        <v>9.9391023970017565E-5</v>
      </c>
      <c r="L11" s="133">
        <f ca="1">SUMIF(PDM!F:F, E11, PDM!CD:CD)</f>
        <v>911493544</v>
      </c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60">
      <c r="A12" s="121"/>
      <c r="B12" s="128">
        <v>2</v>
      </c>
      <c r="C12" s="128" t="s">
        <v>1635</v>
      </c>
      <c r="D12" s="128">
        <v>0.12</v>
      </c>
      <c r="E12" s="128">
        <f ca="1">IFERROR(__xludf.DUMMYFUNCTION("""COMPUTED_VALUE"""),11)</f>
        <v>11</v>
      </c>
      <c r="F12" s="128" t="str">
        <f ca="1">IFERROR(__xludf.DUMMYFUNCTION("""COMPUTED_VALUE"""),"Ecosistema Inteligente de seguridad y convivencia
(Fortalecimiento de la convivencia y seguridad ciudadana)")</f>
        <v>Ecosistema Inteligente de seguridad y convivencia
(Fortalecimiento de la convivencia y seguridad ciudadana)</v>
      </c>
      <c r="G12" s="129">
        <f t="shared" ca="1" si="0"/>
        <v>1.4350309784813544</v>
      </c>
      <c r="H12" s="131">
        <f t="shared" ca="1" si="1"/>
        <v>1.4350309784813544E-2</v>
      </c>
      <c r="I12" s="127">
        <f ca="1">COUNTIFS(PDM!F:F, E12, PDM!S:S, "&lt;&gt;")</f>
        <v>9</v>
      </c>
      <c r="J12" s="131">
        <f t="shared" ca="1" si="2"/>
        <v>6.0626696523967949</v>
      </c>
      <c r="K12" s="132">
        <f t="shared" ca="1" si="3"/>
        <v>1.5944788649792827E-3</v>
      </c>
      <c r="L12" s="133">
        <f ca="1">SUMIF(PDM!F:F, E12, PDM!CD:CD)</f>
        <v>29245240333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60">
      <c r="A13" s="121"/>
      <c r="B13" s="128">
        <v>2</v>
      </c>
      <c r="C13" s="128" t="s">
        <v>1635</v>
      </c>
      <c r="D13" s="128">
        <v>0.12</v>
      </c>
      <c r="E13" s="128">
        <f ca="1">IFERROR(__xludf.DUMMYFUNCTION("""COMPUTED_VALUE"""),12)</f>
        <v>12</v>
      </c>
      <c r="F13" s="128" t="str">
        <f ca="1">IFERROR(__xludf.DUMMYFUNCTION("""COMPUTED_VALUE"""),"Es el tiempo de la acción y partcipación comunitaria
(Fortalecimiento del buen gobierno para el respeto y la garantía de los DDHH)")</f>
        <v>Es el tiempo de la acción y partcipación comunitaria
(Fortalecimiento del buen gobierno para el respeto y la garantía de los DDHH)</v>
      </c>
      <c r="G13" s="129">
        <f t="shared" ca="1" si="0"/>
        <v>0.35292036948667055</v>
      </c>
      <c r="H13" s="131">
        <f t="shared" ca="1" si="1"/>
        <v>3.5292036948667053E-3</v>
      </c>
      <c r="I13" s="127">
        <f ca="1">COUNTIFS(PDM!F:F, E13, PDM!S:S, "&lt;&gt;")</f>
        <v>11</v>
      </c>
      <c r="J13" s="131">
        <f t="shared" ca="1" si="2"/>
        <v>1.2199138943501668</v>
      </c>
      <c r="K13" s="132">
        <f t="shared" ca="1" si="3"/>
        <v>3.2083669953333682E-4</v>
      </c>
      <c r="L13" s="133">
        <f ca="1">SUMIF(PDM!F:F, E13, PDM!CD:CD)</f>
        <v>5884647700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72">
      <c r="A14" s="121"/>
      <c r="B14" s="128">
        <v>2</v>
      </c>
      <c r="C14" s="128" t="s">
        <v>1635</v>
      </c>
      <c r="D14" s="128">
        <v>0.12</v>
      </c>
      <c r="E14" s="128">
        <f ca="1">IFERROR(__xludf.DUMMYFUNCTION("""COMPUTED_VALUE"""),13)</f>
        <v>13</v>
      </c>
      <c r="F14" s="128" t="str">
        <f ca="1">IFERROR(__xludf.DUMMYFUNCTION("""COMPUTED_VALUE"""),"Construcción de paz para mitigar la Pobreza
(Inclusión social y productiva para la población en situación de vulnerabilidad)")</f>
        <v>Construcción de paz para mitigar la Pobreza
(Inclusión social y productiva para la población en situación de vulnerabilidad)</v>
      </c>
      <c r="G14" s="129">
        <f t="shared" ca="1" si="0"/>
        <v>3.1539382204936405E-3</v>
      </c>
      <c r="H14" s="131">
        <f t="shared" ca="1" si="1"/>
        <v>3.1539382204936405E-5</v>
      </c>
      <c r="I14" s="127">
        <f ca="1">COUNTIFS(PDM!F:F, E14, PDM!S:S, "&lt;&gt;")</f>
        <v>2</v>
      </c>
      <c r="J14" s="131">
        <f t="shared" ca="1" si="2"/>
        <v>5.9960925023517297E-2</v>
      </c>
      <c r="K14" s="132">
        <f t="shared" ca="1" si="3"/>
        <v>1.5769691102468203E-5</v>
      </c>
      <c r="L14" s="133">
        <f ca="1">SUMIF(PDM!F:F, E14, PDM!CD:CD)</f>
        <v>289240840</v>
      </c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60">
      <c r="A15" s="121"/>
      <c r="B15" s="128">
        <v>2</v>
      </c>
      <c r="C15" s="128" t="s">
        <v>1635</v>
      </c>
      <c r="D15" s="128">
        <v>0.12</v>
      </c>
      <c r="E15" s="128">
        <f ca="1">IFERROR(__xludf.DUMMYFUNCTION("""COMPUTED_VALUE"""),14)</f>
        <v>14</v>
      </c>
      <c r="F15" s="128" t="str">
        <f ca="1">IFERROR(__xludf.DUMMYFUNCTION("""COMPUTED_VALUE"""),"Es el tiempo de la Reparación efectiva e integral a las víctimas
(Atención, asistencia  y reparación integral a las víctimas)")</f>
        <v>Es el tiempo de la Reparación efectiva e integral a las víctimas
(Atención, asistencia  y reparación integral a las víctimas)</v>
      </c>
      <c r="G15" s="129">
        <f t="shared" ca="1" si="0"/>
        <v>3.5143883028357713E-2</v>
      </c>
      <c r="H15" s="131">
        <f t="shared" ca="1" si="1"/>
        <v>3.5143883028357711E-4</v>
      </c>
      <c r="I15" s="127">
        <f ca="1">COUNTIFS(PDM!F:F, E15, PDM!S:S, "&lt;&gt;")</f>
        <v>8</v>
      </c>
      <c r="J15" s="131">
        <f t="shared" ca="1" si="2"/>
        <v>0.16703400542265534</v>
      </c>
      <c r="K15" s="132">
        <f t="shared" ca="1" si="3"/>
        <v>4.3929853785447139E-5</v>
      </c>
      <c r="L15" s="133">
        <f ca="1">SUMIF(PDM!F:F, E15, PDM!CD:CD)</f>
        <v>805742340</v>
      </c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72">
      <c r="A16" s="121"/>
      <c r="B16" s="128">
        <v>2</v>
      </c>
      <c r="C16" s="128" t="s">
        <v>1635</v>
      </c>
      <c r="D16" s="128">
        <v>0.12</v>
      </c>
      <c r="E16" s="128">
        <f ca="1">IFERROR(__xludf.DUMMYFUNCTION("""COMPUTED_VALUE"""),15)</f>
        <v>15</v>
      </c>
      <c r="F16" s="128" t="str">
        <f ca="1">IFERROR(__xludf.DUMMYFUNCTION("""COMPUTED_VALUE"""),"Es el tiempo de los Derechos Humanos para la construccion de Paz y convivencia
(Fortalecimiento del buen gobierno para el respeto y garantía de los derechos humanos)")</f>
        <v>Es el tiempo de los Derechos Humanos para la construccion de Paz y convivencia
(Fortalecimiento del buen gobierno para el respeto y garantía de los derechos humanos)</v>
      </c>
      <c r="G16" s="129">
        <f t="shared" ca="1" si="0"/>
        <v>1.0319755333745089E-2</v>
      </c>
      <c r="H16" s="131">
        <f t="shared" ca="1" si="1"/>
        <v>1.0319755333745089E-4</v>
      </c>
      <c r="I16" s="127">
        <f ca="1">COUNTIFS(PDM!F:F, E16, PDM!S:S, "&lt;&gt;")</f>
        <v>4</v>
      </c>
      <c r="J16" s="131">
        <f t="shared" ca="1" si="2"/>
        <v>9.8096733760828558E-2</v>
      </c>
      <c r="K16" s="132">
        <f t="shared" ca="1" si="3"/>
        <v>2.5799388334362722E-5</v>
      </c>
      <c r="L16" s="133">
        <f ca="1">SUMIF(PDM!F:F, E16, PDM!CD:CD)</f>
        <v>473201200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60">
      <c r="A17" s="121"/>
      <c r="B17" s="128">
        <v>2</v>
      </c>
      <c r="C17" s="128" t="s">
        <v>1635</v>
      </c>
      <c r="D17" s="128">
        <v>0.12</v>
      </c>
      <c r="E17" s="128">
        <f ca="1">IFERROR(__xludf.DUMMYFUNCTION("""COMPUTED_VALUE"""),16)</f>
        <v>16</v>
      </c>
      <c r="F17" s="128" t="str">
        <f ca="1">IFERROR(__xludf.DUMMYFUNCTION("""COMPUTED_VALUE"""),"Es el tiempo de la gestión inteligente de riesgos de desastres y emergencias
(Gestión del riesgo de desastres y emergencias)")</f>
        <v>Es el tiempo de la gestión inteligente de riesgos de desastres y emergencias
(Gestión del riesgo de desastres y emergencias)</v>
      </c>
      <c r="G17" s="129">
        <f t="shared" ca="1" si="0"/>
        <v>0.32899934687241061</v>
      </c>
      <c r="H17" s="131">
        <f t="shared" ca="1" si="1"/>
        <v>3.2899934687241061E-3</v>
      </c>
      <c r="I17" s="127">
        <f ca="1">COUNTIFS(PDM!F:F, E17, PDM!S:S, "&lt;&gt;")</f>
        <v>4</v>
      </c>
      <c r="J17" s="131">
        <f t="shared" ca="1" si="2"/>
        <v>3.1273765989485955</v>
      </c>
      <c r="K17" s="132">
        <f t="shared" ca="1" si="3"/>
        <v>8.2249836718102654E-4</v>
      </c>
      <c r="L17" s="133">
        <f ca="1">SUMIF(PDM!F:F, E17, PDM!CD:CD)</f>
        <v>15085908600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60">
      <c r="A18" s="121"/>
      <c r="B18" s="127">
        <v>3</v>
      </c>
      <c r="C18" s="128" t="s">
        <v>1636</v>
      </c>
      <c r="D18" s="128">
        <v>0.113</v>
      </c>
      <c r="E18" s="128">
        <f ca="1">IFERROR(__xludf.DUMMYFUNCTION("""COMPUTED_VALUE"""),17)</f>
        <v>17</v>
      </c>
      <c r="F18" s="128" t="str">
        <f ca="1">IFERROR(__xludf.DUMMYFUNCTION("""COMPUTED_VALUE"""),"Impulso Turístico Inteligente de Tenjo (ITIT)
(Productividad y competitividad de las empresas colombianas)")</f>
        <v>Impulso Turístico Inteligente de Tenjo (ITIT)
(Productividad y competitividad de las empresas colombianas)</v>
      </c>
      <c r="G18" s="129">
        <f t="shared" ca="1" si="0"/>
        <v>0.96936939605683525</v>
      </c>
      <c r="H18" s="131">
        <f t="shared" ca="1" si="1"/>
        <v>9.693693960568352E-3</v>
      </c>
      <c r="I18" s="127">
        <f ca="1">COUNTIFS(PDM!F:F, E18, PDM!S:S, "&lt;&gt;")</f>
        <v>21</v>
      </c>
      <c r="J18" s="131">
        <f t="shared" ca="1" si="2"/>
        <v>1.8638800076829938</v>
      </c>
      <c r="K18" s="132">
        <f t="shared" ca="1" si="3"/>
        <v>4.6160447431277868E-4</v>
      </c>
      <c r="L18" s="133">
        <f ca="1">SUMIF(PDM!F:F, E18, PDM!CD:CD)</f>
        <v>8991025720</v>
      </c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60">
      <c r="A19" s="121"/>
      <c r="B19" s="136">
        <v>3</v>
      </c>
      <c r="C19" s="137" t="s">
        <v>1636</v>
      </c>
      <c r="D19" s="128">
        <v>0.113</v>
      </c>
      <c r="E19" s="128">
        <f ca="1">IFERROR(__xludf.DUMMYFUNCTION("""COMPUTED_VALUE"""),18)</f>
        <v>18</v>
      </c>
      <c r="F19" s="128" t="str">
        <f ca="1">IFERROR(__xludf.DUMMYFUNCTION("""COMPUTED_VALUE"""),"Desarrollo Rural Innovador, Sostenible e Inclusivo- DERURIS
(Productividad y competitividad de las empresas colombianas)")</f>
        <v>Desarrollo Rural Innovador, Sostenible e Inclusivo- DERURIS
(Productividad y competitividad de las empresas colombianas)</v>
      </c>
      <c r="G19" s="129">
        <f t="shared" ca="1" si="0"/>
        <v>0.19919379906411899</v>
      </c>
      <c r="H19" s="131">
        <f t="shared" ca="1" si="1"/>
        <v>1.9919379906411898E-3</v>
      </c>
      <c r="I19" s="127">
        <f ca="1">COUNTIFS(PDM!F:F, E19, PDM!S:S, "&lt;&gt;")</f>
        <v>5</v>
      </c>
      <c r="J19" s="131">
        <f t="shared" ca="1" si="2"/>
        <v>1.6086210614954466</v>
      </c>
      <c r="K19" s="132">
        <f t="shared" ca="1" si="3"/>
        <v>3.9838759812823796E-4</v>
      </c>
      <c r="L19" s="133">
        <f ca="1">SUMIF(PDM!F:F, E19, PDM!CD:CD)</f>
        <v>7759701954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60">
      <c r="A20" s="121"/>
      <c r="B20" s="136">
        <v>3</v>
      </c>
      <c r="C20" s="137" t="s">
        <v>1636</v>
      </c>
      <c r="D20" s="128">
        <v>0.113</v>
      </c>
      <c r="E20" s="128">
        <f ca="1">IFERROR(__xludf.DUMMYFUNCTION("""COMPUTED_VALUE"""),19)</f>
        <v>19</v>
      </c>
      <c r="F20" s="128" t="str">
        <f ca="1">IFERROR(__xludf.DUMMYFUNCTION("""COMPUTED_VALUE"""),"Gobernanza Territorial Sostenible, Innovadora e Inclusiva- GOTESI
(Fortalecimiento de la convivencia y seguridad ciudadana)")</f>
        <v>Gobernanza Territorial Sostenible, Innovadora e Inclusiva- GOTESI
(Fortalecimiento de la convivencia y seguridad ciudadana)</v>
      </c>
      <c r="G20" s="129">
        <f t="shared" ca="1" si="0"/>
        <v>1.8273838516421208E-2</v>
      </c>
      <c r="H20" s="131">
        <f t="shared" ca="1" si="1"/>
        <v>1.8273838516421207E-4</v>
      </c>
      <c r="I20" s="127">
        <f ca="1">COUNTIFS(PDM!F:F, E20, PDM!S:S, "&lt;&gt;")</f>
        <v>3</v>
      </c>
      <c r="J20" s="131">
        <f t="shared" ca="1" si="2"/>
        <v>0.24595546021004741</v>
      </c>
      <c r="K20" s="132">
        <f t="shared" ca="1" si="3"/>
        <v>6.091279505473736E-5</v>
      </c>
      <c r="L20" s="133">
        <f ca="1">SUMIF(PDM!F:F, E20, PDM!CD:CD)</f>
        <v>1186445404</v>
      </c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60">
      <c r="A21" s="121"/>
      <c r="B21" s="136">
        <v>3</v>
      </c>
      <c r="C21" s="137" t="s">
        <v>1636</v>
      </c>
      <c r="D21" s="128">
        <v>0.113</v>
      </c>
      <c r="E21" s="128">
        <f ca="1">IFERROR(__xludf.DUMMYFUNCTION("""COMPUTED_VALUE"""),20)</f>
        <v>20</v>
      </c>
      <c r="F21" s="128" t="str">
        <f ca="1">IFERROR(__xludf.DUMMYFUNCTION("""COMPUTED_VALUE"""),"Innovación para el Desarrollo Económico Local de Tenjo- IDET
(Productividad y competitividad de las empresas colombianas)")</f>
        <v>Innovación para el Desarrollo Económico Local de Tenjo- IDET
(Productividad y competitividad de las empresas colombianas)</v>
      </c>
      <c r="G21" s="129">
        <f t="shared" ca="1" si="0"/>
        <v>0.19220054496296854</v>
      </c>
      <c r="H21" s="131">
        <f t="shared" ca="1" si="1"/>
        <v>1.9220054496296853E-3</v>
      </c>
      <c r="I21" s="127">
        <f ca="1">COUNTIFS(PDM!F:F, E21, PDM!S:S, "&lt;&gt;")</f>
        <v>5</v>
      </c>
      <c r="J21" s="131">
        <f t="shared" ca="1" si="2"/>
        <v>1.5521459308018504</v>
      </c>
      <c r="K21" s="132">
        <f t="shared" ca="1" si="3"/>
        <v>3.8440108992593707E-4</v>
      </c>
      <c r="L21" s="133">
        <f ca="1">SUMIF(PDM!F:F, E21, PDM!CD:CD)</f>
        <v>7487275966</v>
      </c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72">
      <c r="A22" s="121"/>
      <c r="B22" s="136">
        <v>3</v>
      </c>
      <c r="C22" s="137" t="s">
        <v>1636</v>
      </c>
      <c r="D22" s="128">
        <v>0.113</v>
      </c>
      <c r="E22" s="128">
        <f ca="1">IFERROR(__xludf.DUMMYFUNCTION("""COMPUTED_VALUE"""),21)</f>
        <v>21</v>
      </c>
      <c r="F22" s="128" t="str">
        <f ca="1">IFERROR(__xludf.DUMMYFUNCTION("""COMPUTED_VALUE"""),"Territorio Innovador e Inteligente de Tenjo -TIIT 
(Fomento de la investigación, desarrollo tecnológico e innovación del sector trabajo)")</f>
        <v>Territorio Innovador e Inteligente de Tenjo -TIIT 
(Fomento de la investigación, desarrollo tecnológico e innovación del sector trabajo)</v>
      </c>
      <c r="G22" s="129">
        <f t="shared" ca="1" si="0"/>
        <v>8.0105704641548967E-2</v>
      </c>
      <c r="H22" s="131">
        <f t="shared" ca="1" si="1"/>
        <v>8.010570464154896E-4</v>
      </c>
      <c r="I22" s="127">
        <f ca="1">COUNTIFS(PDM!F:F, E22, PDM!S:S, "&lt;&gt;")</f>
        <v>4</v>
      </c>
      <c r="J22" s="131">
        <f t="shared" ca="1" si="2"/>
        <v>0.80863287560755237</v>
      </c>
      <c r="K22" s="132">
        <f t="shared" ca="1" si="3"/>
        <v>2.002642616038724E-4</v>
      </c>
      <c r="L22" s="133">
        <f ca="1">SUMIF(PDM!F:F, E22, PDM!CD:CD)</f>
        <v>3900701200</v>
      </c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72">
      <c r="A23" s="121"/>
      <c r="B23" s="127">
        <v>3</v>
      </c>
      <c r="C23" s="128" t="s">
        <v>1636</v>
      </c>
      <c r="D23" s="128">
        <v>0.113</v>
      </c>
      <c r="E23" s="128">
        <f ca="1">IFERROR(__xludf.DUMMYFUNCTION("""COMPUTED_VALUE"""),22)</f>
        <v>22</v>
      </c>
      <c r="F23" s="128" t="str">
        <f ca="1">IFERROR(__xludf.DUMMYFUNCTION("""COMPUTED_VALUE"""),"Tenjo Innovador es Ecosistema de Ciencia, Tecnología e Innovación -TINEC
(Fortalecimiento de la gobernanza e institucionalidad multinivel del sector de CTeI)")</f>
        <v>Tenjo Innovador es Ecosistema de Ciencia, Tecnología e Innovación -TINEC
(Fortalecimiento de la gobernanza e institucionalidad multinivel del sector de CTeI)</v>
      </c>
      <c r="G23" s="129">
        <f t="shared" ca="1" si="0"/>
        <v>6.2764608082987575E-2</v>
      </c>
      <c r="H23" s="131">
        <f t="shared" ca="1" si="1"/>
        <v>6.2764608082987571E-4</v>
      </c>
      <c r="I23" s="127">
        <f ca="1">COUNTIFS(PDM!F:F, E23, PDM!S:S, "&lt;&gt;")</f>
        <v>6</v>
      </c>
      <c r="J23" s="131">
        <f t="shared" ca="1" si="2"/>
        <v>0.4223879414301005</v>
      </c>
      <c r="K23" s="132">
        <f t="shared" ca="1" si="3"/>
        <v>1.0460768013831262E-4</v>
      </c>
      <c r="L23" s="133">
        <f ca="1">SUMIF(PDM!F:F, E23, PDM!CD:CD)</f>
        <v>2037524320</v>
      </c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108">
      <c r="A24" s="121"/>
      <c r="B24" s="127">
        <v>4</v>
      </c>
      <c r="C24" s="128" t="s">
        <v>1637</v>
      </c>
      <c r="D24" s="128">
        <v>0.438</v>
      </c>
      <c r="E24" s="128">
        <f ca="1">IFERROR(__xludf.DUMMYFUNCTION("""COMPUTED_VALUE"""),23)</f>
        <v>23</v>
      </c>
      <c r="F24" s="128" t="str">
        <f ca="1">IFERROR(__xludf.DUMMYFUNCTION("""COMPUTED_VALUE"""),"Programa Inteligente para la Excelencia Educativa de Tenjo (PIEET)
 (Calidad, cobertura y fortalecimiento de la educación inicial, prescolar, básica y media)
(Calidad y fomento de la educación superior)")</f>
        <v>Programa Inteligente para la Excelencia Educativa de Tenjo (PIEET)
 (Calidad, cobertura y fortalecimiento de la educación inicial, prescolar, básica y media)
(Calidad y fomento de la educación superior)</v>
      </c>
      <c r="G24" s="129">
        <f t="shared" ca="1" si="0"/>
        <v>19.145340838667384</v>
      </c>
      <c r="H24" s="131">
        <f t="shared" ca="1" si="1"/>
        <v>0.19145340838667385</v>
      </c>
      <c r="I24" s="127">
        <f ca="1">COUNTIFS(PDM!F:F, E24, PDM!S:S, "&lt;&gt;")</f>
        <v>26</v>
      </c>
      <c r="J24" s="131">
        <f t="shared" ca="1" si="2"/>
        <v>7.670824163734193</v>
      </c>
      <c r="K24" s="132">
        <f t="shared" ca="1" si="3"/>
        <v>7.3635926302566867E-3</v>
      </c>
      <c r="L24" s="133">
        <f ca="1">SUMIF(PDM!F:F, E24, PDM!CD:CD)</f>
        <v>37002691732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72">
      <c r="A25" s="121"/>
      <c r="B25" s="127">
        <v>4</v>
      </c>
      <c r="C25" s="128" t="s">
        <v>1637</v>
      </c>
      <c r="D25" s="128">
        <v>0.438</v>
      </c>
      <c r="E25" s="128">
        <f ca="1">IFERROR(__xludf.DUMMYFUNCTION("""COMPUTED_VALUE"""),24)</f>
        <v>24</v>
      </c>
      <c r="F25" s="128" t="str">
        <f ca="1">IFERROR(__xludf.DUMMYFUNCTION("""COMPUTED_VALUE"""),"Salud Pública Inteligente e innovadora
(Aseguramiento y prestación integral de servicios de salud)
(Salud pública)
(Inspección, vigilancia y control)")</f>
        <v>Salud Pública Inteligente e innovadora
(Aseguramiento y prestación integral de servicios de salud)
(Salud pública)
(Inspección, vigilancia y control)</v>
      </c>
      <c r="G25" s="129">
        <f t="shared" ca="1" si="0"/>
        <v>15.543206634265557</v>
      </c>
      <c r="H25" s="131">
        <f t="shared" ca="1" si="1"/>
        <v>0.15543206634265558</v>
      </c>
      <c r="I25" s="127">
        <f ca="1">COUNTIFS(PDM!F:F, E25, PDM!S:S, "&lt;&gt;")</f>
        <v>20</v>
      </c>
      <c r="J25" s="131">
        <f t="shared" ca="1" si="2"/>
        <v>8.0958583003444655</v>
      </c>
      <c r="K25" s="132">
        <f t="shared" ca="1" si="3"/>
        <v>7.7716033171327786E-3</v>
      </c>
      <c r="L25" s="133">
        <f ca="1">SUMIF(PDM!F:F, E25, PDM!CD:CD)</f>
        <v>39052980827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60">
      <c r="A26" s="121"/>
      <c r="B26" s="127">
        <v>4</v>
      </c>
      <c r="C26" s="128" t="s">
        <v>1637</v>
      </c>
      <c r="D26" s="128">
        <v>0.438</v>
      </c>
      <c r="E26" s="128">
        <f ca="1">IFERROR(__xludf.DUMMYFUNCTION("""COMPUTED_VALUE"""),25)</f>
        <v>25</v>
      </c>
      <c r="F26" s="128" t="str">
        <f ca="1">IFERROR(__xludf.DUMMYFUNCTION("""COMPUTED_VALUE"""),"Renacimiento Inteligente Cultural de Tenjo (RICTE)
(Promoción y acceso efectivo a procesos culturales y artísticos)
")</f>
        <v xml:space="preserve">Renacimiento Inteligente Cultural de Tenjo (RICTE)
(Promoción y acceso efectivo a procesos culturales y artísticos)
</v>
      </c>
      <c r="G26" s="129">
        <f t="shared" ca="1" si="0"/>
        <v>14.100760151639093</v>
      </c>
      <c r="H26" s="131">
        <f t="shared" ca="1" si="1"/>
        <v>0.14100760151639094</v>
      </c>
      <c r="I26" s="127">
        <f ca="1">COUNTIFS(PDM!F:F, E26, PDM!S:S, "&lt;&gt;")</f>
        <v>22</v>
      </c>
      <c r="J26" s="131">
        <f t="shared" ca="1" si="2"/>
        <v>6.6768576605941892</v>
      </c>
      <c r="K26" s="132">
        <f t="shared" ca="1" si="3"/>
        <v>6.4094364325632249E-3</v>
      </c>
      <c r="L26" s="133">
        <f ca="1">SUMIF(PDM!F:F, E26, PDM!CD:CD)</f>
        <v>32207974069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60">
      <c r="A27" s="121"/>
      <c r="B27" s="127">
        <v>4</v>
      </c>
      <c r="C27" s="128" t="s">
        <v>1637</v>
      </c>
      <c r="D27" s="128">
        <v>0.438</v>
      </c>
      <c r="E27" s="128">
        <f ca="1">IFERROR(__xludf.DUMMYFUNCTION("""COMPUTED_VALUE"""),26)</f>
        <v>26</v>
      </c>
      <c r="F27" s="128" t="str">
        <f ca="1">IFERROR(__xludf.DUMMYFUNCTION("""COMPUTED_VALUE"""),"Es el tiempo de Tenjo Activo
(Fomento a la recreación, la actividad física y el deporte para desarrollar entornos de convivencia y paz)")</f>
        <v>Es el tiempo de Tenjo Activo
(Fomento a la recreación, la actividad física y el deporte para desarrollar entornos de convivencia y paz)</v>
      </c>
      <c r="G27" s="129">
        <f t="shared" ca="1" si="0"/>
        <v>14.118479276640123</v>
      </c>
      <c r="H27" s="131">
        <f t="shared" ca="1" si="1"/>
        <v>0.14118479276640122</v>
      </c>
      <c r="I27" s="127">
        <f ca="1">COUNTIFS(PDM!F:F, E27, PDM!S:S, "&lt;&gt;")</f>
        <v>20</v>
      </c>
      <c r="J27" s="131">
        <f t="shared" ca="1" si="2"/>
        <v>7.3537726371112599</v>
      </c>
      <c r="K27" s="132">
        <f t="shared" ca="1" si="3"/>
        <v>7.059239638320061E-3</v>
      </c>
      <c r="L27" s="133">
        <f ca="1">SUMIF(PDM!F:F, E27, PDM!CD:CD)</f>
        <v>35473291546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84">
      <c r="A28" s="121"/>
      <c r="B28" s="127">
        <v>4</v>
      </c>
      <c r="C28" s="128" t="s">
        <v>1637</v>
      </c>
      <c r="D28" s="128">
        <v>0.438</v>
      </c>
      <c r="E28" s="128">
        <f ca="1">IFERROR(__xludf.DUMMYFUNCTION("""COMPUTED_VALUE"""),27)</f>
        <v>27</v>
      </c>
      <c r="F28" s="128" t="str">
        <f ca="1">IFERROR(__xludf.DUMMYFUNCTION("""COMPUTED_VALUE"""),"Es el tiempo de  las acciones integrales de la Infancia, Adolescencia
(Desarrollo integral de la primera infancia a la juventud, y fortalecimiento de las capacidades de las familias de niñas, niños y adolescentes)
")</f>
        <v xml:space="preserve">Es el tiempo de  las acciones integrales de la Infancia, Adolescencia
(Desarrollo integral de la primera infancia a la juventud, y fortalecimiento de las capacidades de las familias de niñas, niños y adolescentes)
</v>
      </c>
      <c r="G28" s="129">
        <f t="shared" ca="1" si="0"/>
        <v>4.1046918309387763</v>
      </c>
      <c r="H28" s="131">
        <f t="shared" ca="1" si="1"/>
        <v>4.104691830938776E-2</v>
      </c>
      <c r="I28" s="127">
        <f ca="1">COUNTIFS(PDM!F:F, E28, PDM!S:S, "&lt;&gt;")</f>
        <v>14</v>
      </c>
      <c r="J28" s="131">
        <f t="shared" ca="1" si="2"/>
        <v>3.0542514913238112</v>
      </c>
      <c r="K28" s="132">
        <f t="shared" ca="1" si="3"/>
        <v>2.9319227363848398E-3</v>
      </c>
      <c r="L28" s="133">
        <f ca="1">SUMIF(PDM!F:F, E28, PDM!CD:CD)</f>
        <v>14733166084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 ht="96">
      <c r="A29" s="121"/>
      <c r="B29" s="127">
        <v>4</v>
      </c>
      <c r="C29" s="128" t="s">
        <v>1637</v>
      </c>
      <c r="D29" s="128">
        <v>0.438</v>
      </c>
      <c r="E29" s="128">
        <f ca="1">IFERROR(__xludf.DUMMYFUNCTION("""COMPUTED_VALUE"""),28)</f>
        <v>28</v>
      </c>
      <c r="F29" s="128" t="str">
        <f ca="1">IFERROR(__xludf.DUMMYFUNCTION("""COMPUTED_VALUE"""),"Mujeres avanzando y progresando
(Fortalecimiento del buen gobierno para el respeto y garantía de los derechos humanos)
(Atención integral de población en situación permanente de desprotección social y/o familiar)")</f>
        <v>Mujeres avanzando y progresando
(Fortalecimiento del buen gobierno para el respeto y garantía de los derechos humanos)
(Atención integral de población en situación permanente de desprotección social y/o familiar)</v>
      </c>
      <c r="G29" s="129">
        <f t="shared" ca="1" si="0"/>
        <v>2.0932991693308263</v>
      </c>
      <c r="H29" s="131">
        <f t="shared" ca="1" si="1"/>
        <v>2.0932991693308263E-2</v>
      </c>
      <c r="I29" s="127">
        <f ca="1">COUNTIFS(PDM!F:F, E29, PDM!S:S, "&lt;&gt;")</f>
        <v>16</v>
      </c>
      <c r="J29" s="131">
        <f t="shared" ca="1" si="2"/>
        <v>1.3628987452443335</v>
      </c>
      <c r="K29" s="132">
        <f t="shared" ca="1" si="3"/>
        <v>1.3083119808317664E-3</v>
      </c>
      <c r="L29" s="133">
        <f ca="1">SUMIF(PDM!F:F, E29, PDM!CD:CD)</f>
        <v>6574381195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 ht="72">
      <c r="A30" s="121"/>
      <c r="B30" s="127">
        <v>4</v>
      </c>
      <c r="C30" s="128" t="s">
        <v>1637</v>
      </c>
      <c r="D30" s="128">
        <v>0.438</v>
      </c>
      <c r="E30" s="128">
        <f ca="1">IFERROR(__xludf.DUMMYFUNCTION("""COMPUTED_VALUE"""),29)</f>
        <v>29</v>
      </c>
      <c r="F30" s="128" t="str">
        <f ca="1">IFERROR(__xludf.DUMMYFUNCTION("""COMPUTED_VALUE"""),"Protección Social y Bienestar para los Adultos Mayores (PROSOBAM)
(Atención integral de población en situación permanente de desprotección social y/o familiar)")</f>
        <v>Protección Social y Bienestar para los Adultos Mayores (PROSOBAM)
(Atención integral de población en situación permanente de desprotección social y/o familiar)</v>
      </c>
      <c r="G30" s="129">
        <f t="shared" ca="1" si="0"/>
        <v>4.5134216672310687</v>
      </c>
      <c r="H30" s="131">
        <f t="shared" ca="1" si="1"/>
        <v>4.5134216672310684E-2</v>
      </c>
      <c r="I30" s="127">
        <f ca="1">COUNTIFS(PDM!F:F, E30, PDM!S:S, "&lt;&gt;")</f>
        <v>8</v>
      </c>
      <c r="J30" s="131">
        <f t="shared" ca="1" si="2"/>
        <v>5.8771692237323485</v>
      </c>
      <c r="K30" s="132">
        <f t="shared" ca="1" si="3"/>
        <v>5.6417770840388355E-3</v>
      </c>
      <c r="L30" s="133">
        <f ca="1">SUMIF(PDM!F:F, E30, PDM!CD:CD)</f>
        <v>28350419251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 ht="24">
      <c r="A31" s="121"/>
      <c r="B31" s="127">
        <v>4</v>
      </c>
      <c r="C31" s="128" t="s">
        <v>1637</v>
      </c>
      <c r="D31" s="128">
        <v>0.438</v>
      </c>
      <c r="E31" s="128">
        <f ca="1">IFERROR(__xludf.DUMMYFUNCTION("""COMPUTED_VALUE"""),30)</f>
        <v>30</v>
      </c>
      <c r="F31" s="128" t="str">
        <f ca="1">IFERROR(__xludf.DUMMYFUNCTION("""COMPUTED_VALUE"""),"Programa Inteligente de Asistencia a las Juventud (PRIAJU)")</f>
        <v>Programa Inteligente de Asistencia a las Juventud (PRIAJU)</v>
      </c>
      <c r="G31" s="129">
        <f t="shared" ca="1" si="0"/>
        <v>0.23691437728096051</v>
      </c>
      <c r="H31" s="131">
        <f t="shared" ca="1" si="1"/>
        <v>2.3691437728096051E-3</v>
      </c>
      <c r="I31" s="127">
        <f ca="1">COUNTIFS(PDM!F:F, E31, PDM!S:S, "&lt;&gt;")</f>
        <v>7</v>
      </c>
      <c r="J31" s="131">
        <f t="shared" ca="1" si="2"/>
        <v>0.35257023909682078</v>
      </c>
      <c r="K31" s="132">
        <f t="shared" ca="1" si="3"/>
        <v>3.3844911040137218E-4</v>
      </c>
      <c r="L31" s="133">
        <f ca="1">SUMIF(PDM!F:F, E31, PDM!CD:CD)</f>
        <v>1700736139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27" ht="60">
      <c r="A32" s="121"/>
      <c r="B32" s="127">
        <v>4</v>
      </c>
      <c r="C32" s="128" t="s">
        <v>1637</v>
      </c>
      <c r="D32" s="128">
        <v>0.438</v>
      </c>
      <c r="E32" s="128">
        <f ca="1">IFERROR(__xludf.DUMMYFUNCTION("""COMPUTED_VALUE"""),31)</f>
        <v>31</v>
      </c>
      <c r="F32" s="128" t="str">
        <f ca="1">IFERROR(__xludf.DUMMYFUNCTION("""COMPUTED_VALUE""")," Es el tiempo de la Inclusión
( Atención integral de población en situación permanente de desprotección social y/o familiar)
")</f>
        <v xml:space="preserve"> Es el tiempo de la Inclusión
( Atención integral de población en situación permanente de desprotección social y/o familiar)
</v>
      </c>
      <c r="G32" s="129">
        <f t="shared" ca="1" si="0"/>
        <v>2.7891300562748369</v>
      </c>
      <c r="H32" s="131">
        <f t="shared" ca="1" si="1"/>
        <v>2.789130056274837E-2</v>
      </c>
      <c r="I32" s="127">
        <f ca="1">COUNTIFS(PDM!F:F, E32, PDM!S:S, "&lt;&gt;")</f>
        <v>7</v>
      </c>
      <c r="J32" s="131">
        <f t="shared" ca="1" si="2"/>
        <v>4.1507158075373409</v>
      </c>
      <c r="K32" s="132">
        <f t="shared" ca="1" si="3"/>
        <v>3.984471508964053E-3</v>
      </c>
      <c r="L32" s="133">
        <f ca="1">SUMIF(PDM!F:F, E32, PDM!CD:CD)</f>
        <v>20022314971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1:27" ht="60">
      <c r="A33" s="121"/>
      <c r="B33" s="127">
        <v>4</v>
      </c>
      <c r="C33" s="128" t="s">
        <v>1637</v>
      </c>
      <c r="D33" s="128">
        <v>0.438</v>
      </c>
      <c r="E33" s="128">
        <f ca="1">IFERROR(__xludf.DUMMYFUNCTION("""COMPUTED_VALUE"""),32)</f>
        <v>32</v>
      </c>
      <c r="F33" s="128" t="str">
        <f ca="1">IFERROR(__xludf.DUMMYFUNCTION("""COMPUTED_VALUE"""),"Es el tiempo de las familias tenjanas
(Atención integral de población en situación permanente de desprotección social y/o familiar)")</f>
        <v>Es el tiempo de las familias tenjanas
(Atención integral de población en situación permanente de desprotección social y/o familiar)</v>
      </c>
      <c r="G33" s="129">
        <f t="shared" ca="1" si="0"/>
        <v>3.5577032641078886E-2</v>
      </c>
      <c r="H33" s="134">
        <f t="shared" ca="1" si="1"/>
        <v>3.5577032641078885E-4</v>
      </c>
      <c r="I33" s="127">
        <f ca="1">COUNTIFS(PDM!F:F, E33, PDM!S:S, "&lt;&gt;")</f>
        <v>3</v>
      </c>
      <c r="J33" s="131">
        <f t="shared" ca="1" si="2"/>
        <v>0.1235380496814342</v>
      </c>
      <c r="K33" s="132">
        <f t="shared" ca="1" si="3"/>
        <v>1.1859010880359629E-4</v>
      </c>
      <c r="L33" s="133">
        <f ca="1">SUMIF(PDM!F:F, E33, PDM!CD:CD)</f>
        <v>595925584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:27" ht="50.25" customHeight="1">
      <c r="A34" s="121"/>
      <c r="B34" s="136">
        <v>5</v>
      </c>
      <c r="C34" s="137" t="s">
        <v>1638</v>
      </c>
      <c r="D34" s="128">
        <v>8.8999999999999996E-2</v>
      </c>
      <c r="E34" s="128">
        <f ca="1">IFERROR(__xludf.DUMMYFUNCTION("""COMPUTED_VALUE"""),33)</f>
        <v>33</v>
      </c>
      <c r="F34" s="128" t="str">
        <f ca="1">IFERROR(__xludf.DUMMYFUNCTION("""COMPUTED_VALUE"""),"Es el tiempo de ja Innovación en la Gestión Pública
(Fortalecimiento a la gestión y dirección de la administración pública territorial)")</f>
        <v>Es el tiempo de ja Innovación en la Gestión Pública
(Fortalecimiento a la gestión y dirección de la administración pública territorial)</v>
      </c>
      <c r="G34" s="129">
        <f t="shared" ca="1" si="0"/>
        <v>4.8287189241092952</v>
      </c>
      <c r="H34" s="131">
        <f t="shared" ca="1" si="1"/>
        <v>4.8287189241092952E-2</v>
      </c>
      <c r="I34" s="127">
        <f ca="1">COUNTIFS(PDM!F:F, E34, PDM!S:S, "&lt;&gt;")</f>
        <v>21</v>
      </c>
      <c r="J34" s="131">
        <f t="shared" ca="1" si="2"/>
        <v>11.78824106906484</v>
      </c>
      <c r="K34" s="132">
        <f t="shared" ca="1" si="3"/>
        <v>2.2993899638615693E-3</v>
      </c>
      <c r="L34" s="133">
        <f ca="1">SUMIF(PDM!F:F, E34, PDM!CD:CD)</f>
        <v>56864378720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:27" ht="48">
      <c r="A35" s="121"/>
      <c r="B35" s="136">
        <v>5</v>
      </c>
      <c r="C35" s="137" t="s">
        <v>1638</v>
      </c>
      <c r="D35" s="128">
        <v>8.8999999999999996E-2</v>
      </c>
      <c r="E35" s="128">
        <f ca="1">IFERROR(__xludf.DUMMYFUNCTION("""COMPUTED_VALUE"""),34)</f>
        <v>34</v>
      </c>
      <c r="F35" s="128" t="str">
        <f ca="1">IFERROR(__xludf.DUMMYFUNCTION("""COMPUTED_VALUE"""),"Innovación en la información y comunicación
(Fortalecimiento a la gestión y dirección de la administración pública territorial)")</f>
        <v>Innovación en la información y comunicación
(Fortalecimiento a la gestión y dirección de la administración pública territorial)</v>
      </c>
      <c r="G35" s="129">
        <f t="shared" ca="1" si="0"/>
        <v>8.8624427053186336E-2</v>
      </c>
      <c r="H35" s="131">
        <f t="shared" ca="1" si="1"/>
        <v>8.862442705318633E-4</v>
      </c>
      <c r="I35" s="127">
        <f ca="1">COUNTIFS(PDM!F:F, E35, PDM!S:S, "&lt;&gt;")</f>
        <v>7</v>
      </c>
      <c r="J35" s="131">
        <f t="shared" ca="1" si="2"/>
        <v>0.64907036035655497</v>
      </c>
      <c r="K35" s="132">
        <f t="shared" ca="1" si="3"/>
        <v>1.2660632436169476E-4</v>
      </c>
      <c r="L35" s="133">
        <f ca="1">SUMIF(PDM!F:F, E35, PDM!CD:CD)</f>
        <v>3131000000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:27" ht="15.6">
      <c r="A36" s="121"/>
      <c r="G36" s="138"/>
      <c r="H36" s="138">
        <f t="shared" ref="H36:I36" ca="1" si="4">SUM(H2:H35)</f>
        <v>1.0000000000000002</v>
      </c>
      <c r="I36" s="121">
        <f t="shared" ca="1" si="4"/>
        <v>331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:27" ht="15.6">
      <c r="A37" s="121"/>
      <c r="B37" s="121"/>
      <c r="C37" s="121"/>
      <c r="D37" s="139"/>
      <c r="E37" s="139"/>
      <c r="F37" s="139"/>
      <c r="G37" s="140"/>
      <c r="H37" s="140"/>
      <c r="J37" s="121"/>
      <c r="K37" s="121"/>
      <c r="L37" s="14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:27" ht="15.6">
      <c r="A38" s="121"/>
      <c r="B38" s="121"/>
      <c r="C38" s="121"/>
      <c r="D38" s="139"/>
      <c r="E38" s="139"/>
      <c r="F38" s="139"/>
      <c r="G38" s="142">
        <f t="shared" ref="G38:L38" ca="1" si="5">SUM(G2:G35)</f>
        <v>100</v>
      </c>
      <c r="H38" s="143">
        <f t="shared" ca="1" si="5"/>
        <v>1.0000000000000002</v>
      </c>
      <c r="I38" s="144">
        <f t="shared" ca="1" si="5"/>
        <v>331</v>
      </c>
      <c r="J38" s="142">
        <f t="shared" ca="1" si="5"/>
        <v>100.00000000000001</v>
      </c>
      <c r="K38" s="145">
        <f t="shared" ca="1" si="5"/>
        <v>6.3256429183638038E-2</v>
      </c>
      <c r="L38" s="146">
        <f t="shared" ca="1" si="5"/>
        <v>482382217897</v>
      </c>
      <c r="M38" s="143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:27" ht="15.6">
      <c r="A39" s="121"/>
      <c r="B39" s="121"/>
      <c r="C39" s="121"/>
      <c r="D39" s="139"/>
      <c r="E39" s="139"/>
      <c r="F39" s="139"/>
      <c r="G39" s="147"/>
      <c r="H39" s="147"/>
      <c r="I39" s="121"/>
      <c r="J39" s="121"/>
      <c r="K39" s="121"/>
      <c r="L39" s="14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1:27" ht="15.6">
      <c r="A40" s="121"/>
      <c r="B40" s="121"/>
      <c r="C40" s="121"/>
      <c r="D40" s="139"/>
      <c r="E40" s="139"/>
      <c r="F40" s="139"/>
      <c r="G40" s="147"/>
      <c r="H40" s="147"/>
      <c r="I40" s="121"/>
      <c r="J40" s="121"/>
      <c r="K40" s="121"/>
      <c r="L40" s="14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 spans="1:27" ht="15.6">
      <c r="A41" s="121"/>
      <c r="B41" s="121"/>
      <c r="C41" s="121"/>
      <c r="D41" s="139"/>
      <c r="E41" s="139"/>
      <c r="F41" s="139"/>
      <c r="G41" s="147"/>
      <c r="H41" s="147"/>
      <c r="I41" s="121"/>
      <c r="J41" s="121"/>
      <c r="K41" s="121"/>
      <c r="L41" s="14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  <row r="42" spans="1:27" ht="15.6">
      <c r="A42" s="121"/>
      <c r="B42" s="121"/>
      <c r="C42" s="121"/>
      <c r="D42" s="139"/>
      <c r="E42" s="139"/>
      <c r="F42" s="139"/>
      <c r="G42" s="147"/>
      <c r="H42" s="147"/>
      <c r="I42" s="121"/>
      <c r="J42" s="121"/>
      <c r="K42" s="121"/>
      <c r="L42" s="14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</row>
    <row r="43" spans="1:27" ht="15.6">
      <c r="A43" s="121"/>
      <c r="B43" s="121"/>
      <c r="C43" s="121"/>
      <c r="D43" s="139"/>
      <c r="E43" s="139"/>
      <c r="F43" s="139"/>
      <c r="G43" s="147"/>
      <c r="H43" s="147"/>
      <c r="I43" s="121"/>
      <c r="J43" s="121"/>
      <c r="K43" s="121"/>
      <c r="L43" s="14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1:27" ht="15.6">
      <c r="A44" s="121"/>
      <c r="B44" s="121"/>
      <c r="C44" s="121"/>
      <c r="D44" s="139"/>
      <c r="E44" s="139"/>
      <c r="F44" s="139"/>
      <c r="G44" s="147"/>
      <c r="H44" s="147"/>
      <c r="I44" s="121"/>
      <c r="J44" s="121"/>
      <c r="K44" s="121"/>
      <c r="L44" s="14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</row>
    <row r="45" spans="1:27" ht="15.6">
      <c r="A45" s="121"/>
      <c r="B45" s="121"/>
      <c r="C45" s="121"/>
      <c r="D45" s="139"/>
      <c r="E45" s="139"/>
      <c r="F45" s="139"/>
      <c r="G45" s="147"/>
      <c r="H45" s="147"/>
      <c r="I45" s="121"/>
      <c r="J45" s="121"/>
      <c r="K45" s="121"/>
      <c r="L45" s="14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</row>
    <row r="46" spans="1:27" ht="15.6">
      <c r="A46" s="121"/>
      <c r="B46" s="121"/>
      <c r="C46" s="121"/>
      <c r="D46" s="139"/>
      <c r="E46" s="139"/>
      <c r="F46" s="139"/>
      <c r="G46" s="147"/>
      <c r="H46" s="147"/>
      <c r="I46" s="121"/>
      <c r="J46" s="121"/>
      <c r="K46" s="121"/>
      <c r="L46" s="14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1:27" ht="15.6">
      <c r="A47" s="121"/>
      <c r="B47" s="121"/>
      <c r="C47" s="121"/>
      <c r="D47" s="139"/>
      <c r="E47" s="139"/>
      <c r="F47" s="139"/>
      <c r="G47" s="147"/>
      <c r="H47" s="147"/>
      <c r="I47" s="121"/>
      <c r="J47" s="121"/>
      <c r="K47" s="121"/>
      <c r="L47" s="14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</row>
    <row r="48" spans="1:27" ht="15.6">
      <c r="A48" s="121"/>
      <c r="B48" s="121"/>
      <c r="C48" s="121"/>
      <c r="D48" s="139"/>
      <c r="E48" s="139"/>
      <c r="F48" s="139"/>
      <c r="G48" s="147"/>
      <c r="H48" s="147"/>
      <c r="I48" s="121"/>
      <c r="J48" s="121"/>
      <c r="K48" s="121"/>
      <c r="L48" s="14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</row>
    <row r="49" spans="1:27" ht="15.6">
      <c r="A49" s="121"/>
      <c r="B49" s="121"/>
      <c r="C49" s="121"/>
      <c r="D49" s="139"/>
      <c r="E49" s="139"/>
      <c r="F49" s="139"/>
      <c r="G49" s="147"/>
      <c r="H49" s="147"/>
      <c r="I49" s="121"/>
      <c r="J49" s="121"/>
      <c r="K49" s="121"/>
      <c r="L49" s="14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</row>
    <row r="50" spans="1:27" ht="15.6">
      <c r="A50" s="121"/>
      <c r="B50" s="121"/>
      <c r="C50" s="121"/>
      <c r="D50" s="139"/>
      <c r="E50" s="139"/>
      <c r="F50" s="139"/>
      <c r="G50" s="147"/>
      <c r="H50" s="147"/>
      <c r="I50" s="121"/>
      <c r="J50" s="121"/>
      <c r="K50" s="121"/>
      <c r="L50" s="14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</row>
    <row r="51" spans="1:27" ht="15.6">
      <c r="A51" s="121"/>
      <c r="B51" s="121"/>
      <c r="C51" s="121"/>
      <c r="D51" s="139"/>
      <c r="E51" s="139"/>
      <c r="F51" s="139"/>
      <c r="G51" s="147"/>
      <c r="H51" s="147"/>
      <c r="I51" s="121"/>
      <c r="J51" s="121"/>
      <c r="K51" s="121"/>
      <c r="L51" s="14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</row>
    <row r="52" spans="1:27" ht="15.6">
      <c r="A52" s="121"/>
      <c r="B52" s="121"/>
      <c r="C52" s="121"/>
      <c r="D52" s="139"/>
      <c r="E52" s="139"/>
      <c r="F52" s="139"/>
      <c r="G52" s="147"/>
      <c r="H52" s="147"/>
      <c r="I52" s="121"/>
      <c r="J52" s="121"/>
      <c r="K52" s="121"/>
      <c r="L52" s="14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</row>
    <row r="53" spans="1:27" ht="15.6">
      <c r="A53" s="121"/>
      <c r="B53" s="121"/>
      <c r="C53" s="121"/>
      <c r="D53" s="139"/>
      <c r="E53" s="139"/>
      <c r="F53" s="139"/>
      <c r="G53" s="147"/>
      <c r="H53" s="147"/>
      <c r="I53" s="121"/>
      <c r="J53" s="121"/>
      <c r="K53" s="121"/>
      <c r="L53" s="14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1:27" ht="15.6">
      <c r="A54" s="121"/>
      <c r="B54" s="121"/>
      <c r="C54" s="121"/>
      <c r="D54" s="139"/>
      <c r="E54" s="139"/>
      <c r="F54" s="139"/>
      <c r="G54" s="147"/>
      <c r="H54" s="147"/>
      <c r="I54" s="121"/>
      <c r="J54" s="121"/>
      <c r="K54" s="121"/>
      <c r="L54" s="14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</row>
    <row r="55" spans="1:27" ht="15.6">
      <c r="A55" s="121"/>
      <c r="B55" s="121"/>
      <c r="C55" s="121"/>
      <c r="D55" s="139"/>
      <c r="E55" s="139"/>
      <c r="F55" s="139"/>
      <c r="G55" s="147"/>
      <c r="H55" s="147"/>
      <c r="I55" s="121"/>
      <c r="J55" s="121"/>
      <c r="K55" s="121"/>
      <c r="L55" s="14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</row>
    <row r="56" spans="1:27" ht="15.6">
      <c r="A56" s="121"/>
      <c r="B56" s="121"/>
      <c r="C56" s="121"/>
      <c r="D56" s="139"/>
      <c r="E56" s="139"/>
      <c r="F56" s="139"/>
      <c r="G56" s="147"/>
      <c r="H56" s="147"/>
      <c r="I56" s="121"/>
      <c r="J56" s="121"/>
      <c r="K56" s="121"/>
      <c r="L56" s="14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</row>
    <row r="57" spans="1:27" ht="15.6">
      <c r="A57" s="121"/>
      <c r="B57" s="121"/>
      <c r="C57" s="121"/>
      <c r="D57" s="139"/>
      <c r="E57" s="139"/>
      <c r="F57" s="139"/>
      <c r="G57" s="147"/>
      <c r="H57" s="147"/>
      <c r="I57" s="121"/>
      <c r="J57" s="121"/>
      <c r="K57" s="121"/>
      <c r="L57" s="14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</row>
    <row r="58" spans="1:27" ht="15.6">
      <c r="A58" s="121"/>
      <c r="B58" s="121"/>
      <c r="C58" s="121"/>
      <c r="D58" s="139"/>
      <c r="E58" s="139"/>
      <c r="F58" s="139"/>
      <c r="G58" s="147"/>
      <c r="H58" s="147"/>
      <c r="I58" s="121"/>
      <c r="J58" s="121"/>
      <c r="K58" s="121"/>
      <c r="L58" s="14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</row>
    <row r="59" spans="1:27" ht="15.6">
      <c r="A59" s="121"/>
      <c r="B59" s="121"/>
      <c r="C59" s="121"/>
      <c r="D59" s="139"/>
      <c r="E59" s="139"/>
      <c r="F59" s="139"/>
      <c r="G59" s="147"/>
      <c r="H59" s="147"/>
      <c r="I59" s="121"/>
      <c r="J59" s="121"/>
      <c r="K59" s="121"/>
      <c r="L59" s="14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</row>
    <row r="60" spans="1:27" ht="15.6">
      <c r="A60" s="121"/>
      <c r="B60" s="121"/>
      <c r="C60" s="121"/>
      <c r="D60" s="139"/>
      <c r="E60" s="139"/>
      <c r="F60" s="139"/>
      <c r="G60" s="147"/>
      <c r="H60" s="147"/>
      <c r="I60" s="121"/>
      <c r="J60" s="121"/>
      <c r="K60" s="121"/>
      <c r="L60" s="14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</row>
    <row r="61" spans="1:27" ht="15.6">
      <c r="A61" s="121"/>
      <c r="B61" s="121"/>
      <c r="C61" s="121"/>
      <c r="D61" s="139"/>
      <c r="E61" s="139"/>
      <c r="F61" s="139"/>
      <c r="G61" s="147"/>
      <c r="H61" s="147"/>
      <c r="I61" s="121"/>
      <c r="J61" s="121"/>
      <c r="K61" s="121"/>
      <c r="L61" s="14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</row>
    <row r="62" spans="1:27" ht="15.6">
      <c r="A62" s="121"/>
      <c r="B62" s="121"/>
      <c r="C62" s="121"/>
      <c r="D62" s="139"/>
      <c r="E62" s="139"/>
      <c r="F62" s="139"/>
      <c r="G62" s="147"/>
      <c r="H62" s="147"/>
      <c r="I62" s="121"/>
      <c r="J62" s="121"/>
      <c r="K62" s="121"/>
      <c r="L62" s="14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</row>
    <row r="63" spans="1:27" ht="15.6">
      <c r="A63" s="121"/>
      <c r="B63" s="121"/>
      <c r="C63" s="121"/>
      <c r="D63" s="139"/>
      <c r="E63" s="139"/>
      <c r="F63" s="139"/>
      <c r="G63" s="147"/>
      <c r="H63" s="147"/>
      <c r="I63" s="121"/>
      <c r="J63" s="121"/>
      <c r="K63" s="121"/>
      <c r="L63" s="14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</row>
    <row r="64" spans="1:27" ht="15.6">
      <c r="A64" s="121"/>
      <c r="B64" s="121"/>
      <c r="C64" s="121"/>
      <c r="D64" s="139"/>
      <c r="E64" s="139"/>
      <c r="F64" s="139"/>
      <c r="G64" s="147"/>
      <c r="H64" s="147"/>
      <c r="I64" s="121"/>
      <c r="J64" s="121"/>
      <c r="K64" s="121"/>
      <c r="L64" s="14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</row>
    <row r="65" spans="1:27" ht="15.6">
      <c r="A65" s="121"/>
      <c r="B65" s="121"/>
      <c r="C65" s="121"/>
      <c r="D65" s="139"/>
      <c r="E65" s="139"/>
      <c r="F65" s="139"/>
      <c r="G65" s="147"/>
      <c r="H65" s="147"/>
      <c r="I65" s="121"/>
      <c r="J65" s="121"/>
      <c r="K65" s="121"/>
      <c r="L65" s="14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</row>
    <row r="66" spans="1:27" ht="15.6">
      <c r="A66" s="121"/>
      <c r="B66" s="121"/>
      <c r="C66" s="121"/>
      <c r="D66" s="139"/>
      <c r="E66" s="139"/>
      <c r="F66" s="139"/>
      <c r="G66" s="147"/>
      <c r="H66" s="147"/>
      <c r="I66" s="121"/>
      <c r="J66" s="121"/>
      <c r="K66" s="121"/>
      <c r="L66" s="14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</row>
    <row r="67" spans="1:27" ht="15.6">
      <c r="A67" s="121"/>
      <c r="B67" s="121"/>
      <c r="C67" s="121"/>
      <c r="D67" s="139"/>
      <c r="E67" s="139"/>
      <c r="F67" s="139"/>
      <c r="G67" s="147"/>
      <c r="H67" s="147"/>
      <c r="I67" s="121"/>
      <c r="J67" s="121"/>
      <c r="K67" s="121"/>
      <c r="L67" s="14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</row>
    <row r="68" spans="1:27" ht="15.6">
      <c r="A68" s="121"/>
      <c r="B68" s="121"/>
      <c r="C68" s="121"/>
      <c r="D68" s="139"/>
      <c r="E68" s="139"/>
      <c r="F68" s="139"/>
      <c r="G68" s="147"/>
      <c r="H68" s="147"/>
      <c r="I68" s="121"/>
      <c r="J68" s="121"/>
      <c r="K68" s="121"/>
      <c r="L68" s="14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</row>
    <row r="69" spans="1:27" ht="15.6">
      <c r="A69" s="121"/>
      <c r="B69" s="121"/>
      <c r="C69" s="121"/>
      <c r="D69" s="139"/>
      <c r="E69" s="139"/>
      <c r="F69" s="139"/>
      <c r="G69" s="147"/>
      <c r="H69" s="147"/>
      <c r="I69" s="121"/>
      <c r="J69" s="121"/>
      <c r="K69" s="121"/>
      <c r="L69" s="14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</row>
    <row r="70" spans="1:27" ht="15.6">
      <c r="A70" s="121"/>
      <c r="B70" s="121"/>
      <c r="C70" s="121"/>
      <c r="D70" s="139"/>
      <c r="E70" s="139"/>
      <c r="F70" s="139"/>
      <c r="G70" s="147"/>
      <c r="H70" s="147"/>
      <c r="I70" s="121"/>
      <c r="J70" s="121"/>
      <c r="K70" s="121"/>
      <c r="L70" s="14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</row>
    <row r="71" spans="1:27" ht="15.6">
      <c r="A71" s="121"/>
      <c r="B71" s="121"/>
      <c r="C71" s="121"/>
      <c r="D71" s="139"/>
      <c r="E71" s="139"/>
      <c r="F71" s="139"/>
      <c r="G71" s="147"/>
      <c r="H71" s="147"/>
      <c r="I71" s="121"/>
      <c r="J71" s="121"/>
      <c r="K71" s="121"/>
      <c r="L71" s="14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</row>
    <row r="72" spans="1:27" ht="15.6">
      <c r="A72" s="121"/>
      <c r="B72" s="121"/>
      <c r="C72" s="121"/>
      <c r="D72" s="139"/>
      <c r="E72" s="139"/>
      <c r="F72" s="139"/>
      <c r="G72" s="147"/>
      <c r="H72" s="147"/>
      <c r="I72" s="121"/>
      <c r="J72" s="121"/>
      <c r="K72" s="121"/>
      <c r="L72" s="14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</row>
    <row r="73" spans="1:27" ht="15.6">
      <c r="A73" s="121"/>
      <c r="B73" s="121"/>
      <c r="C73" s="121"/>
      <c r="D73" s="139"/>
      <c r="E73" s="139"/>
      <c r="F73" s="139"/>
      <c r="G73" s="147"/>
      <c r="H73" s="147"/>
      <c r="I73" s="121"/>
      <c r="J73" s="121"/>
      <c r="K73" s="121"/>
      <c r="L73" s="14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</row>
    <row r="74" spans="1:27" ht="15.6">
      <c r="A74" s="121"/>
      <c r="B74" s="121"/>
      <c r="C74" s="121"/>
      <c r="D74" s="139"/>
      <c r="E74" s="139"/>
      <c r="F74" s="139"/>
      <c r="G74" s="147"/>
      <c r="H74" s="147"/>
      <c r="I74" s="121"/>
      <c r="J74" s="121"/>
      <c r="K74" s="121"/>
      <c r="L74" s="14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</row>
    <row r="75" spans="1:27" ht="15.6">
      <c r="A75" s="121"/>
      <c r="B75" s="121"/>
      <c r="C75" s="121"/>
      <c r="D75" s="139"/>
      <c r="E75" s="139"/>
      <c r="F75" s="139"/>
      <c r="G75" s="147"/>
      <c r="H75" s="147"/>
      <c r="I75" s="121"/>
      <c r="J75" s="121"/>
      <c r="K75" s="121"/>
      <c r="L75" s="14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</row>
    <row r="76" spans="1:27" ht="15.6">
      <c r="A76" s="121"/>
      <c r="B76" s="121"/>
      <c r="C76" s="121"/>
      <c r="D76" s="139"/>
      <c r="E76" s="139"/>
      <c r="F76" s="139"/>
      <c r="G76" s="147"/>
      <c r="H76" s="147"/>
      <c r="I76" s="121"/>
      <c r="J76" s="121"/>
      <c r="K76" s="121"/>
      <c r="L76" s="14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</row>
    <row r="77" spans="1:27" ht="15.6">
      <c r="A77" s="121"/>
      <c r="B77" s="121"/>
      <c r="C77" s="121"/>
      <c r="D77" s="139"/>
      <c r="E77" s="139"/>
      <c r="F77" s="139"/>
      <c r="G77" s="147"/>
      <c r="H77" s="147"/>
      <c r="I77" s="121"/>
      <c r="J77" s="121"/>
      <c r="K77" s="121"/>
      <c r="L77" s="14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</row>
    <row r="78" spans="1:27" ht="15.6">
      <c r="A78" s="121"/>
      <c r="B78" s="121"/>
      <c r="C78" s="121"/>
      <c r="D78" s="139"/>
      <c r="E78" s="139"/>
      <c r="F78" s="139"/>
      <c r="G78" s="147"/>
      <c r="H78" s="147"/>
      <c r="I78" s="121"/>
      <c r="J78" s="121"/>
      <c r="K78" s="121"/>
      <c r="L78" s="14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</row>
    <row r="79" spans="1:27" ht="15.6">
      <c r="A79" s="121"/>
      <c r="B79" s="121"/>
      <c r="C79" s="121"/>
      <c r="D79" s="139"/>
      <c r="E79" s="139"/>
      <c r="F79" s="139"/>
      <c r="G79" s="147"/>
      <c r="H79" s="147"/>
      <c r="I79" s="121"/>
      <c r="J79" s="121"/>
      <c r="K79" s="121"/>
      <c r="L79" s="14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</row>
    <row r="80" spans="1:27" ht="15.6">
      <c r="A80" s="121"/>
      <c r="B80" s="121"/>
      <c r="C80" s="121"/>
      <c r="D80" s="139"/>
      <c r="E80" s="139"/>
      <c r="F80" s="139"/>
      <c r="G80" s="147"/>
      <c r="H80" s="147"/>
      <c r="I80" s="121"/>
      <c r="J80" s="121"/>
      <c r="K80" s="121"/>
      <c r="L80" s="14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</row>
    <row r="81" spans="1:27" ht="15.6">
      <c r="A81" s="121"/>
      <c r="B81" s="121"/>
      <c r="C81" s="121"/>
      <c r="D81" s="139"/>
      <c r="E81" s="139"/>
      <c r="F81" s="139"/>
      <c r="G81" s="147"/>
      <c r="H81" s="147"/>
      <c r="I81" s="121"/>
      <c r="J81" s="121"/>
      <c r="K81" s="121"/>
      <c r="L81" s="14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</row>
    <row r="82" spans="1:27" ht="15.6">
      <c r="A82" s="121"/>
      <c r="B82" s="121"/>
      <c r="C82" s="121"/>
      <c r="D82" s="139"/>
      <c r="E82" s="139"/>
      <c r="F82" s="139"/>
      <c r="G82" s="147"/>
      <c r="H82" s="147"/>
      <c r="I82" s="121"/>
      <c r="J82" s="121"/>
      <c r="K82" s="121"/>
      <c r="L82" s="14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</row>
    <row r="83" spans="1:27" ht="15.6">
      <c r="A83" s="121"/>
      <c r="B83" s="121"/>
      <c r="C83" s="121"/>
      <c r="D83" s="139"/>
      <c r="E83" s="139"/>
      <c r="F83" s="139"/>
      <c r="G83" s="147"/>
      <c r="H83" s="147"/>
      <c r="I83" s="121"/>
      <c r="J83" s="121"/>
      <c r="K83" s="121"/>
      <c r="L83" s="14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</row>
    <row r="84" spans="1:27" ht="15.6">
      <c r="A84" s="121"/>
      <c r="B84" s="121"/>
      <c r="C84" s="121"/>
      <c r="D84" s="139"/>
      <c r="E84" s="139"/>
      <c r="F84" s="139"/>
      <c r="G84" s="147"/>
      <c r="H84" s="147"/>
      <c r="I84" s="121"/>
      <c r="J84" s="121"/>
      <c r="K84" s="121"/>
      <c r="L84" s="14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</row>
    <row r="85" spans="1:27" ht="15.6">
      <c r="A85" s="121"/>
      <c r="B85" s="121"/>
      <c r="C85" s="121"/>
      <c r="D85" s="139"/>
      <c r="E85" s="139"/>
      <c r="F85" s="139"/>
      <c r="G85" s="147"/>
      <c r="H85" s="147"/>
      <c r="I85" s="121"/>
      <c r="J85" s="121"/>
      <c r="K85" s="121"/>
      <c r="L85" s="14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</row>
    <row r="86" spans="1:27" ht="15.6">
      <c r="A86" s="121"/>
      <c r="B86" s="121"/>
      <c r="C86" s="121"/>
      <c r="D86" s="139"/>
      <c r="E86" s="139"/>
      <c r="F86" s="139"/>
      <c r="G86" s="147"/>
      <c r="H86" s="147"/>
      <c r="I86" s="121"/>
      <c r="J86" s="121"/>
      <c r="K86" s="121"/>
      <c r="L86" s="14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</row>
    <row r="87" spans="1:27" ht="15.6">
      <c r="A87" s="121"/>
      <c r="B87" s="121"/>
      <c r="C87" s="121"/>
      <c r="D87" s="139"/>
      <c r="E87" s="139"/>
      <c r="F87" s="139"/>
      <c r="G87" s="147"/>
      <c r="H87" s="147"/>
      <c r="I87" s="121"/>
      <c r="J87" s="121"/>
      <c r="K87" s="121"/>
      <c r="L87" s="14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</row>
    <row r="88" spans="1:27" ht="15.6">
      <c r="A88" s="121"/>
      <c r="B88" s="121"/>
      <c r="C88" s="121"/>
      <c r="D88" s="139"/>
      <c r="E88" s="139"/>
      <c r="F88" s="139"/>
      <c r="G88" s="147"/>
      <c r="H88" s="147"/>
      <c r="I88" s="121"/>
      <c r="J88" s="121"/>
      <c r="K88" s="121"/>
      <c r="L88" s="14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</row>
    <row r="89" spans="1:27" ht="15.6">
      <c r="A89" s="121"/>
      <c r="B89" s="121"/>
      <c r="C89" s="121"/>
      <c r="D89" s="139"/>
      <c r="E89" s="139"/>
      <c r="F89" s="139"/>
      <c r="G89" s="147"/>
      <c r="H89" s="147"/>
      <c r="I89" s="121"/>
      <c r="J89" s="121"/>
      <c r="K89" s="121"/>
      <c r="L89" s="14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</row>
    <row r="90" spans="1:27" ht="15.6">
      <c r="A90" s="121"/>
      <c r="B90" s="121"/>
      <c r="C90" s="121"/>
      <c r="D90" s="139"/>
      <c r="E90" s="139"/>
      <c r="F90" s="139"/>
      <c r="G90" s="147"/>
      <c r="H90" s="147"/>
      <c r="I90" s="121"/>
      <c r="J90" s="121"/>
      <c r="K90" s="121"/>
      <c r="L90" s="14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</row>
    <row r="91" spans="1:27" ht="15.6">
      <c r="A91" s="121"/>
      <c r="B91" s="121"/>
      <c r="C91" s="121"/>
      <c r="D91" s="139"/>
      <c r="E91" s="139"/>
      <c r="F91" s="139"/>
      <c r="G91" s="147"/>
      <c r="H91" s="147"/>
      <c r="I91" s="121"/>
      <c r="J91" s="121"/>
      <c r="K91" s="121"/>
      <c r="L91" s="14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</row>
    <row r="92" spans="1:27" ht="15.6">
      <c r="A92" s="121"/>
      <c r="B92" s="121"/>
      <c r="C92" s="121"/>
      <c r="D92" s="139"/>
      <c r="E92" s="139"/>
      <c r="F92" s="139"/>
      <c r="G92" s="147"/>
      <c r="H92" s="147"/>
      <c r="I92" s="121"/>
      <c r="J92" s="121"/>
      <c r="K92" s="121"/>
      <c r="L92" s="14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</row>
    <row r="93" spans="1:27" ht="15.6">
      <c r="A93" s="121"/>
      <c r="B93" s="121"/>
      <c r="C93" s="121"/>
      <c r="D93" s="139"/>
      <c r="E93" s="139"/>
      <c r="F93" s="139"/>
      <c r="G93" s="147"/>
      <c r="H93" s="147"/>
      <c r="I93" s="121"/>
      <c r="J93" s="121"/>
      <c r="K93" s="121"/>
      <c r="L93" s="14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</row>
    <row r="94" spans="1:27" ht="15.6">
      <c r="A94" s="121"/>
      <c r="B94" s="121"/>
      <c r="C94" s="121"/>
      <c r="D94" s="139"/>
      <c r="E94" s="139"/>
      <c r="F94" s="139"/>
      <c r="G94" s="147"/>
      <c r="H94" s="147"/>
      <c r="I94" s="121"/>
      <c r="J94" s="121"/>
      <c r="K94" s="121"/>
      <c r="L94" s="14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</row>
    <row r="95" spans="1:27" ht="15.6">
      <c r="A95" s="121"/>
      <c r="B95" s="121"/>
      <c r="C95" s="121"/>
      <c r="D95" s="139"/>
      <c r="E95" s="139"/>
      <c r="F95" s="139"/>
      <c r="G95" s="147"/>
      <c r="H95" s="147"/>
      <c r="I95" s="121"/>
      <c r="J95" s="121"/>
      <c r="K95" s="121"/>
      <c r="L95" s="14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</row>
    <row r="96" spans="1:27" ht="15.6">
      <c r="A96" s="121"/>
      <c r="B96" s="121"/>
      <c r="C96" s="121"/>
      <c r="D96" s="139"/>
      <c r="E96" s="139"/>
      <c r="F96" s="139"/>
      <c r="G96" s="147"/>
      <c r="H96" s="147"/>
      <c r="I96" s="121"/>
      <c r="J96" s="121"/>
      <c r="K96" s="121"/>
      <c r="L96" s="14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</row>
    <row r="97" spans="1:27" ht="15.6">
      <c r="A97" s="121"/>
      <c r="B97" s="121"/>
      <c r="C97" s="121"/>
      <c r="D97" s="139"/>
      <c r="E97" s="139"/>
      <c r="F97" s="139"/>
      <c r="G97" s="147"/>
      <c r="H97" s="147"/>
      <c r="I97" s="121"/>
      <c r="J97" s="121"/>
      <c r="K97" s="121"/>
      <c r="L97" s="14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</row>
    <row r="98" spans="1:27" ht="15.6">
      <c r="A98" s="121"/>
      <c r="B98" s="121"/>
      <c r="C98" s="121"/>
      <c r="D98" s="139"/>
      <c r="E98" s="139"/>
      <c r="F98" s="139"/>
      <c r="G98" s="147"/>
      <c r="H98" s="147"/>
      <c r="I98" s="121"/>
      <c r="J98" s="121"/>
      <c r="K98" s="121"/>
      <c r="L98" s="14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</row>
    <row r="99" spans="1:27" ht="15.6">
      <c r="A99" s="121"/>
      <c r="B99" s="121"/>
      <c r="C99" s="121"/>
      <c r="D99" s="139"/>
      <c r="E99" s="139"/>
      <c r="F99" s="139"/>
      <c r="G99" s="147"/>
      <c r="H99" s="147"/>
      <c r="I99" s="121"/>
      <c r="J99" s="121"/>
      <c r="K99" s="121"/>
      <c r="L99" s="14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</row>
    <row r="100" spans="1:27" ht="15.6">
      <c r="A100" s="121"/>
      <c r="B100" s="121"/>
      <c r="C100" s="121"/>
      <c r="D100" s="139"/>
      <c r="E100" s="139"/>
      <c r="F100" s="139"/>
      <c r="G100" s="147"/>
      <c r="H100" s="147"/>
      <c r="I100" s="121"/>
      <c r="J100" s="121"/>
      <c r="K100" s="121"/>
      <c r="L100" s="14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</row>
    <row r="101" spans="1:27" ht="15.6">
      <c r="A101" s="121"/>
      <c r="B101" s="121"/>
      <c r="C101" s="121"/>
      <c r="D101" s="139"/>
      <c r="E101" s="139"/>
      <c r="F101" s="139"/>
      <c r="G101" s="147"/>
      <c r="H101" s="147"/>
      <c r="I101" s="121"/>
      <c r="J101" s="121"/>
      <c r="K101" s="121"/>
      <c r="L101" s="14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</row>
    <row r="102" spans="1:27" ht="15.6">
      <c r="A102" s="121"/>
      <c r="B102" s="121"/>
      <c r="C102" s="121"/>
      <c r="D102" s="139"/>
      <c r="E102" s="139"/>
      <c r="F102" s="139"/>
      <c r="G102" s="147"/>
      <c r="H102" s="147"/>
      <c r="I102" s="121"/>
      <c r="J102" s="121"/>
      <c r="K102" s="121"/>
      <c r="L102" s="14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</row>
    <row r="103" spans="1:27" ht="15.6">
      <c r="A103" s="121"/>
      <c r="B103" s="121"/>
      <c r="C103" s="121"/>
      <c r="D103" s="139"/>
      <c r="E103" s="139"/>
      <c r="F103" s="139"/>
      <c r="G103" s="147"/>
      <c r="H103" s="147"/>
      <c r="I103" s="121"/>
      <c r="J103" s="121"/>
      <c r="K103" s="121"/>
      <c r="L103" s="14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</row>
    <row r="104" spans="1:27" ht="15.6">
      <c r="A104" s="121"/>
      <c r="B104" s="121"/>
      <c r="C104" s="121"/>
      <c r="D104" s="139"/>
      <c r="E104" s="139"/>
      <c r="F104" s="139"/>
      <c r="G104" s="147"/>
      <c r="H104" s="147"/>
      <c r="I104" s="121"/>
      <c r="J104" s="121"/>
      <c r="K104" s="121"/>
      <c r="L104" s="14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</row>
    <row r="105" spans="1:27" ht="15.6">
      <c r="A105" s="121"/>
      <c r="B105" s="121"/>
      <c r="C105" s="121"/>
      <c r="D105" s="139"/>
      <c r="E105" s="139"/>
      <c r="F105" s="139"/>
      <c r="G105" s="147"/>
      <c r="H105" s="147"/>
      <c r="I105" s="121"/>
      <c r="J105" s="121"/>
      <c r="K105" s="121"/>
      <c r="L105" s="14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</row>
    <row r="106" spans="1:27" ht="15.6">
      <c r="A106" s="121"/>
      <c r="B106" s="121"/>
      <c r="C106" s="121"/>
      <c r="D106" s="139"/>
      <c r="E106" s="139"/>
      <c r="F106" s="139"/>
      <c r="G106" s="147"/>
      <c r="H106" s="147"/>
      <c r="I106" s="121"/>
      <c r="J106" s="121"/>
      <c r="K106" s="121"/>
      <c r="L106" s="14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</row>
    <row r="107" spans="1:27" ht="15.6">
      <c r="A107" s="121"/>
      <c r="B107" s="121"/>
      <c r="C107" s="121"/>
      <c r="D107" s="139"/>
      <c r="E107" s="139"/>
      <c r="F107" s="139"/>
      <c r="G107" s="147"/>
      <c r="H107" s="147"/>
      <c r="I107" s="121"/>
      <c r="J107" s="121"/>
      <c r="K107" s="121"/>
      <c r="L107" s="14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</row>
    <row r="108" spans="1:27" ht="15.6">
      <c r="A108" s="121"/>
      <c r="B108" s="121"/>
      <c r="C108" s="121"/>
      <c r="D108" s="139"/>
      <c r="E108" s="139"/>
      <c r="F108" s="139"/>
      <c r="G108" s="147"/>
      <c r="H108" s="147"/>
      <c r="I108" s="121"/>
      <c r="J108" s="121"/>
      <c r="K108" s="121"/>
      <c r="L108" s="14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</row>
    <row r="109" spans="1:27" ht="15.6">
      <c r="A109" s="121"/>
      <c r="B109" s="121"/>
      <c r="C109" s="121"/>
      <c r="D109" s="139"/>
      <c r="E109" s="139"/>
      <c r="F109" s="139"/>
      <c r="G109" s="147"/>
      <c r="H109" s="147"/>
      <c r="I109" s="121"/>
      <c r="J109" s="121"/>
      <c r="K109" s="121"/>
      <c r="L109" s="14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</row>
    <row r="110" spans="1:27" ht="15.6">
      <c r="A110" s="121"/>
      <c r="B110" s="121"/>
      <c r="C110" s="121"/>
      <c r="D110" s="139"/>
      <c r="E110" s="139"/>
      <c r="F110" s="139"/>
      <c r="G110" s="147"/>
      <c r="H110" s="147"/>
      <c r="I110" s="121"/>
      <c r="J110" s="121"/>
      <c r="K110" s="121"/>
      <c r="L110" s="14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</row>
    <row r="111" spans="1:27" ht="15.6">
      <c r="A111" s="121"/>
      <c r="B111" s="121"/>
      <c r="C111" s="121"/>
      <c r="D111" s="139"/>
      <c r="E111" s="139"/>
      <c r="F111" s="139"/>
      <c r="G111" s="147"/>
      <c r="H111" s="147"/>
      <c r="I111" s="121"/>
      <c r="J111" s="121"/>
      <c r="K111" s="121"/>
      <c r="L111" s="14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</row>
    <row r="112" spans="1:27" ht="15.6">
      <c r="A112" s="121"/>
      <c r="B112" s="121"/>
      <c r="C112" s="121"/>
      <c r="D112" s="139"/>
      <c r="E112" s="139"/>
      <c r="F112" s="139"/>
      <c r="G112" s="147"/>
      <c r="H112" s="147"/>
      <c r="I112" s="121"/>
      <c r="J112" s="121"/>
      <c r="K112" s="121"/>
      <c r="L112" s="14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</row>
    <row r="113" spans="1:27" ht="15.6">
      <c r="A113" s="121"/>
      <c r="B113" s="121"/>
      <c r="C113" s="121"/>
      <c r="D113" s="139"/>
      <c r="E113" s="139"/>
      <c r="F113" s="139"/>
      <c r="G113" s="147"/>
      <c r="H113" s="147"/>
      <c r="I113" s="121"/>
      <c r="J113" s="121"/>
      <c r="K113" s="121"/>
      <c r="L113" s="14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</row>
    <row r="114" spans="1:27" ht="15.6">
      <c r="A114" s="121"/>
      <c r="B114" s="121"/>
      <c r="C114" s="121"/>
      <c r="D114" s="139"/>
      <c r="E114" s="139"/>
      <c r="F114" s="139"/>
      <c r="G114" s="147"/>
      <c r="H114" s="147"/>
      <c r="I114" s="121"/>
      <c r="J114" s="121"/>
      <c r="K114" s="121"/>
      <c r="L114" s="14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</row>
    <row r="115" spans="1:27" ht="15.6">
      <c r="A115" s="121"/>
      <c r="B115" s="121"/>
      <c r="C115" s="121"/>
      <c r="D115" s="139"/>
      <c r="E115" s="139"/>
      <c r="F115" s="139"/>
      <c r="G115" s="147"/>
      <c r="H115" s="147"/>
      <c r="I115" s="121"/>
      <c r="J115" s="121"/>
      <c r="K115" s="121"/>
      <c r="L115" s="14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</row>
    <row r="116" spans="1:27" ht="15.6">
      <c r="A116" s="121"/>
      <c r="B116" s="121"/>
      <c r="C116" s="121"/>
      <c r="D116" s="139"/>
      <c r="E116" s="139"/>
      <c r="F116" s="139"/>
      <c r="G116" s="147"/>
      <c r="H116" s="147"/>
      <c r="I116" s="121"/>
      <c r="J116" s="121"/>
      <c r="K116" s="121"/>
      <c r="L116" s="14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</row>
    <row r="117" spans="1:27" ht="15.6">
      <c r="A117" s="121"/>
      <c r="B117" s="121"/>
      <c r="C117" s="121"/>
      <c r="D117" s="139"/>
      <c r="E117" s="139"/>
      <c r="F117" s="139"/>
      <c r="G117" s="147"/>
      <c r="H117" s="147"/>
      <c r="I117" s="121"/>
      <c r="J117" s="121"/>
      <c r="K117" s="121"/>
      <c r="L117" s="14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</row>
    <row r="118" spans="1:27" ht="15.6">
      <c r="A118" s="121"/>
      <c r="B118" s="121"/>
      <c r="C118" s="121"/>
      <c r="D118" s="139"/>
      <c r="E118" s="139"/>
      <c r="F118" s="139"/>
      <c r="G118" s="147"/>
      <c r="H118" s="147"/>
      <c r="I118" s="121"/>
      <c r="J118" s="121"/>
      <c r="K118" s="121"/>
      <c r="L118" s="14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</row>
    <row r="119" spans="1:27" ht="15.6">
      <c r="A119" s="121"/>
      <c r="B119" s="121"/>
      <c r="C119" s="121"/>
      <c r="D119" s="139"/>
      <c r="E119" s="139"/>
      <c r="F119" s="139"/>
      <c r="G119" s="147"/>
      <c r="H119" s="147"/>
      <c r="I119" s="121"/>
      <c r="J119" s="121"/>
      <c r="K119" s="121"/>
      <c r="L119" s="14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</row>
    <row r="120" spans="1:27" ht="15.6">
      <c r="A120" s="121"/>
      <c r="B120" s="121"/>
      <c r="C120" s="121"/>
      <c r="D120" s="139"/>
      <c r="E120" s="139"/>
      <c r="F120" s="139"/>
      <c r="G120" s="147"/>
      <c r="H120" s="147"/>
      <c r="I120" s="121"/>
      <c r="J120" s="121"/>
      <c r="K120" s="121"/>
      <c r="L120" s="14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</row>
    <row r="121" spans="1:27" ht="15.6">
      <c r="A121" s="121"/>
      <c r="B121" s="121"/>
      <c r="C121" s="121"/>
      <c r="D121" s="139"/>
      <c r="E121" s="139"/>
      <c r="F121" s="139"/>
      <c r="G121" s="147"/>
      <c r="H121" s="147"/>
      <c r="I121" s="121"/>
      <c r="J121" s="121"/>
      <c r="K121" s="121"/>
      <c r="L121" s="14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</row>
    <row r="122" spans="1:27" ht="15.6">
      <c r="A122" s="121"/>
      <c r="B122" s="121"/>
      <c r="C122" s="121"/>
      <c r="D122" s="139"/>
      <c r="E122" s="139"/>
      <c r="F122" s="139"/>
      <c r="G122" s="147"/>
      <c r="H122" s="147"/>
      <c r="I122" s="121"/>
      <c r="J122" s="121"/>
      <c r="K122" s="121"/>
      <c r="L122" s="14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</row>
    <row r="123" spans="1:27" ht="15.6">
      <c r="A123" s="121"/>
      <c r="B123" s="121"/>
      <c r="C123" s="121"/>
      <c r="D123" s="139"/>
      <c r="E123" s="139"/>
      <c r="F123" s="139"/>
      <c r="G123" s="147"/>
      <c r="H123" s="147"/>
      <c r="I123" s="121"/>
      <c r="J123" s="121"/>
      <c r="K123" s="121"/>
      <c r="L123" s="14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</row>
    <row r="124" spans="1:27" ht="15.6">
      <c r="A124" s="121"/>
      <c r="B124" s="121"/>
      <c r="C124" s="121"/>
      <c r="D124" s="139"/>
      <c r="E124" s="139"/>
      <c r="F124" s="139"/>
      <c r="G124" s="147"/>
      <c r="H124" s="147"/>
      <c r="I124" s="121"/>
      <c r="J124" s="121"/>
      <c r="K124" s="121"/>
      <c r="L124" s="14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</row>
    <row r="125" spans="1:27" ht="15.6">
      <c r="A125" s="121"/>
      <c r="B125" s="121"/>
      <c r="C125" s="121"/>
      <c r="D125" s="139"/>
      <c r="E125" s="139"/>
      <c r="F125" s="139"/>
      <c r="G125" s="147"/>
      <c r="H125" s="147"/>
      <c r="I125" s="121"/>
      <c r="J125" s="121"/>
      <c r="K125" s="121"/>
      <c r="L125" s="14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</row>
    <row r="126" spans="1:27" ht="15.6">
      <c r="A126" s="121"/>
      <c r="B126" s="121"/>
      <c r="C126" s="121"/>
      <c r="D126" s="139"/>
      <c r="E126" s="139"/>
      <c r="F126" s="139"/>
      <c r="G126" s="147"/>
      <c r="H126" s="147"/>
      <c r="I126" s="121"/>
      <c r="J126" s="121"/>
      <c r="K126" s="121"/>
      <c r="L126" s="14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</row>
    <row r="127" spans="1:27" ht="15.6">
      <c r="A127" s="121"/>
      <c r="B127" s="121"/>
      <c r="C127" s="121"/>
      <c r="D127" s="139"/>
      <c r="E127" s="139"/>
      <c r="F127" s="139"/>
      <c r="G127" s="147"/>
      <c r="H127" s="147"/>
      <c r="I127" s="121"/>
      <c r="J127" s="121"/>
      <c r="K127" s="121"/>
      <c r="L127" s="14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</row>
    <row r="128" spans="1:27" ht="15.6">
      <c r="A128" s="121"/>
      <c r="B128" s="121"/>
      <c r="C128" s="121"/>
      <c r="D128" s="139"/>
      <c r="E128" s="139"/>
      <c r="F128" s="139"/>
      <c r="G128" s="147"/>
      <c r="H128" s="147"/>
      <c r="I128" s="121"/>
      <c r="J128" s="121"/>
      <c r="K128" s="121"/>
      <c r="L128" s="14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</row>
    <row r="129" spans="1:27" ht="15.6">
      <c r="A129" s="121"/>
      <c r="B129" s="121"/>
      <c r="C129" s="121"/>
      <c r="D129" s="139"/>
      <c r="E129" s="139"/>
      <c r="F129" s="139"/>
      <c r="G129" s="147"/>
      <c r="H129" s="147"/>
      <c r="I129" s="121"/>
      <c r="J129" s="121"/>
      <c r="K129" s="121"/>
      <c r="L129" s="14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</row>
    <row r="130" spans="1:27" ht="15.6">
      <c r="A130" s="121"/>
      <c r="B130" s="121"/>
      <c r="C130" s="121"/>
      <c r="D130" s="139"/>
      <c r="E130" s="139"/>
      <c r="F130" s="139"/>
      <c r="G130" s="147"/>
      <c r="H130" s="147"/>
      <c r="I130" s="121"/>
      <c r="J130" s="121"/>
      <c r="K130" s="121"/>
      <c r="L130" s="14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</row>
    <row r="131" spans="1:27" ht="15.6">
      <c r="A131" s="121"/>
      <c r="B131" s="121"/>
      <c r="C131" s="121"/>
      <c r="D131" s="139"/>
      <c r="E131" s="139"/>
      <c r="F131" s="139"/>
      <c r="G131" s="147"/>
      <c r="H131" s="147"/>
      <c r="I131" s="121"/>
      <c r="J131" s="121"/>
      <c r="K131" s="121"/>
      <c r="L131" s="14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</row>
    <row r="132" spans="1:27" ht="15.6">
      <c r="A132" s="121"/>
      <c r="B132" s="121"/>
      <c r="C132" s="121"/>
      <c r="D132" s="139"/>
      <c r="E132" s="139"/>
      <c r="F132" s="139"/>
      <c r="G132" s="147"/>
      <c r="H132" s="147"/>
      <c r="I132" s="121"/>
      <c r="J132" s="121"/>
      <c r="K132" s="121"/>
      <c r="L132" s="14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</row>
    <row r="133" spans="1:27" ht="15.6">
      <c r="A133" s="121"/>
      <c r="B133" s="121"/>
      <c r="C133" s="121"/>
      <c r="D133" s="139"/>
      <c r="E133" s="139"/>
      <c r="F133" s="139"/>
      <c r="G133" s="147"/>
      <c r="H133" s="147"/>
      <c r="I133" s="121"/>
      <c r="J133" s="121"/>
      <c r="K133" s="121"/>
      <c r="L133" s="14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</row>
    <row r="134" spans="1:27" ht="15.6">
      <c r="A134" s="121"/>
      <c r="B134" s="121"/>
      <c r="C134" s="121"/>
      <c r="D134" s="139"/>
      <c r="E134" s="139"/>
      <c r="F134" s="139"/>
      <c r="G134" s="147"/>
      <c r="H134" s="147"/>
      <c r="I134" s="121"/>
      <c r="J134" s="121"/>
      <c r="K134" s="121"/>
      <c r="L134" s="14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</row>
    <row r="135" spans="1:27" ht="15.6">
      <c r="A135" s="121"/>
      <c r="B135" s="121"/>
      <c r="C135" s="121"/>
      <c r="D135" s="139"/>
      <c r="E135" s="139"/>
      <c r="F135" s="139"/>
      <c r="G135" s="147"/>
      <c r="H135" s="147"/>
      <c r="I135" s="121"/>
      <c r="J135" s="121"/>
      <c r="K135" s="121"/>
      <c r="L135" s="14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</row>
    <row r="136" spans="1:27" ht="15.6">
      <c r="A136" s="121"/>
      <c r="B136" s="121"/>
      <c r="C136" s="121"/>
      <c r="D136" s="139"/>
      <c r="E136" s="139"/>
      <c r="F136" s="139"/>
      <c r="G136" s="147"/>
      <c r="H136" s="147"/>
      <c r="I136" s="121"/>
      <c r="J136" s="121"/>
      <c r="K136" s="121"/>
      <c r="L136" s="14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</row>
    <row r="137" spans="1:27" ht="15.6">
      <c r="A137" s="121"/>
      <c r="B137" s="121"/>
      <c r="C137" s="121"/>
      <c r="D137" s="139"/>
      <c r="E137" s="139"/>
      <c r="F137" s="139"/>
      <c r="G137" s="147"/>
      <c r="H137" s="147"/>
      <c r="I137" s="121"/>
      <c r="J137" s="121"/>
      <c r="K137" s="121"/>
      <c r="L137" s="14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</row>
    <row r="138" spans="1:27" ht="15.6">
      <c r="A138" s="121"/>
      <c r="B138" s="121"/>
      <c r="C138" s="121"/>
      <c r="D138" s="139"/>
      <c r="E138" s="139"/>
      <c r="F138" s="139"/>
      <c r="G138" s="147"/>
      <c r="H138" s="147"/>
      <c r="I138" s="121"/>
      <c r="J138" s="121"/>
      <c r="K138" s="121"/>
      <c r="L138" s="14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</row>
    <row r="139" spans="1:27" ht="15.6">
      <c r="A139" s="121"/>
      <c r="B139" s="121"/>
      <c r="C139" s="121"/>
      <c r="D139" s="139"/>
      <c r="E139" s="139"/>
      <c r="F139" s="139"/>
      <c r="G139" s="147"/>
      <c r="H139" s="147"/>
      <c r="I139" s="121"/>
      <c r="J139" s="121"/>
      <c r="K139" s="121"/>
      <c r="L139" s="14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</row>
    <row r="140" spans="1:27" ht="15.6">
      <c r="A140" s="121"/>
      <c r="B140" s="121"/>
      <c r="C140" s="121"/>
      <c r="D140" s="139"/>
      <c r="E140" s="139"/>
      <c r="F140" s="139"/>
      <c r="G140" s="147"/>
      <c r="H140" s="147"/>
      <c r="I140" s="121"/>
      <c r="J140" s="121"/>
      <c r="K140" s="121"/>
      <c r="L140" s="14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</row>
    <row r="141" spans="1:27" ht="15.6">
      <c r="A141" s="121"/>
      <c r="B141" s="121"/>
      <c r="C141" s="121"/>
      <c r="D141" s="139"/>
      <c r="E141" s="139"/>
      <c r="F141" s="139"/>
      <c r="G141" s="147"/>
      <c r="H141" s="147"/>
      <c r="I141" s="121"/>
      <c r="J141" s="121"/>
      <c r="K141" s="121"/>
      <c r="L141" s="14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</row>
    <row r="142" spans="1:27" ht="15.6">
      <c r="A142" s="121"/>
      <c r="B142" s="121"/>
      <c r="C142" s="121"/>
      <c r="D142" s="139"/>
      <c r="E142" s="139"/>
      <c r="F142" s="139"/>
      <c r="G142" s="147"/>
      <c r="H142" s="147"/>
      <c r="I142" s="121"/>
      <c r="J142" s="121"/>
      <c r="K142" s="121"/>
      <c r="L142" s="14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</row>
    <row r="143" spans="1:27" ht="15.6">
      <c r="A143" s="121"/>
      <c r="B143" s="121"/>
      <c r="C143" s="121"/>
      <c r="D143" s="139"/>
      <c r="E143" s="139"/>
      <c r="F143" s="139"/>
      <c r="G143" s="147"/>
      <c r="H143" s="147"/>
      <c r="I143" s="121"/>
      <c r="J143" s="121"/>
      <c r="K143" s="121"/>
      <c r="L143" s="14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</row>
    <row r="144" spans="1:27" ht="15.6">
      <c r="A144" s="121"/>
      <c r="B144" s="121"/>
      <c r="C144" s="121"/>
      <c r="D144" s="139"/>
      <c r="E144" s="139"/>
      <c r="F144" s="139"/>
      <c r="G144" s="147"/>
      <c r="H144" s="147"/>
      <c r="I144" s="121"/>
      <c r="J144" s="121"/>
      <c r="K144" s="121"/>
      <c r="L144" s="14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</row>
    <row r="145" spans="1:27" ht="15.6">
      <c r="A145" s="121"/>
      <c r="B145" s="121"/>
      <c r="C145" s="121"/>
      <c r="D145" s="139"/>
      <c r="E145" s="139"/>
      <c r="F145" s="139"/>
      <c r="G145" s="147"/>
      <c r="H145" s="147"/>
      <c r="I145" s="121"/>
      <c r="J145" s="121"/>
      <c r="K145" s="121"/>
      <c r="L145" s="14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</row>
    <row r="146" spans="1:27" ht="15.6">
      <c r="A146" s="121"/>
      <c r="B146" s="121"/>
      <c r="C146" s="121"/>
      <c r="D146" s="139"/>
      <c r="E146" s="139"/>
      <c r="F146" s="139"/>
      <c r="G146" s="147"/>
      <c r="H146" s="147"/>
      <c r="I146" s="121"/>
      <c r="J146" s="121"/>
      <c r="K146" s="121"/>
      <c r="L146" s="14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</row>
    <row r="147" spans="1:27" ht="15.6">
      <c r="A147" s="121"/>
      <c r="B147" s="121"/>
      <c r="C147" s="121"/>
      <c r="D147" s="139"/>
      <c r="E147" s="139"/>
      <c r="F147" s="139"/>
      <c r="G147" s="147"/>
      <c r="H147" s="147"/>
      <c r="I147" s="121"/>
      <c r="J147" s="121"/>
      <c r="K147" s="121"/>
      <c r="L147" s="14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</row>
    <row r="148" spans="1:27" ht="15.6">
      <c r="A148" s="121"/>
      <c r="B148" s="121"/>
      <c r="C148" s="121"/>
      <c r="D148" s="139"/>
      <c r="E148" s="139"/>
      <c r="F148" s="139"/>
      <c r="G148" s="147"/>
      <c r="H148" s="147"/>
      <c r="I148" s="121"/>
      <c r="J148" s="121"/>
      <c r="K148" s="121"/>
      <c r="L148" s="14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</row>
    <row r="149" spans="1:27" ht="15.6">
      <c r="A149" s="121"/>
      <c r="B149" s="121"/>
      <c r="C149" s="121"/>
      <c r="D149" s="139"/>
      <c r="E149" s="139"/>
      <c r="F149" s="139"/>
      <c r="G149" s="147"/>
      <c r="H149" s="147"/>
      <c r="I149" s="121"/>
      <c r="J149" s="121"/>
      <c r="K149" s="121"/>
      <c r="L149" s="14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</row>
    <row r="150" spans="1:27" ht="15.6">
      <c r="A150" s="121"/>
      <c r="B150" s="121"/>
      <c r="C150" s="121"/>
      <c r="D150" s="139"/>
      <c r="E150" s="139"/>
      <c r="F150" s="139"/>
      <c r="G150" s="147"/>
      <c r="H150" s="147"/>
      <c r="I150" s="121"/>
      <c r="J150" s="121"/>
      <c r="K150" s="121"/>
      <c r="L150" s="14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</row>
    <row r="151" spans="1:27" ht="15.6">
      <c r="A151" s="121"/>
      <c r="B151" s="121"/>
      <c r="C151" s="121"/>
      <c r="D151" s="139"/>
      <c r="E151" s="139"/>
      <c r="F151" s="139"/>
      <c r="G151" s="147"/>
      <c r="H151" s="147"/>
      <c r="I151" s="121"/>
      <c r="J151" s="121"/>
      <c r="K151" s="121"/>
      <c r="L151" s="14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</row>
    <row r="152" spans="1:27" ht="15.6">
      <c r="A152" s="121"/>
      <c r="B152" s="121"/>
      <c r="C152" s="121"/>
      <c r="D152" s="139"/>
      <c r="E152" s="139"/>
      <c r="F152" s="139"/>
      <c r="G152" s="147"/>
      <c r="H152" s="147"/>
      <c r="I152" s="121"/>
      <c r="J152" s="121"/>
      <c r="K152" s="121"/>
      <c r="L152" s="14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</row>
    <row r="153" spans="1:27" ht="15.6">
      <c r="A153" s="121"/>
      <c r="B153" s="121"/>
      <c r="C153" s="121"/>
      <c r="D153" s="139"/>
      <c r="E153" s="139"/>
      <c r="F153" s="139"/>
      <c r="G153" s="147"/>
      <c r="H153" s="147"/>
      <c r="I153" s="121"/>
      <c r="J153" s="121"/>
      <c r="K153" s="121"/>
      <c r="L153" s="14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</row>
    <row r="154" spans="1:27" ht="15.6">
      <c r="A154" s="121"/>
      <c r="B154" s="121"/>
      <c r="C154" s="121"/>
      <c r="D154" s="139"/>
      <c r="E154" s="139"/>
      <c r="F154" s="139"/>
      <c r="G154" s="147"/>
      <c r="H154" s="147"/>
      <c r="I154" s="121"/>
      <c r="J154" s="121"/>
      <c r="K154" s="121"/>
      <c r="L154" s="14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</row>
    <row r="155" spans="1:27" ht="15.6">
      <c r="A155" s="121"/>
      <c r="B155" s="121"/>
      <c r="C155" s="121"/>
      <c r="D155" s="139"/>
      <c r="E155" s="139"/>
      <c r="F155" s="139"/>
      <c r="G155" s="147"/>
      <c r="H155" s="147"/>
      <c r="I155" s="121"/>
      <c r="J155" s="121"/>
      <c r="K155" s="121"/>
      <c r="L155" s="14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</row>
    <row r="156" spans="1:27" ht="15.6">
      <c r="A156" s="121"/>
      <c r="B156" s="121"/>
      <c r="C156" s="121"/>
      <c r="D156" s="139"/>
      <c r="E156" s="139"/>
      <c r="F156" s="139"/>
      <c r="G156" s="147"/>
      <c r="H156" s="147"/>
      <c r="I156" s="121"/>
      <c r="J156" s="121"/>
      <c r="K156" s="121"/>
      <c r="L156" s="14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</row>
    <row r="157" spans="1:27" ht="15.6">
      <c r="A157" s="121"/>
      <c r="B157" s="121"/>
      <c r="C157" s="121"/>
      <c r="D157" s="139"/>
      <c r="E157" s="139"/>
      <c r="F157" s="139"/>
      <c r="G157" s="147"/>
      <c r="H157" s="147"/>
      <c r="I157" s="121"/>
      <c r="J157" s="121"/>
      <c r="K157" s="121"/>
      <c r="L157" s="14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</row>
    <row r="158" spans="1:27" ht="15.6">
      <c r="A158" s="121"/>
      <c r="B158" s="121"/>
      <c r="C158" s="121"/>
      <c r="D158" s="139"/>
      <c r="E158" s="139"/>
      <c r="F158" s="139"/>
      <c r="G158" s="147"/>
      <c r="H158" s="147"/>
      <c r="I158" s="121"/>
      <c r="J158" s="121"/>
      <c r="K158" s="121"/>
      <c r="L158" s="14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</row>
    <row r="159" spans="1:27" ht="15.6">
      <c r="A159" s="121"/>
      <c r="B159" s="121"/>
      <c r="C159" s="121"/>
      <c r="D159" s="139"/>
      <c r="E159" s="139"/>
      <c r="F159" s="139"/>
      <c r="G159" s="147"/>
      <c r="H159" s="147"/>
      <c r="I159" s="121"/>
      <c r="J159" s="121"/>
      <c r="K159" s="121"/>
      <c r="L159" s="14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</row>
    <row r="160" spans="1:27" ht="15.6">
      <c r="A160" s="121"/>
      <c r="B160" s="121"/>
      <c r="C160" s="121"/>
      <c r="D160" s="139"/>
      <c r="E160" s="139"/>
      <c r="F160" s="139"/>
      <c r="G160" s="147"/>
      <c r="H160" s="147"/>
      <c r="I160" s="121"/>
      <c r="J160" s="121"/>
      <c r="K160" s="121"/>
      <c r="L160" s="14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</row>
    <row r="161" spans="1:27" ht="15.6">
      <c r="A161" s="121"/>
      <c r="B161" s="121"/>
      <c r="C161" s="121"/>
      <c r="D161" s="139"/>
      <c r="E161" s="139"/>
      <c r="F161" s="139"/>
      <c r="G161" s="147"/>
      <c r="H161" s="147"/>
      <c r="I161" s="121"/>
      <c r="J161" s="121"/>
      <c r="K161" s="121"/>
      <c r="L161" s="14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</row>
    <row r="162" spans="1:27" ht="15.6">
      <c r="A162" s="121"/>
      <c r="B162" s="121"/>
      <c r="C162" s="121"/>
      <c r="D162" s="139"/>
      <c r="E162" s="139"/>
      <c r="F162" s="139"/>
      <c r="G162" s="147"/>
      <c r="H162" s="147"/>
      <c r="I162" s="121"/>
      <c r="J162" s="121"/>
      <c r="K162" s="121"/>
      <c r="L162" s="14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</row>
    <row r="163" spans="1:27" ht="15.6">
      <c r="A163" s="121"/>
      <c r="B163" s="121"/>
      <c r="C163" s="121"/>
      <c r="D163" s="139"/>
      <c r="E163" s="139"/>
      <c r="F163" s="139"/>
      <c r="G163" s="147"/>
      <c r="H163" s="147"/>
      <c r="I163" s="121"/>
      <c r="J163" s="121"/>
      <c r="K163" s="121"/>
      <c r="L163" s="14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</row>
    <row r="164" spans="1:27" ht="15.6">
      <c r="A164" s="121"/>
      <c r="B164" s="121"/>
      <c r="C164" s="121"/>
      <c r="D164" s="139"/>
      <c r="E164" s="139"/>
      <c r="F164" s="139"/>
      <c r="G164" s="147"/>
      <c r="H164" s="147"/>
      <c r="I164" s="121"/>
      <c r="J164" s="121"/>
      <c r="K164" s="121"/>
      <c r="L164" s="14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</row>
    <row r="165" spans="1:27" ht="15.6">
      <c r="A165" s="121"/>
      <c r="B165" s="121"/>
      <c r="C165" s="121"/>
      <c r="D165" s="139"/>
      <c r="E165" s="139"/>
      <c r="F165" s="139"/>
      <c r="G165" s="147"/>
      <c r="H165" s="147"/>
      <c r="I165" s="121"/>
      <c r="J165" s="121"/>
      <c r="K165" s="121"/>
      <c r="L165" s="14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</row>
    <row r="166" spans="1:27" ht="15.6">
      <c r="A166" s="121"/>
      <c r="B166" s="121"/>
      <c r="C166" s="121"/>
      <c r="D166" s="139"/>
      <c r="E166" s="139"/>
      <c r="F166" s="139"/>
      <c r="G166" s="147"/>
      <c r="H166" s="147"/>
      <c r="I166" s="121"/>
      <c r="J166" s="121"/>
      <c r="K166" s="121"/>
      <c r="L166" s="14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</row>
    <row r="167" spans="1:27" ht="15.6">
      <c r="A167" s="121"/>
      <c r="B167" s="121"/>
      <c r="C167" s="121"/>
      <c r="D167" s="139"/>
      <c r="E167" s="139"/>
      <c r="F167" s="139"/>
      <c r="G167" s="147"/>
      <c r="H167" s="147"/>
      <c r="I167" s="121"/>
      <c r="J167" s="121"/>
      <c r="K167" s="121"/>
      <c r="L167" s="14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</row>
    <row r="168" spans="1:27" ht="15.6">
      <c r="A168" s="121"/>
      <c r="B168" s="121"/>
      <c r="C168" s="121"/>
      <c r="D168" s="139"/>
      <c r="E168" s="139"/>
      <c r="F168" s="139"/>
      <c r="G168" s="147"/>
      <c r="H168" s="147"/>
      <c r="I168" s="121"/>
      <c r="J168" s="121"/>
      <c r="K168" s="121"/>
      <c r="L168" s="14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</row>
    <row r="169" spans="1:27" ht="15.6">
      <c r="A169" s="121"/>
      <c r="B169" s="121"/>
      <c r="C169" s="121"/>
      <c r="D169" s="139"/>
      <c r="E169" s="139"/>
      <c r="F169" s="139"/>
      <c r="G169" s="147"/>
      <c r="H169" s="147"/>
      <c r="I169" s="121"/>
      <c r="J169" s="121"/>
      <c r="K169" s="121"/>
      <c r="L169" s="14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</row>
    <row r="170" spans="1:27" ht="15.6">
      <c r="A170" s="121"/>
      <c r="B170" s="121"/>
      <c r="C170" s="121"/>
      <c r="D170" s="139"/>
      <c r="E170" s="139"/>
      <c r="F170" s="139"/>
      <c r="G170" s="147"/>
      <c r="H170" s="147"/>
      <c r="I170" s="121"/>
      <c r="J170" s="121"/>
      <c r="K170" s="121"/>
      <c r="L170" s="14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</row>
    <row r="171" spans="1:27" ht="15.6">
      <c r="A171" s="121"/>
      <c r="B171" s="121"/>
      <c r="C171" s="121"/>
      <c r="D171" s="139"/>
      <c r="E171" s="139"/>
      <c r="F171" s="139"/>
      <c r="G171" s="147"/>
      <c r="H171" s="147"/>
      <c r="I171" s="121"/>
      <c r="J171" s="121"/>
      <c r="K171" s="121"/>
      <c r="L171" s="14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</row>
    <row r="172" spans="1:27" ht="15.6">
      <c r="A172" s="121"/>
      <c r="B172" s="121"/>
      <c r="C172" s="121"/>
      <c r="D172" s="139"/>
      <c r="E172" s="139"/>
      <c r="F172" s="139"/>
      <c r="G172" s="147"/>
      <c r="H172" s="147"/>
      <c r="I172" s="121"/>
      <c r="J172" s="121"/>
      <c r="K172" s="121"/>
      <c r="L172" s="14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</row>
    <row r="173" spans="1:27" ht="15.6">
      <c r="A173" s="121"/>
      <c r="B173" s="121"/>
      <c r="C173" s="121"/>
      <c r="D173" s="139"/>
      <c r="E173" s="139"/>
      <c r="F173" s="139"/>
      <c r="G173" s="147"/>
      <c r="H173" s="147"/>
      <c r="I173" s="121"/>
      <c r="J173" s="121"/>
      <c r="K173" s="121"/>
      <c r="L173" s="14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</row>
    <row r="174" spans="1:27" ht="15.6">
      <c r="A174" s="121"/>
      <c r="B174" s="121"/>
      <c r="C174" s="121"/>
      <c r="D174" s="139"/>
      <c r="E174" s="139"/>
      <c r="F174" s="139"/>
      <c r="G174" s="147"/>
      <c r="H174" s="147"/>
      <c r="I174" s="121"/>
      <c r="J174" s="121"/>
      <c r="K174" s="121"/>
      <c r="L174" s="14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</row>
    <row r="175" spans="1:27" ht="15.6">
      <c r="A175" s="121"/>
      <c r="B175" s="121"/>
      <c r="C175" s="121"/>
      <c r="D175" s="139"/>
      <c r="E175" s="139"/>
      <c r="F175" s="139"/>
      <c r="G175" s="147"/>
      <c r="H175" s="147"/>
      <c r="I175" s="121"/>
      <c r="J175" s="121"/>
      <c r="K175" s="121"/>
      <c r="L175" s="14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</row>
    <row r="176" spans="1:27" ht="15.6">
      <c r="A176" s="121"/>
      <c r="B176" s="121"/>
      <c r="C176" s="121"/>
      <c r="D176" s="139"/>
      <c r="E176" s="139"/>
      <c r="F176" s="139"/>
      <c r="G176" s="147"/>
      <c r="H176" s="147"/>
      <c r="I176" s="121"/>
      <c r="J176" s="121"/>
      <c r="K176" s="121"/>
      <c r="L176" s="14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</row>
    <row r="177" spans="1:27" ht="15.6">
      <c r="A177" s="121"/>
      <c r="B177" s="121"/>
      <c r="C177" s="121"/>
      <c r="D177" s="139"/>
      <c r="E177" s="139"/>
      <c r="F177" s="139"/>
      <c r="G177" s="147"/>
      <c r="H177" s="147"/>
      <c r="I177" s="121"/>
      <c r="J177" s="121"/>
      <c r="K177" s="121"/>
      <c r="L177" s="14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</row>
    <row r="178" spans="1:27" ht="15.6">
      <c r="A178" s="121"/>
      <c r="B178" s="121"/>
      <c r="C178" s="121"/>
      <c r="D178" s="139"/>
      <c r="E178" s="139"/>
      <c r="F178" s="139"/>
      <c r="G178" s="147"/>
      <c r="H178" s="147"/>
      <c r="I178" s="121"/>
      <c r="J178" s="121"/>
      <c r="K178" s="121"/>
      <c r="L178" s="14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</row>
    <row r="179" spans="1:27" ht="15.6">
      <c r="A179" s="121"/>
      <c r="B179" s="121"/>
      <c r="C179" s="121"/>
      <c r="D179" s="139"/>
      <c r="E179" s="139"/>
      <c r="F179" s="139"/>
      <c r="G179" s="147"/>
      <c r="H179" s="147"/>
      <c r="I179" s="121"/>
      <c r="J179" s="121"/>
      <c r="K179" s="121"/>
      <c r="L179" s="14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</row>
    <row r="180" spans="1:27" ht="15.6">
      <c r="A180" s="121"/>
      <c r="B180" s="121"/>
      <c r="C180" s="121"/>
      <c r="D180" s="139"/>
      <c r="E180" s="139"/>
      <c r="F180" s="139"/>
      <c r="G180" s="147"/>
      <c r="H180" s="147"/>
      <c r="I180" s="121"/>
      <c r="J180" s="121"/>
      <c r="K180" s="121"/>
      <c r="L180" s="14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</row>
    <row r="181" spans="1:27" ht="15.6">
      <c r="A181" s="121"/>
      <c r="B181" s="121"/>
      <c r="C181" s="121"/>
      <c r="D181" s="139"/>
      <c r="E181" s="139"/>
      <c r="F181" s="139"/>
      <c r="G181" s="147"/>
      <c r="H181" s="147"/>
      <c r="I181" s="121"/>
      <c r="J181" s="121"/>
      <c r="K181" s="121"/>
      <c r="L181" s="14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</row>
    <row r="182" spans="1:27" ht="15.6">
      <c r="A182" s="121"/>
      <c r="B182" s="121"/>
      <c r="C182" s="121"/>
      <c r="D182" s="139"/>
      <c r="E182" s="139"/>
      <c r="F182" s="139"/>
      <c r="G182" s="147"/>
      <c r="H182" s="147"/>
      <c r="I182" s="121"/>
      <c r="J182" s="121"/>
      <c r="K182" s="121"/>
      <c r="L182" s="14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</row>
    <row r="183" spans="1:27" ht="15.6">
      <c r="A183" s="121"/>
      <c r="B183" s="121"/>
      <c r="C183" s="121"/>
      <c r="D183" s="139"/>
      <c r="E183" s="139"/>
      <c r="F183" s="139"/>
      <c r="G183" s="147"/>
      <c r="H183" s="147"/>
      <c r="I183" s="121"/>
      <c r="J183" s="121"/>
      <c r="K183" s="121"/>
      <c r="L183" s="14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</row>
    <row r="184" spans="1:27" ht="15.6">
      <c r="A184" s="121"/>
      <c r="B184" s="121"/>
      <c r="C184" s="121"/>
      <c r="D184" s="139"/>
      <c r="E184" s="139"/>
      <c r="F184" s="139"/>
      <c r="G184" s="147"/>
      <c r="H184" s="147"/>
      <c r="I184" s="121"/>
      <c r="J184" s="121"/>
      <c r="K184" s="121"/>
      <c r="L184" s="14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</row>
    <row r="185" spans="1:27" ht="15.6">
      <c r="A185" s="121"/>
      <c r="B185" s="121"/>
      <c r="C185" s="121"/>
      <c r="D185" s="139"/>
      <c r="E185" s="139"/>
      <c r="F185" s="139"/>
      <c r="G185" s="147"/>
      <c r="H185" s="147"/>
      <c r="I185" s="121"/>
      <c r="J185" s="121"/>
      <c r="K185" s="121"/>
      <c r="L185" s="14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</row>
    <row r="186" spans="1:27" ht="15.6">
      <c r="A186" s="121"/>
      <c r="B186" s="121"/>
      <c r="C186" s="121"/>
      <c r="D186" s="139"/>
      <c r="E186" s="139"/>
      <c r="F186" s="139"/>
      <c r="G186" s="147"/>
      <c r="H186" s="147"/>
      <c r="I186" s="121"/>
      <c r="J186" s="121"/>
      <c r="K186" s="121"/>
      <c r="L186" s="14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</row>
    <row r="187" spans="1:27" ht="15.6">
      <c r="A187" s="121"/>
      <c r="B187" s="121"/>
      <c r="C187" s="121"/>
      <c r="D187" s="139"/>
      <c r="E187" s="139"/>
      <c r="F187" s="139"/>
      <c r="G187" s="147"/>
      <c r="H187" s="147"/>
      <c r="I187" s="121"/>
      <c r="J187" s="121"/>
      <c r="K187" s="121"/>
      <c r="L187" s="14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</row>
    <row r="188" spans="1:27" ht="15.6">
      <c r="A188" s="121"/>
      <c r="B188" s="121"/>
      <c r="C188" s="121"/>
      <c r="D188" s="139"/>
      <c r="E188" s="139"/>
      <c r="F188" s="139"/>
      <c r="G188" s="147"/>
      <c r="H188" s="147"/>
      <c r="I188" s="121"/>
      <c r="J188" s="121"/>
      <c r="K188" s="121"/>
      <c r="L188" s="14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</row>
    <row r="189" spans="1:27" ht="15.6">
      <c r="A189" s="121"/>
      <c r="B189" s="121"/>
      <c r="C189" s="121"/>
      <c r="D189" s="139"/>
      <c r="E189" s="139"/>
      <c r="F189" s="139"/>
      <c r="G189" s="147"/>
      <c r="H189" s="147"/>
      <c r="I189" s="121"/>
      <c r="J189" s="121"/>
      <c r="K189" s="121"/>
      <c r="L189" s="14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</row>
    <row r="190" spans="1:27" ht="15.6">
      <c r="A190" s="121"/>
      <c r="B190" s="121"/>
      <c r="C190" s="121"/>
      <c r="D190" s="139"/>
      <c r="E190" s="139"/>
      <c r="F190" s="139"/>
      <c r="G190" s="147"/>
      <c r="H190" s="147"/>
      <c r="I190" s="121"/>
      <c r="J190" s="121"/>
      <c r="K190" s="121"/>
      <c r="L190" s="14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</row>
    <row r="191" spans="1:27" ht="15.6">
      <c r="A191" s="121"/>
      <c r="B191" s="121"/>
      <c r="C191" s="121"/>
      <c r="D191" s="139"/>
      <c r="E191" s="139"/>
      <c r="F191" s="139"/>
      <c r="G191" s="147"/>
      <c r="H191" s="147"/>
      <c r="I191" s="121"/>
      <c r="J191" s="121"/>
      <c r="K191" s="121"/>
      <c r="L191" s="14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</row>
    <row r="192" spans="1:27" ht="15.6">
      <c r="A192" s="121"/>
      <c r="B192" s="121"/>
      <c r="C192" s="121"/>
      <c r="D192" s="139"/>
      <c r="E192" s="139"/>
      <c r="F192" s="139"/>
      <c r="G192" s="147"/>
      <c r="H192" s="147"/>
      <c r="I192" s="121"/>
      <c r="J192" s="121"/>
      <c r="K192" s="121"/>
      <c r="L192" s="14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</row>
    <row r="193" spans="1:27" ht="15.6">
      <c r="A193" s="121"/>
      <c r="B193" s="121"/>
      <c r="C193" s="121"/>
      <c r="D193" s="139"/>
      <c r="E193" s="139"/>
      <c r="F193" s="139"/>
      <c r="G193" s="147"/>
      <c r="H193" s="147"/>
      <c r="I193" s="121"/>
      <c r="J193" s="121"/>
      <c r="K193" s="121"/>
      <c r="L193" s="14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</row>
    <row r="194" spans="1:27" ht="15.6">
      <c r="A194" s="121"/>
      <c r="B194" s="121"/>
      <c r="C194" s="121"/>
      <c r="D194" s="139"/>
      <c r="E194" s="139"/>
      <c r="F194" s="139"/>
      <c r="G194" s="147"/>
      <c r="H194" s="147"/>
      <c r="I194" s="121"/>
      <c r="J194" s="121"/>
      <c r="K194" s="121"/>
      <c r="L194" s="14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</row>
    <row r="195" spans="1:27" ht="15.6">
      <c r="A195" s="121"/>
      <c r="B195" s="121"/>
      <c r="C195" s="121"/>
      <c r="D195" s="139"/>
      <c r="E195" s="139"/>
      <c r="F195" s="139"/>
      <c r="G195" s="147"/>
      <c r="H195" s="147"/>
      <c r="I195" s="121"/>
      <c r="J195" s="121"/>
      <c r="K195" s="121"/>
      <c r="L195" s="14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</row>
    <row r="196" spans="1:27" ht="15.6">
      <c r="A196" s="121"/>
      <c r="B196" s="121"/>
      <c r="C196" s="121"/>
      <c r="D196" s="139"/>
      <c r="E196" s="139"/>
      <c r="F196" s="139"/>
      <c r="G196" s="147"/>
      <c r="H196" s="147"/>
      <c r="I196" s="121"/>
      <c r="J196" s="121"/>
      <c r="K196" s="121"/>
      <c r="L196" s="14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</row>
    <row r="197" spans="1:27" ht="15.6">
      <c r="A197" s="121"/>
      <c r="B197" s="121"/>
      <c r="C197" s="121"/>
      <c r="D197" s="139"/>
      <c r="E197" s="139"/>
      <c r="F197" s="139"/>
      <c r="G197" s="147"/>
      <c r="H197" s="147"/>
      <c r="I197" s="121"/>
      <c r="J197" s="121"/>
      <c r="K197" s="121"/>
      <c r="L197" s="14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</row>
    <row r="198" spans="1:27" ht="15.6">
      <c r="A198" s="121"/>
      <c r="B198" s="121"/>
      <c r="C198" s="121"/>
      <c r="D198" s="139"/>
      <c r="E198" s="139"/>
      <c r="F198" s="139"/>
      <c r="G198" s="147"/>
      <c r="H198" s="147"/>
      <c r="I198" s="121"/>
      <c r="J198" s="121"/>
      <c r="K198" s="121"/>
      <c r="L198" s="14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</row>
    <row r="199" spans="1:27" ht="15.6">
      <c r="A199" s="121"/>
      <c r="B199" s="121"/>
      <c r="C199" s="121"/>
      <c r="D199" s="139"/>
      <c r="E199" s="139"/>
      <c r="F199" s="139"/>
      <c r="G199" s="147"/>
      <c r="H199" s="147"/>
      <c r="I199" s="121"/>
      <c r="J199" s="121"/>
      <c r="K199" s="121"/>
      <c r="L199" s="14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</row>
    <row r="200" spans="1:27" ht="15.6">
      <c r="A200" s="121"/>
      <c r="B200" s="121"/>
      <c r="C200" s="121"/>
      <c r="D200" s="139"/>
      <c r="E200" s="139"/>
      <c r="F200" s="139"/>
      <c r="G200" s="147"/>
      <c r="H200" s="147"/>
      <c r="I200" s="121"/>
      <c r="J200" s="121"/>
      <c r="K200" s="121"/>
      <c r="L200" s="14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</row>
    <row r="201" spans="1:27" ht="15.6">
      <c r="A201" s="121"/>
      <c r="B201" s="121"/>
      <c r="C201" s="121"/>
      <c r="D201" s="139"/>
      <c r="E201" s="139"/>
      <c r="F201" s="139"/>
      <c r="G201" s="147"/>
      <c r="H201" s="147"/>
      <c r="I201" s="121"/>
      <c r="J201" s="121"/>
      <c r="K201" s="121"/>
      <c r="L201" s="14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</row>
    <row r="202" spans="1:27" ht="15.6">
      <c r="A202" s="121"/>
      <c r="B202" s="121"/>
      <c r="C202" s="121"/>
      <c r="D202" s="139"/>
      <c r="E202" s="139"/>
      <c r="F202" s="139"/>
      <c r="G202" s="147"/>
      <c r="H202" s="147"/>
      <c r="I202" s="121"/>
      <c r="J202" s="121"/>
      <c r="K202" s="121"/>
      <c r="L202" s="14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</row>
    <row r="203" spans="1:27" ht="15.6">
      <c r="A203" s="121"/>
      <c r="B203" s="121"/>
      <c r="C203" s="121"/>
      <c r="D203" s="139"/>
      <c r="E203" s="139"/>
      <c r="F203" s="139"/>
      <c r="G203" s="147"/>
      <c r="H203" s="147"/>
      <c r="I203" s="121"/>
      <c r="J203" s="121"/>
      <c r="K203" s="121"/>
      <c r="L203" s="14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</row>
    <row r="204" spans="1:27" ht="15.6">
      <c r="A204" s="121"/>
      <c r="B204" s="121"/>
      <c r="C204" s="121"/>
      <c r="D204" s="139"/>
      <c r="E204" s="139"/>
      <c r="F204" s="139"/>
      <c r="G204" s="147"/>
      <c r="H204" s="147"/>
      <c r="I204" s="121"/>
      <c r="J204" s="121"/>
      <c r="K204" s="121"/>
      <c r="L204" s="14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</row>
    <row r="205" spans="1:27" ht="15.6">
      <c r="A205" s="121"/>
      <c r="B205" s="121"/>
      <c r="C205" s="121"/>
      <c r="D205" s="139"/>
      <c r="E205" s="139"/>
      <c r="F205" s="139"/>
      <c r="G205" s="147"/>
      <c r="H205" s="147"/>
      <c r="I205" s="121"/>
      <c r="J205" s="121"/>
      <c r="K205" s="121"/>
      <c r="L205" s="14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</row>
    <row r="206" spans="1:27" ht="15.6">
      <c r="A206" s="121"/>
      <c r="B206" s="121"/>
      <c r="C206" s="121"/>
      <c r="D206" s="139"/>
      <c r="E206" s="139"/>
      <c r="F206" s="139"/>
      <c r="G206" s="147"/>
      <c r="H206" s="147"/>
      <c r="I206" s="121"/>
      <c r="J206" s="121"/>
      <c r="K206" s="121"/>
      <c r="L206" s="14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</row>
    <row r="207" spans="1:27" ht="15.6">
      <c r="A207" s="121"/>
      <c r="B207" s="121"/>
      <c r="C207" s="121"/>
      <c r="D207" s="139"/>
      <c r="E207" s="139"/>
      <c r="F207" s="139"/>
      <c r="G207" s="147"/>
      <c r="H207" s="147"/>
      <c r="I207" s="121"/>
      <c r="J207" s="121"/>
      <c r="K207" s="121"/>
      <c r="L207" s="14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</row>
    <row r="208" spans="1:27" ht="15.6">
      <c r="A208" s="121"/>
      <c r="B208" s="121"/>
      <c r="C208" s="121"/>
      <c r="D208" s="139"/>
      <c r="E208" s="139"/>
      <c r="F208" s="139"/>
      <c r="G208" s="147"/>
      <c r="H208" s="147"/>
      <c r="I208" s="121"/>
      <c r="J208" s="121"/>
      <c r="K208" s="121"/>
      <c r="L208" s="14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</row>
    <row r="209" spans="1:27" ht="15.6">
      <c r="A209" s="121"/>
      <c r="B209" s="121"/>
      <c r="C209" s="121"/>
      <c r="D209" s="139"/>
      <c r="E209" s="139"/>
      <c r="F209" s="139"/>
      <c r="G209" s="147"/>
      <c r="H209" s="147"/>
      <c r="I209" s="121"/>
      <c r="J209" s="121"/>
      <c r="K209" s="121"/>
      <c r="L209" s="14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</row>
    <row r="210" spans="1:27" ht="15.6">
      <c r="A210" s="121"/>
      <c r="B210" s="121"/>
      <c r="C210" s="121"/>
      <c r="D210" s="139"/>
      <c r="E210" s="139"/>
      <c r="F210" s="139"/>
      <c r="G210" s="147"/>
      <c r="H210" s="147"/>
      <c r="I210" s="121"/>
      <c r="J210" s="121"/>
      <c r="K210" s="121"/>
      <c r="L210" s="14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</row>
    <row r="211" spans="1:27" ht="15.6">
      <c r="A211" s="121"/>
      <c r="B211" s="121"/>
      <c r="C211" s="121"/>
      <c r="D211" s="139"/>
      <c r="E211" s="139"/>
      <c r="F211" s="139"/>
      <c r="G211" s="147"/>
      <c r="H211" s="147"/>
      <c r="I211" s="121"/>
      <c r="J211" s="121"/>
      <c r="K211" s="121"/>
      <c r="L211" s="14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</row>
    <row r="212" spans="1:27" ht="15.6">
      <c r="A212" s="121"/>
      <c r="B212" s="121"/>
      <c r="C212" s="121"/>
      <c r="D212" s="139"/>
      <c r="E212" s="139"/>
      <c r="F212" s="139"/>
      <c r="G212" s="147"/>
      <c r="H212" s="147"/>
      <c r="I212" s="121"/>
      <c r="J212" s="121"/>
      <c r="K212" s="121"/>
      <c r="L212" s="14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</row>
    <row r="213" spans="1:27" ht="15.6">
      <c r="A213" s="121"/>
      <c r="B213" s="121"/>
      <c r="C213" s="121"/>
      <c r="D213" s="139"/>
      <c r="E213" s="139"/>
      <c r="F213" s="139"/>
      <c r="G213" s="147"/>
      <c r="H213" s="147"/>
      <c r="I213" s="121"/>
      <c r="J213" s="121"/>
      <c r="K213" s="121"/>
      <c r="L213" s="14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</row>
    <row r="214" spans="1:27" ht="15.6">
      <c r="A214" s="121"/>
      <c r="B214" s="121"/>
      <c r="C214" s="121"/>
      <c r="D214" s="139"/>
      <c r="E214" s="139"/>
      <c r="F214" s="139"/>
      <c r="G214" s="147"/>
      <c r="H214" s="147"/>
      <c r="I214" s="121"/>
      <c r="J214" s="121"/>
      <c r="K214" s="121"/>
      <c r="L214" s="14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</row>
    <row r="215" spans="1:27" ht="15.6">
      <c r="A215" s="121"/>
      <c r="B215" s="121"/>
      <c r="C215" s="121"/>
      <c r="D215" s="139"/>
      <c r="E215" s="139"/>
      <c r="F215" s="139"/>
      <c r="G215" s="147"/>
      <c r="H215" s="147"/>
      <c r="I215" s="121"/>
      <c r="J215" s="121"/>
      <c r="K215" s="121"/>
      <c r="L215" s="14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</row>
    <row r="216" spans="1:27" ht="15.6">
      <c r="A216" s="121"/>
      <c r="B216" s="121"/>
      <c r="C216" s="121"/>
      <c r="D216" s="139"/>
      <c r="E216" s="139"/>
      <c r="F216" s="139"/>
      <c r="G216" s="147"/>
      <c r="H216" s="147"/>
      <c r="I216" s="121"/>
      <c r="J216" s="121"/>
      <c r="K216" s="121"/>
      <c r="L216" s="14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</row>
    <row r="217" spans="1:27" ht="15.6">
      <c r="A217" s="121"/>
      <c r="B217" s="121"/>
      <c r="C217" s="121"/>
      <c r="D217" s="139"/>
      <c r="E217" s="139"/>
      <c r="F217" s="139"/>
      <c r="G217" s="147"/>
      <c r="H217" s="147"/>
      <c r="I217" s="121"/>
      <c r="J217" s="121"/>
      <c r="K217" s="121"/>
      <c r="L217" s="14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</row>
    <row r="218" spans="1:27" ht="15.6">
      <c r="A218" s="121"/>
      <c r="B218" s="121"/>
      <c r="C218" s="121"/>
      <c r="D218" s="139"/>
      <c r="E218" s="139"/>
      <c r="F218" s="139"/>
      <c r="G218" s="147"/>
      <c r="H218" s="147"/>
      <c r="I218" s="121"/>
      <c r="J218" s="121"/>
      <c r="K218" s="121"/>
      <c r="L218" s="14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</row>
    <row r="219" spans="1:27" ht="15.6">
      <c r="A219" s="121"/>
      <c r="B219" s="121"/>
      <c r="C219" s="121"/>
      <c r="D219" s="139"/>
      <c r="E219" s="139"/>
      <c r="F219" s="139"/>
      <c r="G219" s="147"/>
      <c r="H219" s="147"/>
      <c r="I219" s="121"/>
      <c r="J219" s="121"/>
      <c r="K219" s="121"/>
      <c r="L219" s="14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</row>
    <row r="220" spans="1:27" ht="15.6">
      <c r="A220" s="121"/>
      <c r="B220" s="121"/>
      <c r="C220" s="121"/>
      <c r="D220" s="139"/>
      <c r="E220" s="139"/>
      <c r="F220" s="139"/>
      <c r="G220" s="147"/>
      <c r="H220" s="147"/>
      <c r="I220" s="121"/>
      <c r="J220" s="121"/>
      <c r="K220" s="121"/>
      <c r="L220" s="14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</row>
    <row r="221" spans="1:27" ht="15.6">
      <c r="A221" s="121"/>
      <c r="B221" s="121"/>
      <c r="C221" s="121"/>
      <c r="D221" s="139"/>
      <c r="E221" s="139"/>
      <c r="F221" s="139"/>
      <c r="G221" s="147"/>
      <c r="H221" s="147"/>
      <c r="I221" s="121"/>
      <c r="J221" s="121"/>
      <c r="K221" s="121"/>
      <c r="L221" s="14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</row>
    <row r="222" spans="1:27" ht="15.6">
      <c r="A222" s="121"/>
      <c r="B222" s="121"/>
      <c r="C222" s="121"/>
      <c r="D222" s="139"/>
      <c r="E222" s="139"/>
      <c r="F222" s="139"/>
      <c r="G222" s="147"/>
      <c r="H222" s="147"/>
      <c r="I222" s="121"/>
      <c r="J222" s="121"/>
      <c r="K222" s="121"/>
      <c r="L222" s="14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</row>
    <row r="223" spans="1:27" ht="15.6">
      <c r="A223" s="121"/>
      <c r="B223" s="121"/>
      <c r="C223" s="121"/>
      <c r="D223" s="139"/>
      <c r="E223" s="139"/>
      <c r="F223" s="139"/>
      <c r="G223" s="147"/>
      <c r="H223" s="147"/>
      <c r="I223" s="121"/>
      <c r="J223" s="121"/>
      <c r="K223" s="121"/>
      <c r="L223" s="14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</row>
    <row r="224" spans="1:27" ht="15.6">
      <c r="A224" s="121"/>
      <c r="B224" s="121"/>
      <c r="C224" s="121"/>
      <c r="D224" s="139"/>
      <c r="E224" s="139"/>
      <c r="F224" s="139"/>
      <c r="G224" s="147"/>
      <c r="H224" s="147"/>
      <c r="I224" s="121"/>
      <c r="J224" s="121"/>
      <c r="K224" s="121"/>
      <c r="L224" s="14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</row>
    <row r="225" spans="1:27" ht="15.6">
      <c r="A225" s="121"/>
      <c r="B225" s="121"/>
      <c r="C225" s="121"/>
      <c r="D225" s="139"/>
      <c r="E225" s="139"/>
      <c r="F225" s="139"/>
      <c r="G225" s="147"/>
      <c r="H225" s="147"/>
      <c r="I225" s="121"/>
      <c r="J225" s="121"/>
      <c r="K225" s="121"/>
      <c r="L225" s="14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</row>
    <row r="226" spans="1:27" ht="15.6">
      <c r="A226" s="121"/>
      <c r="B226" s="121"/>
      <c r="C226" s="121"/>
      <c r="D226" s="139"/>
      <c r="E226" s="139"/>
      <c r="F226" s="139"/>
      <c r="G226" s="147"/>
      <c r="H226" s="147"/>
      <c r="I226" s="121"/>
      <c r="J226" s="121"/>
      <c r="K226" s="121"/>
      <c r="L226" s="14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</row>
    <row r="227" spans="1:27" ht="15.6">
      <c r="A227" s="121"/>
      <c r="B227" s="121"/>
      <c r="C227" s="121"/>
      <c r="D227" s="139"/>
      <c r="E227" s="139"/>
      <c r="F227" s="139"/>
      <c r="G227" s="147"/>
      <c r="H227" s="147"/>
      <c r="I227" s="121"/>
      <c r="J227" s="121"/>
      <c r="K227" s="121"/>
      <c r="L227" s="14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</row>
    <row r="228" spans="1:27" ht="15.6">
      <c r="A228" s="121"/>
      <c r="B228" s="121"/>
      <c r="C228" s="121"/>
      <c r="D228" s="139"/>
      <c r="E228" s="139"/>
      <c r="F228" s="139"/>
      <c r="G228" s="147"/>
      <c r="H228" s="147"/>
      <c r="I228" s="121"/>
      <c r="J228" s="121"/>
      <c r="K228" s="121"/>
      <c r="L228" s="14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</row>
    <row r="229" spans="1:27" ht="15.6">
      <c r="A229" s="121"/>
      <c r="B229" s="121"/>
      <c r="C229" s="121"/>
      <c r="D229" s="139"/>
      <c r="E229" s="139"/>
      <c r="F229" s="139"/>
      <c r="G229" s="147"/>
      <c r="H229" s="147"/>
      <c r="I229" s="121"/>
      <c r="J229" s="121"/>
      <c r="K229" s="121"/>
      <c r="L229" s="14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</row>
    <row r="230" spans="1:27" ht="15.6">
      <c r="A230" s="121"/>
      <c r="B230" s="121"/>
      <c r="C230" s="121"/>
      <c r="D230" s="139"/>
      <c r="E230" s="139"/>
      <c r="F230" s="139"/>
      <c r="G230" s="147"/>
      <c r="H230" s="147"/>
      <c r="I230" s="121"/>
      <c r="J230" s="121"/>
      <c r="K230" s="121"/>
      <c r="L230" s="14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</row>
    <row r="231" spans="1:27" ht="15.6">
      <c r="A231" s="121"/>
      <c r="B231" s="121"/>
      <c r="C231" s="121"/>
      <c r="D231" s="139"/>
      <c r="E231" s="139"/>
      <c r="F231" s="139"/>
      <c r="G231" s="147"/>
      <c r="H231" s="147"/>
      <c r="I231" s="121"/>
      <c r="J231" s="121"/>
      <c r="K231" s="121"/>
      <c r="L231" s="14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</row>
    <row r="232" spans="1:27" ht="15.6">
      <c r="A232" s="121"/>
      <c r="B232" s="121"/>
      <c r="C232" s="121"/>
      <c r="D232" s="139"/>
      <c r="E232" s="139"/>
      <c r="F232" s="139"/>
      <c r="G232" s="147"/>
      <c r="H232" s="147"/>
      <c r="I232" s="121"/>
      <c r="J232" s="121"/>
      <c r="K232" s="121"/>
      <c r="L232" s="14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</row>
    <row r="233" spans="1:27" ht="15.6">
      <c r="A233" s="121"/>
      <c r="B233" s="121"/>
      <c r="C233" s="121"/>
      <c r="D233" s="139"/>
      <c r="E233" s="139"/>
      <c r="F233" s="139"/>
      <c r="G233" s="147"/>
      <c r="H233" s="147"/>
      <c r="I233" s="121"/>
      <c r="J233" s="121"/>
      <c r="K233" s="121"/>
      <c r="L233" s="14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</row>
    <row r="234" spans="1:27" ht="15.6">
      <c r="A234" s="121"/>
      <c r="B234" s="121"/>
      <c r="C234" s="121"/>
      <c r="D234" s="139"/>
      <c r="E234" s="139"/>
      <c r="F234" s="139"/>
      <c r="G234" s="147"/>
      <c r="H234" s="147"/>
      <c r="I234" s="121"/>
      <c r="J234" s="121"/>
      <c r="K234" s="121"/>
      <c r="L234" s="14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</row>
    <row r="235" spans="1:27" ht="15.6">
      <c r="A235" s="121"/>
      <c r="B235" s="121"/>
      <c r="C235" s="121"/>
      <c r="D235" s="139"/>
      <c r="E235" s="139"/>
      <c r="F235" s="139"/>
      <c r="G235" s="147"/>
      <c r="H235" s="147"/>
      <c r="I235" s="121"/>
      <c r="J235" s="121"/>
      <c r="K235" s="121"/>
      <c r="L235" s="14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</row>
    <row r="236" spans="1:27" ht="15.6">
      <c r="A236" s="121"/>
      <c r="B236" s="121"/>
      <c r="C236" s="121"/>
      <c r="D236" s="139"/>
      <c r="E236" s="139"/>
      <c r="F236" s="139"/>
      <c r="G236" s="147"/>
      <c r="H236" s="147"/>
      <c r="I236" s="121"/>
      <c r="J236" s="121"/>
      <c r="K236" s="121"/>
      <c r="L236" s="14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</row>
    <row r="237" spans="1:27" ht="15.6">
      <c r="A237" s="121"/>
      <c r="B237" s="121"/>
      <c r="C237" s="121"/>
      <c r="D237" s="139"/>
      <c r="E237" s="139"/>
      <c r="F237" s="139"/>
      <c r="G237" s="147"/>
      <c r="H237" s="147"/>
      <c r="I237" s="121"/>
      <c r="J237" s="121"/>
      <c r="K237" s="121"/>
      <c r="L237" s="14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</row>
    <row r="238" spans="1:27" ht="15.6">
      <c r="A238" s="121"/>
      <c r="B238" s="121"/>
      <c r="C238" s="121"/>
      <c r="D238" s="139"/>
      <c r="E238" s="139"/>
      <c r="F238" s="139"/>
      <c r="G238" s="147"/>
      <c r="H238" s="147"/>
      <c r="I238" s="121"/>
      <c r="J238" s="121"/>
      <c r="K238" s="121"/>
      <c r="L238" s="14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</row>
    <row r="239" spans="1:27" ht="15.6">
      <c r="A239" s="121"/>
      <c r="B239" s="121"/>
      <c r="C239" s="121"/>
      <c r="D239" s="139"/>
      <c r="E239" s="139"/>
      <c r="F239" s="139"/>
      <c r="G239" s="147"/>
      <c r="H239" s="147"/>
      <c r="I239" s="121"/>
      <c r="J239" s="121"/>
      <c r="K239" s="121"/>
      <c r="L239" s="14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</row>
    <row r="240" spans="1:27" ht="15.6">
      <c r="A240" s="121"/>
      <c r="B240" s="121"/>
      <c r="C240" s="121"/>
      <c r="D240" s="139"/>
      <c r="E240" s="139"/>
      <c r="F240" s="139"/>
      <c r="G240" s="147"/>
      <c r="H240" s="147"/>
      <c r="I240" s="121"/>
      <c r="J240" s="121"/>
      <c r="K240" s="121"/>
      <c r="L240" s="14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</row>
    <row r="241" spans="1:27" ht="15.6">
      <c r="A241" s="121"/>
      <c r="B241" s="121"/>
      <c r="C241" s="121"/>
      <c r="D241" s="139"/>
      <c r="E241" s="139"/>
      <c r="F241" s="139"/>
      <c r="G241" s="147"/>
      <c r="H241" s="147"/>
      <c r="I241" s="121"/>
      <c r="J241" s="121"/>
      <c r="K241" s="121"/>
      <c r="L241" s="14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</row>
    <row r="242" spans="1:27" ht="15.6">
      <c r="A242" s="121"/>
      <c r="B242" s="121"/>
      <c r="C242" s="121"/>
      <c r="D242" s="139"/>
      <c r="E242" s="139"/>
      <c r="F242" s="139"/>
      <c r="G242" s="147"/>
      <c r="H242" s="147"/>
      <c r="I242" s="121"/>
      <c r="J242" s="121"/>
      <c r="K242" s="121"/>
      <c r="L242" s="14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</row>
    <row r="243" spans="1:27" ht="15.6">
      <c r="A243" s="121"/>
      <c r="B243" s="121"/>
      <c r="C243" s="121"/>
      <c r="D243" s="139"/>
      <c r="E243" s="139"/>
      <c r="F243" s="139"/>
      <c r="G243" s="147"/>
      <c r="H243" s="147"/>
      <c r="I243" s="121"/>
      <c r="J243" s="121"/>
      <c r="K243" s="121"/>
      <c r="L243" s="14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</row>
    <row r="244" spans="1:27" ht="15.6">
      <c r="A244" s="121"/>
      <c r="B244" s="121"/>
      <c r="C244" s="121"/>
      <c r="D244" s="139"/>
      <c r="E244" s="139"/>
      <c r="F244" s="139"/>
      <c r="G244" s="147"/>
      <c r="H244" s="147"/>
      <c r="I244" s="121"/>
      <c r="J244" s="121"/>
      <c r="K244" s="121"/>
      <c r="L244" s="14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</row>
    <row r="245" spans="1:27" ht="15.6">
      <c r="A245" s="121"/>
      <c r="B245" s="121"/>
      <c r="C245" s="121"/>
      <c r="D245" s="139"/>
      <c r="E245" s="139"/>
      <c r="F245" s="139"/>
      <c r="G245" s="147"/>
      <c r="H245" s="147"/>
      <c r="I245" s="121"/>
      <c r="J245" s="121"/>
      <c r="K245" s="121"/>
      <c r="L245" s="14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</row>
    <row r="246" spans="1:27" ht="15.6">
      <c r="A246" s="121"/>
      <c r="B246" s="121"/>
      <c r="C246" s="121"/>
      <c r="D246" s="139"/>
      <c r="E246" s="139"/>
      <c r="F246" s="139"/>
      <c r="G246" s="147"/>
      <c r="H246" s="147"/>
      <c r="I246" s="121"/>
      <c r="J246" s="121"/>
      <c r="K246" s="121"/>
      <c r="L246" s="14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</row>
    <row r="247" spans="1:27" ht="15.6">
      <c r="A247" s="121"/>
      <c r="B247" s="121"/>
      <c r="C247" s="121"/>
      <c r="D247" s="139"/>
      <c r="E247" s="139"/>
      <c r="F247" s="139"/>
      <c r="G247" s="147"/>
      <c r="H247" s="147"/>
      <c r="I247" s="121"/>
      <c r="J247" s="121"/>
      <c r="K247" s="121"/>
      <c r="L247" s="14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</row>
    <row r="248" spans="1:27" ht="15.6">
      <c r="A248" s="121"/>
      <c r="B248" s="121"/>
      <c r="C248" s="121"/>
      <c r="D248" s="139"/>
      <c r="E248" s="139"/>
      <c r="F248" s="139"/>
      <c r="G248" s="147"/>
      <c r="H248" s="147"/>
      <c r="I248" s="121"/>
      <c r="J248" s="121"/>
      <c r="K248" s="121"/>
      <c r="L248" s="14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</row>
    <row r="249" spans="1:27" ht="15.6">
      <c r="A249" s="121"/>
      <c r="B249" s="121"/>
      <c r="C249" s="121"/>
      <c r="D249" s="139"/>
      <c r="E249" s="139"/>
      <c r="F249" s="139"/>
      <c r="G249" s="147"/>
      <c r="H249" s="147"/>
      <c r="I249" s="121"/>
      <c r="J249" s="121"/>
      <c r="K249" s="121"/>
      <c r="L249" s="14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</row>
    <row r="250" spans="1:27" ht="15.6">
      <c r="A250" s="121"/>
      <c r="B250" s="121"/>
      <c r="C250" s="121"/>
      <c r="D250" s="139"/>
      <c r="E250" s="139"/>
      <c r="F250" s="139"/>
      <c r="G250" s="147"/>
      <c r="H250" s="147"/>
      <c r="I250" s="121"/>
      <c r="J250" s="121"/>
      <c r="K250" s="121"/>
      <c r="L250" s="14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</row>
    <row r="251" spans="1:27" ht="15.6">
      <c r="A251" s="121"/>
      <c r="B251" s="121"/>
      <c r="C251" s="121"/>
      <c r="D251" s="139"/>
      <c r="E251" s="139"/>
      <c r="F251" s="139"/>
      <c r="G251" s="147"/>
      <c r="H251" s="147"/>
      <c r="I251" s="121"/>
      <c r="J251" s="121"/>
      <c r="K251" s="121"/>
      <c r="L251" s="14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</row>
    <row r="252" spans="1:27" ht="15.6">
      <c r="A252" s="121"/>
      <c r="B252" s="121"/>
      <c r="C252" s="121"/>
      <c r="D252" s="139"/>
      <c r="E252" s="139"/>
      <c r="F252" s="139"/>
      <c r="G252" s="147"/>
      <c r="H252" s="147"/>
      <c r="I252" s="121"/>
      <c r="J252" s="121"/>
      <c r="K252" s="121"/>
      <c r="L252" s="14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</row>
    <row r="253" spans="1:27" ht="15.6">
      <c r="A253" s="121"/>
      <c r="B253" s="121"/>
      <c r="C253" s="121"/>
      <c r="D253" s="139"/>
      <c r="E253" s="139"/>
      <c r="F253" s="139"/>
      <c r="G253" s="147"/>
      <c r="H253" s="147"/>
      <c r="I253" s="121"/>
      <c r="J253" s="121"/>
      <c r="K253" s="121"/>
      <c r="L253" s="14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</row>
    <row r="254" spans="1:27" ht="15.6">
      <c r="A254" s="121"/>
      <c r="B254" s="121"/>
      <c r="C254" s="121"/>
      <c r="D254" s="139"/>
      <c r="E254" s="139"/>
      <c r="F254" s="139"/>
      <c r="G254" s="147"/>
      <c r="H254" s="147"/>
      <c r="I254" s="121"/>
      <c r="J254" s="121"/>
      <c r="K254" s="121"/>
      <c r="L254" s="14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</row>
    <row r="255" spans="1:27" ht="15.6">
      <c r="A255" s="121"/>
      <c r="B255" s="121"/>
      <c r="C255" s="121"/>
      <c r="D255" s="139"/>
      <c r="E255" s="139"/>
      <c r="F255" s="139"/>
      <c r="G255" s="147"/>
      <c r="H255" s="147"/>
      <c r="I255" s="121"/>
      <c r="J255" s="121"/>
      <c r="K255" s="121"/>
      <c r="L255" s="14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</row>
    <row r="256" spans="1:27" ht="15.6">
      <c r="A256" s="121"/>
      <c r="B256" s="121"/>
      <c r="C256" s="121"/>
      <c r="D256" s="139"/>
      <c r="E256" s="139"/>
      <c r="F256" s="139"/>
      <c r="G256" s="147"/>
      <c r="H256" s="147"/>
      <c r="I256" s="121"/>
      <c r="J256" s="121"/>
      <c r="K256" s="121"/>
      <c r="L256" s="14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</row>
    <row r="257" spans="1:27" ht="15.6">
      <c r="A257" s="121"/>
      <c r="B257" s="121"/>
      <c r="C257" s="121"/>
      <c r="D257" s="139"/>
      <c r="E257" s="139"/>
      <c r="F257" s="139"/>
      <c r="G257" s="147"/>
      <c r="H257" s="147"/>
      <c r="I257" s="121"/>
      <c r="J257" s="121"/>
      <c r="K257" s="121"/>
      <c r="L257" s="14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</row>
    <row r="258" spans="1:27" ht="15.6">
      <c r="A258" s="121"/>
      <c r="B258" s="121"/>
      <c r="C258" s="121"/>
      <c r="D258" s="139"/>
      <c r="E258" s="139"/>
      <c r="F258" s="139"/>
      <c r="G258" s="147"/>
      <c r="H258" s="147"/>
      <c r="I258" s="121"/>
      <c r="J258" s="121"/>
      <c r="K258" s="121"/>
      <c r="L258" s="14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</row>
    <row r="259" spans="1:27" ht="15.6">
      <c r="A259" s="121"/>
      <c r="B259" s="121"/>
      <c r="C259" s="121"/>
      <c r="D259" s="139"/>
      <c r="E259" s="139"/>
      <c r="F259" s="139"/>
      <c r="G259" s="147"/>
      <c r="H259" s="147"/>
      <c r="I259" s="121"/>
      <c r="J259" s="121"/>
      <c r="K259" s="121"/>
      <c r="L259" s="14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</row>
    <row r="260" spans="1:27" ht="15.6">
      <c r="A260" s="121"/>
      <c r="B260" s="121"/>
      <c r="C260" s="121"/>
      <c r="D260" s="139"/>
      <c r="E260" s="139"/>
      <c r="F260" s="139"/>
      <c r="G260" s="147"/>
      <c r="H260" s="147"/>
      <c r="I260" s="121"/>
      <c r="J260" s="121"/>
      <c r="K260" s="121"/>
      <c r="L260" s="14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</row>
    <row r="261" spans="1:27" ht="15.6">
      <c r="A261" s="121"/>
      <c r="B261" s="121"/>
      <c r="C261" s="121"/>
      <c r="D261" s="139"/>
      <c r="E261" s="139"/>
      <c r="F261" s="139"/>
      <c r="G261" s="147"/>
      <c r="H261" s="147"/>
      <c r="I261" s="121"/>
      <c r="J261" s="121"/>
      <c r="K261" s="121"/>
      <c r="L261" s="14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</row>
    <row r="262" spans="1:27" ht="15.6">
      <c r="A262" s="121"/>
      <c r="B262" s="121"/>
      <c r="C262" s="121"/>
      <c r="D262" s="139"/>
      <c r="E262" s="139"/>
      <c r="F262" s="139"/>
      <c r="G262" s="147"/>
      <c r="H262" s="147"/>
      <c r="I262" s="121"/>
      <c r="J262" s="121"/>
      <c r="K262" s="121"/>
      <c r="L262" s="14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</row>
    <row r="263" spans="1:27" ht="15.6">
      <c r="A263" s="121"/>
      <c r="B263" s="121"/>
      <c r="C263" s="121"/>
      <c r="D263" s="139"/>
      <c r="E263" s="139"/>
      <c r="F263" s="139"/>
      <c r="G263" s="147"/>
      <c r="H263" s="147"/>
      <c r="I263" s="121"/>
      <c r="J263" s="121"/>
      <c r="K263" s="121"/>
      <c r="L263" s="14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</row>
    <row r="264" spans="1:27" ht="15.6">
      <c r="A264" s="121"/>
      <c r="B264" s="121"/>
      <c r="C264" s="121"/>
      <c r="D264" s="139"/>
      <c r="E264" s="139"/>
      <c r="F264" s="139"/>
      <c r="G264" s="147"/>
      <c r="H264" s="147"/>
      <c r="I264" s="121"/>
      <c r="J264" s="121"/>
      <c r="K264" s="121"/>
      <c r="L264" s="14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</row>
    <row r="265" spans="1:27" ht="15.6">
      <c r="A265" s="121"/>
      <c r="B265" s="121"/>
      <c r="C265" s="121"/>
      <c r="D265" s="139"/>
      <c r="E265" s="139"/>
      <c r="F265" s="139"/>
      <c r="G265" s="147"/>
      <c r="H265" s="147"/>
      <c r="I265" s="121"/>
      <c r="J265" s="121"/>
      <c r="K265" s="121"/>
      <c r="L265" s="14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</row>
    <row r="266" spans="1:27" ht="15.6">
      <c r="A266" s="121"/>
      <c r="B266" s="121"/>
      <c r="C266" s="121"/>
      <c r="D266" s="139"/>
      <c r="E266" s="139"/>
      <c r="F266" s="139"/>
      <c r="G266" s="147"/>
      <c r="H266" s="147"/>
      <c r="I266" s="121"/>
      <c r="J266" s="121"/>
      <c r="K266" s="121"/>
      <c r="L266" s="14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</row>
    <row r="267" spans="1:27" ht="15.6">
      <c r="A267" s="121"/>
      <c r="B267" s="121"/>
      <c r="C267" s="121"/>
      <c r="D267" s="139"/>
      <c r="E267" s="139"/>
      <c r="F267" s="139"/>
      <c r="G267" s="147"/>
      <c r="H267" s="147"/>
      <c r="I267" s="121"/>
      <c r="J267" s="121"/>
      <c r="K267" s="121"/>
      <c r="L267" s="14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</row>
    <row r="268" spans="1:27" ht="15.6">
      <c r="A268" s="121"/>
      <c r="B268" s="121"/>
      <c r="C268" s="121"/>
      <c r="D268" s="139"/>
      <c r="E268" s="139"/>
      <c r="F268" s="139"/>
      <c r="G268" s="147"/>
      <c r="H268" s="147"/>
      <c r="I268" s="121"/>
      <c r="J268" s="121"/>
      <c r="K268" s="121"/>
      <c r="L268" s="14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</row>
    <row r="269" spans="1:27" ht="15.6">
      <c r="A269" s="121"/>
      <c r="B269" s="121"/>
      <c r="C269" s="121"/>
      <c r="D269" s="139"/>
      <c r="E269" s="139"/>
      <c r="F269" s="139"/>
      <c r="G269" s="147"/>
      <c r="H269" s="147"/>
      <c r="I269" s="121"/>
      <c r="J269" s="121"/>
      <c r="K269" s="121"/>
      <c r="L269" s="14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</row>
    <row r="270" spans="1:27" ht="15.6">
      <c r="A270" s="121"/>
      <c r="B270" s="121"/>
      <c r="C270" s="121"/>
      <c r="D270" s="139"/>
      <c r="E270" s="139"/>
      <c r="F270" s="139"/>
      <c r="G270" s="147"/>
      <c r="H270" s="147"/>
      <c r="I270" s="121"/>
      <c r="J270" s="121"/>
      <c r="K270" s="121"/>
      <c r="L270" s="14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</row>
    <row r="271" spans="1:27" ht="15.6">
      <c r="A271" s="121"/>
      <c r="B271" s="121"/>
      <c r="C271" s="121"/>
      <c r="D271" s="139"/>
      <c r="E271" s="139"/>
      <c r="F271" s="139"/>
      <c r="G271" s="147"/>
      <c r="H271" s="147"/>
      <c r="I271" s="121"/>
      <c r="J271" s="121"/>
      <c r="K271" s="121"/>
      <c r="L271" s="14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</row>
    <row r="272" spans="1:27" ht="15.6">
      <c r="A272" s="121"/>
      <c r="B272" s="121"/>
      <c r="C272" s="121"/>
      <c r="D272" s="139"/>
      <c r="E272" s="139"/>
      <c r="F272" s="139"/>
      <c r="G272" s="147"/>
      <c r="H272" s="147"/>
      <c r="I272" s="121"/>
      <c r="J272" s="121"/>
      <c r="K272" s="121"/>
      <c r="L272" s="14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</row>
    <row r="273" spans="1:27" ht="15.6">
      <c r="A273" s="121"/>
      <c r="B273" s="121"/>
      <c r="C273" s="121"/>
      <c r="D273" s="139"/>
      <c r="E273" s="139"/>
      <c r="F273" s="139"/>
      <c r="G273" s="147"/>
      <c r="H273" s="147"/>
      <c r="I273" s="121"/>
      <c r="J273" s="121"/>
      <c r="K273" s="121"/>
      <c r="L273" s="14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</row>
    <row r="274" spans="1:27" ht="15.6">
      <c r="A274" s="121"/>
      <c r="B274" s="121"/>
      <c r="C274" s="121"/>
      <c r="D274" s="139"/>
      <c r="E274" s="139"/>
      <c r="F274" s="139"/>
      <c r="G274" s="147"/>
      <c r="H274" s="147"/>
      <c r="I274" s="121"/>
      <c r="J274" s="121"/>
      <c r="K274" s="121"/>
      <c r="L274" s="14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</row>
    <row r="275" spans="1:27" ht="15.6">
      <c r="A275" s="121"/>
      <c r="B275" s="121"/>
      <c r="C275" s="121"/>
      <c r="D275" s="139"/>
      <c r="E275" s="139"/>
      <c r="F275" s="139"/>
      <c r="G275" s="147"/>
      <c r="H275" s="147"/>
      <c r="I275" s="121"/>
      <c r="J275" s="121"/>
      <c r="K275" s="121"/>
      <c r="L275" s="14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</row>
    <row r="276" spans="1:27" ht="15.6">
      <c r="A276" s="121"/>
      <c r="B276" s="121"/>
      <c r="C276" s="121"/>
      <c r="D276" s="139"/>
      <c r="E276" s="139"/>
      <c r="F276" s="139"/>
      <c r="G276" s="147"/>
      <c r="H276" s="147"/>
      <c r="I276" s="121"/>
      <c r="J276" s="121"/>
      <c r="K276" s="121"/>
      <c r="L276" s="14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</row>
    <row r="277" spans="1:27" ht="15.6">
      <c r="A277" s="121"/>
      <c r="B277" s="121"/>
      <c r="C277" s="121"/>
      <c r="D277" s="139"/>
      <c r="E277" s="139"/>
      <c r="F277" s="139"/>
      <c r="G277" s="147"/>
      <c r="H277" s="147"/>
      <c r="I277" s="121"/>
      <c r="J277" s="121"/>
      <c r="K277" s="121"/>
      <c r="L277" s="14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</row>
    <row r="278" spans="1:27" ht="15.6">
      <c r="A278" s="121"/>
      <c r="B278" s="121"/>
      <c r="C278" s="121"/>
      <c r="D278" s="139"/>
      <c r="E278" s="139"/>
      <c r="F278" s="139"/>
      <c r="G278" s="147"/>
      <c r="H278" s="147"/>
      <c r="I278" s="121"/>
      <c r="J278" s="121"/>
      <c r="K278" s="121"/>
      <c r="L278" s="14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</row>
    <row r="279" spans="1:27" ht="15.6">
      <c r="A279" s="121"/>
      <c r="B279" s="121"/>
      <c r="C279" s="121"/>
      <c r="D279" s="139"/>
      <c r="E279" s="139"/>
      <c r="F279" s="139"/>
      <c r="G279" s="147"/>
      <c r="H279" s="147"/>
      <c r="I279" s="121"/>
      <c r="J279" s="121"/>
      <c r="K279" s="121"/>
      <c r="L279" s="14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</row>
    <row r="280" spans="1:27" ht="15.6">
      <c r="A280" s="121"/>
      <c r="B280" s="121"/>
      <c r="C280" s="121"/>
      <c r="D280" s="139"/>
      <c r="E280" s="139"/>
      <c r="F280" s="139"/>
      <c r="G280" s="147"/>
      <c r="H280" s="147"/>
      <c r="I280" s="121"/>
      <c r="J280" s="121"/>
      <c r="K280" s="121"/>
      <c r="L280" s="14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</row>
    <row r="281" spans="1:27" ht="15.6">
      <c r="A281" s="121"/>
      <c r="B281" s="121"/>
      <c r="C281" s="121"/>
      <c r="D281" s="139"/>
      <c r="E281" s="139"/>
      <c r="F281" s="139"/>
      <c r="G281" s="147"/>
      <c r="H281" s="147"/>
      <c r="I281" s="121"/>
      <c r="J281" s="121"/>
      <c r="K281" s="121"/>
      <c r="L281" s="14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</row>
    <row r="282" spans="1:27" ht="15.6">
      <c r="A282" s="121"/>
      <c r="B282" s="121"/>
      <c r="C282" s="121"/>
      <c r="D282" s="139"/>
      <c r="E282" s="139"/>
      <c r="F282" s="139"/>
      <c r="G282" s="147"/>
      <c r="H282" s="147"/>
      <c r="I282" s="121"/>
      <c r="J282" s="121"/>
      <c r="K282" s="121"/>
      <c r="L282" s="14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</row>
    <row r="283" spans="1:27" ht="15.6">
      <c r="A283" s="121"/>
      <c r="B283" s="121"/>
      <c r="C283" s="121"/>
      <c r="D283" s="139"/>
      <c r="E283" s="139"/>
      <c r="F283" s="139"/>
      <c r="G283" s="147"/>
      <c r="H283" s="147"/>
      <c r="I283" s="121"/>
      <c r="J283" s="121"/>
      <c r="K283" s="121"/>
      <c r="L283" s="14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</row>
    <row r="284" spans="1:27" ht="15.6">
      <c r="A284" s="121"/>
      <c r="B284" s="121"/>
      <c r="C284" s="121"/>
      <c r="D284" s="139"/>
      <c r="E284" s="139"/>
      <c r="F284" s="139"/>
      <c r="G284" s="147"/>
      <c r="H284" s="147"/>
      <c r="I284" s="121"/>
      <c r="J284" s="121"/>
      <c r="K284" s="121"/>
      <c r="L284" s="14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</row>
    <row r="285" spans="1:27" ht="15.6">
      <c r="A285" s="121"/>
      <c r="B285" s="121"/>
      <c r="C285" s="121"/>
      <c r="D285" s="139"/>
      <c r="E285" s="139"/>
      <c r="F285" s="139"/>
      <c r="G285" s="147"/>
      <c r="H285" s="147"/>
      <c r="I285" s="121"/>
      <c r="J285" s="121"/>
      <c r="K285" s="121"/>
      <c r="L285" s="14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</row>
    <row r="286" spans="1:27" ht="15.6">
      <c r="A286" s="121"/>
      <c r="B286" s="121"/>
      <c r="C286" s="121"/>
      <c r="D286" s="139"/>
      <c r="E286" s="139"/>
      <c r="F286" s="139"/>
      <c r="G286" s="147"/>
      <c r="H286" s="147"/>
      <c r="I286" s="121"/>
      <c r="J286" s="121"/>
      <c r="K286" s="121"/>
      <c r="L286" s="14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</row>
    <row r="287" spans="1:27" ht="15.6">
      <c r="A287" s="121"/>
      <c r="B287" s="121"/>
      <c r="C287" s="121"/>
      <c r="D287" s="139"/>
      <c r="E287" s="139"/>
      <c r="F287" s="139"/>
      <c r="G287" s="147"/>
      <c r="H287" s="147"/>
      <c r="I287" s="121"/>
      <c r="J287" s="121"/>
      <c r="K287" s="121"/>
      <c r="L287" s="14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</row>
    <row r="288" spans="1:27" ht="15.6">
      <c r="A288" s="121"/>
      <c r="B288" s="121"/>
      <c r="C288" s="121"/>
      <c r="D288" s="139"/>
      <c r="E288" s="139"/>
      <c r="F288" s="139"/>
      <c r="G288" s="147"/>
      <c r="H288" s="147"/>
      <c r="I288" s="121"/>
      <c r="J288" s="121"/>
      <c r="K288" s="121"/>
      <c r="L288" s="14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</row>
    <row r="289" spans="1:27" ht="15.6">
      <c r="A289" s="121"/>
      <c r="B289" s="121"/>
      <c r="C289" s="121"/>
      <c r="D289" s="139"/>
      <c r="E289" s="139"/>
      <c r="F289" s="139"/>
      <c r="G289" s="147"/>
      <c r="H289" s="147"/>
      <c r="I289" s="121"/>
      <c r="J289" s="121"/>
      <c r="K289" s="121"/>
      <c r="L289" s="14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</row>
    <row r="290" spans="1:27" ht="15.6">
      <c r="A290" s="121"/>
      <c r="B290" s="121"/>
      <c r="C290" s="121"/>
      <c r="D290" s="139"/>
      <c r="E290" s="139"/>
      <c r="F290" s="139"/>
      <c r="G290" s="147"/>
      <c r="H290" s="147"/>
      <c r="I290" s="121"/>
      <c r="J290" s="121"/>
      <c r="K290" s="121"/>
      <c r="L290" s="14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</row>
    <row r="291" spans="1:27" ht="15.6">
      <c r="A291" s="121"/>
      <c r="B291" s="121"/>
      <c r="C291" s="121"/>
      <c r="D291" s="139"/>
      <c r="E291" s="139"/>
      <c r="F291" s="139"/>
      <c r="G291" s="147"/>
      <c r="H291" s="147"/>
      <c r="I291" s="121"/>
      <c r="J291" s="121"/>
      <c r="K291" s="121"/>
      <c r="L291" s="14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</row>
    <row r="292" spans="1:27" ht="15.6">
      <c r="A292" s="121"/>
      <c r="B292" s="121"/>
      <c r="C292" s="121"/>
      <c r="D292" s="139"/>
      <c r="E292" s="139"/>
      <c r="F292" s="139"/>
      <c r="G292" s="147"/>
      <c r="H292" s="147"/>
      <c r="I292" s="121"/>
      <c r="J292" s="121"/>
      <c r="K292" s="121"/>
      <c r="L292" s="14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</row>
    <row r="293" spans="1:27" ht="15.6">
      <c r="A293" s="121"/>
      <c r="B293" s="121"/>
      <c r="C293" s="121"/>
      <c r="D293" s="139"/>
      <c r="E293" s="139"/>
      <c r="F293" s="139"/>
      <c r="G293" s="147"/>
      <c r="H293" s="147"/>
      <c r="I293" s="121"/>
      <c r="J293" s="121"/>
      <c r="K293" s="121"/>
      <c r="L293" s="14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</row>
    <row r="294" spans="1:27" ht="15.6">
      <c r="A294" s="121"/>
      <c r="B294" s="121"/>
      <c r="C294" s="121"/>
      <c r="D294" s="139"/>
      <c r="E294" s="139"/>
      <c r="F294" s="139"/>
      <c r="G294" s="147"/>
      <c r="H294" s="147"/>
      <c r="I294" s="121"/>
      <c r="J294" s="121"/>
      <c r="K294" s="121"/>
      <c r="L294" s="14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</row>
    <row r="295" spans="1:27" ht="15.6">
      <c r="A295" s="121"/>
      <c r="B295" s="121"/>
      <c r="C295" s="121"/>
      <c r="D295" s="139"/>
      <c r="E295" s="139"/>
      <c r="F295" s="139"/>
      <c r="G295" s="147"/>
      <c r="H295" s="147"/>
      <c r="I295" s="121"/>
      <c r="J295" s="121"/>
      <c r="K295" s="121"/>
      <c r="L295" s="14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</row>
    <row r="296" spans="1:27" ht="15.6">
      <c r="A296" s="121"/>
      <c r="B296" s="121"/>
      <c r="C296" s="121"/>
      <c r="D296" s="139"/>
      <c r="E296" s="139"/>
      <c r="F296" s="139"/>
      <c r="G296" s="147"/>
      <c r="H296" s="147"/>
      <c r="I296" s="121"/>
      <c r="J296" s="121"/>
      <c r="K296" s="121"/>
      <c r="L296" s="14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</row>
    <row r="297" spans="1:27" ht="15.6">
      <c r="A297" s="121"/>
      <c r="B297" s="121"/>
      <c r="C297" s="121"/>
      <c r="D297" s="139"/>
      <c r="E297" s="139"/>
      <c r="F297" s="139"/>
      <c r="G297" s="147"/>
      <c r="H297" s="147"/>
      <c r="I297" s="121"/>
      <c r="J297" s="121"/>
      <c r="K297" s="121"/>
      <c r="L297" s="14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</row>
    <row r="298" spans="1:27" ht="15.6">
      <c r="A298" s="121"/>
      <c r="B298" s="121"/>
      <c r="C298" s="121"/>
      <c r="D298" s="139"/>
      <c r="E298" s="139"/>
      <c r="F298" s="139"/>
      <c r="G298" s="147"/>
      <c r="H298" s="147"/>
      <c r="I298" s="121"/>
      <c r="J298" s="121"/>
      <c r="K298" s="121"/>
      <c r="L298" s="14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</row>
    <row r="299" spans="1:27" ht="15.6">
      <c r="A299" s="121"/>
      <c r="B299" s="121"/>
      <c r="C299" s="121"/>
      <c r="D299" s="139"/>
      <c r="E299" s="139"/>
      <c r="F299" s="139"/>
      <c r="G299" s="147"/>
      <c r="H299" s="147"/>
      <c r="I299" s="121"/>
      <c r="J299" s="121"/>
      <c r="K299" s="121"/>
      <c r="L299" s="14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</row>
    <row r="300" spans="1:27" ht="15.6">
      <c r="A300" s="121"/>
      <c r="B300" s="121"/>
      <c r="C300" s="121"/>
      <c r="D300" s="139"/>
      <c r="E300" s="139"/>
      <c r="F300" s="139"/>
      <c r="G300" s="147"/>
      <c r="H300" s="147"/>
      <c r="I300" s="121"/>
      <c r="J300" s="121"/>
      <c r="K300" s="121"/>
      <c r="L300" s="14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</row>
    <row r="301" spans="1:27" ht="15.6">
      <c r="A301" s="121"/>
      <c r="B301" s="121"/>
      <c r="C301" s="121"/>
      <c r="D301" s="139"/>
      <c r="E301" s="139"/>
      <c r="F301" s="139"/>
      <c r="G301" s="147"/>
      <c r="H301" s="147"/>
      <c r="I301" s="121"/>
      <c r="J301" s="121"/>
      <c r="K301" s="121"/>
      <c r="L301" s="14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</row>
    <row r="302" spans="1:27" ht="15.6">
      <c r="A302" s="121"/>
      <c r="B302" s="121"/>
      <c r="C302" s="121"/>
      <c r="D302" s="139"/>
      <c r="E302" s="139"/>
      <c r="F302" s="139"/>
      <c r="G302" s="147"/>
      <c r="H302" s="147"/>
      <c r="I302" s="121"/>
      <c r="J302" s="121"/>
      <c r="K302" s="121"/>
      <c r="L302" s="14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</row>
    <row r="303" spans="1:27" ht="15.6">
      <c r="A303" s="121"/>
      <c r="B303" s="121"/>
      <c r="C303" s="121"/>
      <c r="D303" s="139"/>
      <c r="E303" s="139"/>
      <c r="F303" s="139"/>
      <c r="G303" s="147"/>
      <c r="H303" s="147"/>
      <c r="I303" s="121"/>
      <c r="J303" s="121"/>
      <c r="K303" s="121"/>
      <c r="L303" s="14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</row>
    <row r="304" spans="1:27" ht="15.6">
      <c r="A304" s="121"/>
      <c r="B304" s="121"/>
      <c r="C304" s="121"/>
      <c r="D304" s="139"/>
      <c r="E304" s="139"/>
      <c r="F304" s="139"/>
      <c r="G304" s="147"/>
      <c r="H304" s="147"/>
      <c r="I304" s="121"/>
      <c r="J304" s="121"/>
      <c r="K304" s="121"/>
      <c r="L304" s="14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</row>
    <row r="305" spans="1:27" ht="15.6">
      <c r="A305" s="121"/>
      <c r="B305" s="121"/>
      <c r="C305" s="121"/>
      <c r="D305" s="139"/>
      <c r="E305" s="139"/>
      <c r="F305" s="139"/>
      <c r="G305" s="147"/>
      <c r="H305" s="147"/>
      <c r="I305" s="121"/>
      <c r="J305" s="121"/>
      <c r="K305" s="121"/>
      <c r="L305" s="14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</row>
    <row r="306" spans="1:27" ht="15.6">
      <c r="A306" s="121"/>
      <c r="B306" s="121"/>
      <c r="C306" s="121"/>
      <c r="D306" s="139"/>
      <c r="E306" s="139"/>
      <c r="F306" s="139"/>
      <c r="G306" s="147"/>
      <c r="H306" s="147"/>
      <c r="I306" s="121"/>
      <c r="J306" s="121"/>
      <c r="K306" s="121"/>
      <c r="L306" s="14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</row>
    <row r="307" spans="1:27" ht="15.6">
      <c r="A307" s="121"/>
      <c r="B307" s="121"/>
      <c r="C307" s="121"/>
      <c r="D307" s="139"/>
      <c r="E307" s="139"/>
      <c r="F307" s="139"/>
      <c r="G307" s="147"/>
      <c r="H307" s="147"/>
      <c r="I307" s="121"/>
      <c r="J307" s="121"/>
      <c r="K307" s="121"/>
      <c r="L307" s="14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</row>
    <row r="308" spans="1:27" ht="15.6">
      <c r="A308" s="121"/>
      <c r="B308" s="121"/>
      <c r="C308" s="121"/>
      <c r="D308" s="139"/>
      <c r="E308" s="139"/>
      <c r="F308" s="139"/>
      <c r="G308" s="147"/>
      <c r="H308" s="147"/>
      <c r="I308" s="121"/>
      <c r="J308" s="121"/>
      <c r="K308" s="121"/>
      <c r="L308" s="14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</row>
    <row r="309" spans="1:27" ht="15.6">
      <c r="A309" s="121"/>
      <c r="B309" s="121"/>
      <c r="C309" s="121"/>
      <c r="D309" s="139"/>
      <c r="E309" s="139"/>
      <c r="F309" s="139"/>
      <c r="G309" s="147"/>
      <c r="H309" s="147"/>
      <c r="I309" s="121"/>
      <c r="J309" s="121"/>
      <c r="K309" s="121"/>
      <c r="L309" s="14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</row>
    <row r="310" spans="1:27" ht="15.6">
      <c r="A310" s="121"/>
      <c r="B310" s="121"/>
      <c r="C310" s="121"/>
      <c r="D310" s="139"/>
      <c r="E310" s="139"/>
      <c r="F310" s="139"/>
      <c r="G310" s="147"/>
      <c r="H310" s="147"/>
      <c r="I310" s="121"/>
      <c r="J310" s="121"/>
      <c r="K310" s="121"/>
      <c r="L310" s="14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</row>
    <row r="311" spans="1:27" ht="15.6">
      <c r="A311" s="121"/>
      <c r="B311" s="121"/>
      <c r="C311" s="121"/>
      <c r="D311" s="139"/>
      <c r="E311" s="139"/>
      <c r="F311" s="139"/>
      <c r="G311" s="147"/>
      <c r="H311" s="147"/>
      <c r="I311" s="121"/>
      <c r="J311" s="121"/>
      <c r="K311" s="121"/>
      <c r="L311" s="14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</row>
    <row r="312" spans="1:27" ht="15.6">
      <c r="A312" s="121"/>
      <c r="B312" s="121"/>
      <c r="C312" s="121"/>
      <c r="D312" s="139"/>
      <c r="E312" s="139"/>
      <c r="F312" s="139"/>
      <c r="G312" s="147"/>
      <c r="H312" s="147"/>
      <c r="I312" s="121"/>
      <c r="J312" s="121"/>
      <c r="K312" s="121"/>
      <c r="L312" s="14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</row>
    <row r="313" spans="1:27" ht="15.6">
      <c r="A313" s="121"/>
      <c r="B313" s="121"/>
      <c r="C313" s="121"/>
      <c r="D313" s="139"/>
      <c r="E313" s="139"/>
      <c r="F313" s="139"/>
      <c r="G313" s="147"/>
      <c r="H313" s="147"/>
      <c r="I313" s="121"/>
      <c r="J313" s="121"/>
      <c r="K313" s="121"/>
      <c r="L313" s="14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</row>
    <row r="314" spans="1:27" ht="15.6">
      <c r="A314" s="121"/>
      <c r="B314" s="121"/>
      <c r="C314" s="121"/>
      <c r="D314" s="139"/>
      <c r="E314" s="139"/>
      <c r="F314" s="139"/>
      <c r="G314" s="147"/>
      <c r="H314" s="147"/>
      <c r="I314" s="121"/>
      <c r="J314" s="121"/>
      <c r="K314" s="121"/>
      <c r="L314" s="14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</row>
    <row r="315" spans="1:27" ht="15.6">
      <c r="A315" s="121"/>
      <c r="B315" s="121"/>
      <c r="C315" s="121"/>
      <c r="D315" s="139"/>
      <c r="E315" s="139"/>
      <c r="F315" s="139"/>
      <c r="G315" s="147"/>
      <c r="H315" s="147"/>
      <c r="I315" s="121"/>
      <c r="J315" s="121"/>
      <c r="K315" s="121"/>
      <c r="L315" s="14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</row>
    <row r="316" spans="1:27" ht="15.6">
      <c r="A316" s="121"/>
      <c r="B316" s="121"/>
      <c r="C316" s="121"/>
      <c r="D316" s="139"/>
      <c r="E316" s="139"/>
      <c r="F316" s="139"/>
      <c r="G316" s="147"/>
      <c r="H316" s="147"/>
      <c r="I316" s="121"/>
      <c r="J316" s="121"/>
      <c r="K316" s="121"/>
      <c r="L316" s="14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</row>
    <row r="317" spans="1:27" ht="15.6">
      <c r="A317" s="121"/>
      <c r="B317" s="121"/>
      <c r="C317" s="121"/>
      <c r="D317" s="139"/>
      <c r="E317" s="139"/>
      <c r="F317" s="139"/>
      <c r="G317" s="147"/>
      <c r="H317" s="147"/>
      <c r="I317" s="121"/>
      <c r="J317" s="121"/>
      <c r="K317" s="121"/>
      <c r="L317" s="14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</row>
    <row r="318" spans="1:27" ht="15.6">
      <c r="A318" s="121"/>
      <c r="B318" s="121"/>
      <c r="C318" s="121"/>
      <c r="D318" s="139"/>
      <c r="E318" s="139"/>
      <c r="F318" s="139"/>
      <c r="G318" s="147"/>
      <c r="H318" s="147"/>
      <c r="I318" s="121"/>
      <c r="J318" s="121"/>
      <c r="K318" s="121"/>
      <c r="L318" s="14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</row>
    <row r="319" spans="1:27" ht="15.6">
      <c r="A319" s="121"/>
      <c r="B319" s="121"/>
      <c r="C319" s="121"/>
      <c r="D319" s="139"/>
      <c r="E319" s="139"/>
      <c r="F319" s="139"/>
      <c r="G319" s="147"/>
      <c r="H319" s="147"/>
      <c r="I319" s="121"/>
      <c r="J319" s="121"/>
      <c r="K319" s="121"/>
      <c r="L319" s="14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</row>
    <row r="320" spans="1:27" ht="15.6">
      <c r="A320" s="121"/>
      <c r="B320" s="121"/>
      <c r="C320" s="121"/>
      <c r="D320" s="139"/>
      <c r="E320" s="139"/>
      <c r="F320" s="139"/>
      <c r="G320" s="147"/>
      <c r="H320" s="147"/>
      <c r="I320" s="121"/>
      <c r="J320" s="121"/>
      <c r="K320" s="121"/>
      <c r="L320" s="14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</row>
    <row r="321" spans="1:27" ht="15.6">
      <c r="A321" s="121"/>
      <c r="B321" s="121"/>
      <c r="C321" s="121"/>
      <c r="D321" s="139"/>
      <c r="E321" s="139"/>
      <c r="F321" s="139"/>
      <c r="G321" s="147"/>
      <c r="H321" s="147"/>
      <c r="I321" s="121"/>
      <c r="J321" s="121"/>
      <c r="K321" s="121"/>
      <c r="L321" s="14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</row>
    <row r="322" spans="1:27" ht="15.6">
      <c r="A322" s="121"/>
      <c r="B322" s="121"/>
      <c r="C322" s="121"/>
      <c r="D322" s="139"/>
      <c r="E322" s="139"/>
      <c r="F322" s="139"/>
      <c r="G322" s="147"/>
      <c r="H322" s="147"/>
      <c r="I322" s="121"/>
      <c r="J322" s="121"/>
      <c r="K322" s="121"/>
      <c r="L322" s="14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</row>
    <row r="323" spans="1:27" ht="15.6">
      <c r="A323" s="121"/>
      <c r="B323" s="121"/>
      <c r="C323" s="121"/>
      <c r="D323" s="139"/>
      <c r="E323" s="139"/>
      <c r="F323" s="139"/>
      <c r="G323" s="147"/>
      <c r="H323" s="147"/>
      <c r="I323" s="121"/>
      <c r="J323" s="121"/>
      <c r="K323" s="121"/>
      <c r="L323" s="14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</row>
    <row r="324" spans="1:27" ht="15.6">
      <c r="A324" s="121"/>
      <c r="B324" s="121"/>
      <c r="C324" s="121"/>
      <c r="D324" s="139"/>
      <c r="E324" s="139"/>
      <c r="F324" s="139"/>
      <c r="G324" s="147"/>
      <c r="H324" s="147"/>
      <c r="I324" s="121"/>
      <c r="J324" s="121"/>
      <c r="K324" s="121"/>
      <c r="L324" s="14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</row>
    <row r="325" spans="1:27" ht="15.6">
      <c r="A325" s="121"/>
      <c r="B325" s="121"/>
      <c r="C325" s="121"/>
      <c r="D325" s="139"/>
      <c r="E325" s="139"/>
      <c r="F325" s="139"/>
      <c r="G325" s="147"/>
      <c r="H325" s="147"/>
      <c r="I325" s="121"/>
      <c r="J325" s="121"/>
      <c r="K325" s="121"/>
      <c r="L325" s="14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</row>
    <row r="326" spans="1:27" ht="15.6">
      <c r="A326" s="121"/>
      <c r="B326" s="121"/>
      <c r="C326" s="121"/>
      <c r="D326" s="139"/>
      <c r="E326" s="139"/>
      <c r="F326" s="139"/>
      <c r="G326" s="147"/>
      <c r="H326" s="147"/>
      <c r="I326" s="121"/>
      <c r="J326" s="121"/>
      <c r="K326" s="121"/>
      <c r="L326" s="14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</row>
    <row r="327" spans="1:27" ht="15.6">
      <c r="A327" s="121"/>
      <c r="B327" s="121"/>
      <c r="C327" s="121"/>
      <c r="D327" s="139"/>
      <c r="E327" s="139"/>
      <c r="F327" s="139"/>
      <c r="G327" s="147"/>
      <c r="H327" s="147"/>
      <c r="I327" s="121"/>
      <c r="J327" s="121"/>
      <c r="K327" s="121"/>
      <c r="L327" s="14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</row>
    <row r="328" spans="1:27" ht="15.6">
      <c r="A328" s="121"/>
      <c r="B328" s="121"/>
      <c r="C328" s="121"/>
      <c r="D328" s="139"/>
      <c r="E328" s="139"/>
      <c r="F328" s="139"/>
      <c r="G328" s="147"/>
      <c r="H328" s="147"/>
      <c r="I328" s="121"/>
      <c r="J328" s="121"/>
      <c r="K328" s="121"/>
      <c r="L328" s="14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</row>
    <row r="329" spans="1:27" ht="15.6">
      <c r="A329" s="121"/>
      <c r="B329" s="121"/>
      <c r="C329" s="121"/>
      <c r="D329" s="139"/>
      <c r="E329" s="139"/>
      <c r="F329" s="139"/>
      <c r="G329" s="147"/>
      <c r="H329" s="147"/>
      <c r="I329" s="121"/>
      <c r="J329" s="121"/>
      <c r="K329" s="121"/>
      <c r="L329" s="14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</row>
    <row r="330" spans="1:27" ht="15.6">
      <c r="A330" s="121"/>
      <c r="B330" s="121"/>
      <c r="C330" s="121"/>
      <c r="D330" s="139"/>
      <c r="E330" s="139"/>
      <c r="F330" s="139"/>
      <c r="G330" s="147"/>
      <c r="H330" s="147"/>
      <c r="I330" s="121"/>
      <c r="J330" s="121"/>
      <c r="K330" s="121"/>
      <c r="L330" s="14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</row>
    <row r="331" spans="1:27" ht="15.6">
      <c r="A331" s="121"/>
      <c r="B331" s="121"/>
      <c r="C331" s="121"/>
      <c r="D331" s="139"/>
      <c r="E331" s="139"/>
      <c r="F331" s="139"/>
      <c r="G331" s="147"/>
      <c r="H331" s="147"/>
      <c r="I331" s="121"/>
      <c r="J331" s="121"/>
      <c r="K331" s="121"/>
      <c r="L331" s="14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</row>
    <row r="332" spans="1:27" ht="15.6">
      <c r="A332" s="121"/>
      <c r="B332" s="121"/>
      <c r="C332" s="121"/>
      <c r="D332" s="139"/>
      <c r="E332" s="139"/>
      <c r="F332" s="139"/>
      <c r="G332" s="147"/>
      <c r="H332" s="147"/>
      <c r="I332" s="121"/>
      <c r="J332" s="121"/>
      <c r="K332" s="121"/>
      <c r="L332" s="14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</row>
    <row r="333" spans="1:27" ht="15.6">
      <c r="A333" s="121"/>
      <c r="B333" s="121"/>
      <c r="C333" s="121"/>
      <c r="D333" s="139"/>
      <c r="E333" s="139"/>
      <c r="F333" s="139"/>
      <c r="G333" s="147"/>
      <c r="H333" s="147"/>
      <c r="I333" s="121"/>
      <c r="J333" s="121"/>
      <c r="K333" s="121"/>
      <c r="L333" s="14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</row>
    <row r="334" spans="1:27" ht="15.6">
      <c r="A334" s="121"/>
      <c r="B334" s="121"/>
      <c r="C334" s="121"/>
      <c r="D334" s="139"/>
      <c r="E334" s="139"/>
      <c r="F334" s="139"/>
      <c r="G334" s="147"/>
      <c r="H334" s="147"/>
      <c r="I334" s="121"/>
      <c r="J334" s="121"/>
      <c r="K334" s="121"/>
      <c r="L334" s="14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</row>
    <row r="335" spans="1:27" ht="15.6">
      <c r="A335" s="121"/>
      <c r="B335" s="121"/>
      <c r="C335" s="121"/>
      <c r="D335" s="139"/>
      <c r="E335" s="139"/>
      <c r="F335" s="139"/>
      <c r="G335" s="147"/>
      <c r="H335" s="147"/>
      <c r="I335" s="121"/>
      <c r="J335" s="121"/>
      <c r="K335" s="121"/>
      <c r="L335" s="14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</row>
    <row r="336" spans="1:27" ht="15.6">
      <c r="A336" s="121"/>
      <c r="B336" s="121"/>
      <c r="C336" s="121"/>
      <c r="D336" s="139"/>
      <c r="E336" s="139"/>
      <c r="F336" s="139"/>
      <c r="G336" s="147"/>
      <c r="H336" s="147"/>
      <c r="I336" s="121"/>
      <c r="J336" s="121"/>
      <c r="K336" s="121"/>
      <c r="L336" s="14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</row>
    <row r="337" spans="1:27" ht="15.6">
      <c r="A337" s="121"/>
      <c r="B337" s="121"/>
      <c r="C337" s="121"/>
      <c r="D337" s="139"/>
      <c r="E337" s="139"/>
      <c r="F337" s="139"/>
      <c r="G337" s="147"/>
      <c r="H337" s="147"/>
      <c r="I337" s="121"/>
      <c r="J337" s="121"/>
      <c r="K337" s="121"/>
      <c r="L337" s="14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</row>
    <row r="338" spans="1:27" ht="15.6">
      <c r="A338" s="121"/>
      <c r="B338" s="121"/>
      <c r="C338" s="121"/>
      <c r="D338" s="139"/>
      <c r="E338" s="139"/>
      <c r="F338" s="139"/>
      <c r="G338" s="147"/>
      <c r="H338" s="147"/>
      <c r="I338" s="121"/>
      <c r="J338" s="121"/>
      <c r="K338" s="121"/>
      <c r="L338" s="14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</row>
    <row r="339" spans="1:27" ht="15.6">
      <c r="A339" s="121"/>
      <c r="B339" s="121"/>
      <c r="C339" s="121"/>
      <c r="D339" s="139"/>
      <c r="E339" s="139"/>
      <c r="F339" s="139"/>
      <c r="G339" s="147"/>
      <c r="H339" s="147"/>
      <c r="I339" s="121"/>
      <c r="J339" s="121"/>
      <c r="K339" s="121"/>
      <c r="L339" s="14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</row>
    <row r="340" spans="1:27" ht="15.6">
      <c r="A340" s="121"/>
      <c r="B340" s="121"/>
      <c r="C340" s="121"/>
      <c r="D340" s="139"/>
      <c r="E340" s="139"/>
      <c r="F340" s="139"/>
      <c r="G340" s="147"/>
      <c r="H340" s="147"/>
      <c r="I340" s="121"/>
      <c r="J340" s="121"/>
      <c r="K340" s="121"/>
      <c r="L340" s="14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</row>
    <row r="341" spans="1:27" ht="15.6">
      <c r="A341" s="121"/>
      <c r="B341" s="121"/>
      <c r="C341" s="121"/>
      <c r="D341" s="139"/>
      <c r="E341" s="139"/>
      <c r="F341" s="139"/>
      <c r="G341" s="147"/>
      <c r="H341" s="147"/>
      <c r="I341" s="121"/>
      <c r="J341" s="121"/>
      <c r="K341" s="121"/>
      <c r="L341" s="14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</row>
    <row r="342" spans="1:27" ht="15.6">
      <c r="A342" s="121"/>
      <c r="B342" s="121"/>
      <c r="C342" s="121"/>
      <c r="D342" s="139"/>
      <c r="E342" s="139"/>
      <c r="F342" s="139"/>
      <c r="G342" s="147"/>
      <c r="H342" s="147"/>
      <c r="I342" s="121"/>
      <c r="J342" s="121"/>
      <c r="K342" s="121"/>
      <c r="L342" s="14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</row>
    <row r="343" spans="1:27" ht="15.6">
      <c r="A343" s="121"/>
      <c r="B343" s="121"/>
      <c r="C343" s="121"/>
      <c r="D343" s="139"/>
      <c r="E343" s="139"/>
      <c r="F343" s="139"/>
      <c r="G343" s="147"/>
      <c r="H343" s="147"/>
      <c r="I343" s="121"/>
      <c r="J343" s="121"/>
      <c r="K343" s="121"/>
      <c r="L343" s="14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</row>
    <row r="344" spans="1:27" ht="15.6">
      <c r="A344" s="121"/>
      <c r="B344" s="121"/>
      <c r="C344" s="121"/>
      <c r="D344" s="139"/>
      <c r="E344" s="139"/>
      <c r="F344" s="139"/>
      <c r="G344" s="147"/>
      <c r="H344" s="147"/>
      <c r="I344" s="121"/>
      <c r="J344" s="121"/>
      <c r="K344" s="121"/>
      <c r="L344" s="14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</row>
    <row r="345" spans="1:27" ht="15.6">
      <c r="A345" s="121"/>
      <c r="B345" s="121"/>
      <c r="C345" s="121"/>
      <c r="D345" s="139"/>
      <c r="E345" s="139"/>
      <c r="F345" s="139"/>
      <c r="G345" s="147"/>
      <c r="H345" s="147"/>
      <c r="I345" s="121"/>
      <c r="J345" s="121"/>
      <c r="K345" s="121"/>
      <c r="L345" s="14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</row>
    <row r="346" spans="1:27" ht="15.6">
      <c r="A346" s="121"/>
      <c r="B346" s="121"/>
      <c r="C346" s="121"/>
      <c r="D346" s="139"/>
      <c r="E346" s="139"/>
      <c r="F346" s="139"/>
      <c r="G346" s="147"/>
      <c r="H346" s="147"/>
      <c r="I346" s="121"/>
      <c r="J346" s="121"/>
      <c r="K346" s="121"/>
      <c r="L346" s="14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</row>
    <row r="347" spans="1:27" ht="15.6">
      <c r="A347" s="121"/>
      <c r="B347" s="121"/>
      <c r="C347" s="121"/>
      <c r="D347" s="139"/>
      <c r="E347" s="139"/>
      <c r="F347" s="139"/>
      <c r="G347" s="147"/>
      <c r="H347" s="147"/>
      <c r="I347" s="121"/>
      <c r="J347" s="121"/>
      <c r="K347" s="121"/>
      <c r="L347" s="14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</row>
    <row r="348" spans="1:27" ht="15.6">
      <c r="A348" s="121"/>
      <c r="B348" s="121"/>
      <c r="C348" s="121"/>
      <c r="D348" s="139"/>
      <c r="E348" s="139"/>
      <c r="F348" s="139"/>
      <c r="G348" s="147"/>
      <c r="H348" s="147"/>
      <c r="I348" s="121"/>
      <c r="J348" s="121"/>
      <c r="K348" s="121"/>
      <c r="L348" s="14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</row>
    <row r="349" spans="1:27" ht="15.6">
      <c r="A349" s="121"/>
      <c r="B349" s="121"/>
      <c r="C349" s="121"/>
      <c r="D349" s="139"/>
      <c r="E349" s="139"/>
      <c r="F349" s="139"/>
      <c r="G349" s="147"/>
      <c r="H349" s="147"/>
      <c r="I349" s="121"/>
      <c r="J349" s="121"/>
      <c r="K349" s="121"/>
      <c r="L349" s="14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</row>
    <row r="350" spans="1:27" ht="15.6">
      <c r="A350" s="121"/>
      <c r="B350" s="121"/>
      <c r="C350" s="121"/>
      <c r="D350" s="139"/>
      <c r="E350" s="139"/>
      <c r="F350" s="139"/>
      <c r="G350" s="147"/>
      <c r="H350" s="147"/>
      <c r="I350" s="121"/>
      <c r="J350" s="121"/>
      <c r="K350" s="121"/>
      <c r="L350" s="14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</row>
    <row r="351" spans="1:27" ht="15.6">
      <c r="A351" s="121"/>
      <c r="B351" s="121"/>
      <c r="C351" s="121"/>
      <c r="D351" s="139"/>
      <c r="E351" s="139"/>
      <c r="F351" s="139"/>
      <c r="G351" s="147"/>
      <c r="H351" s="147"/>
      <c r="I351" s="121"/>
      <c r="J351" s="121"/>
      <c r="K351" s="121"/>
      <c r="L351" s="14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</row>
    <row r="352" spans="1:27" ht="15.6">
      <c r="A352" s="121"/>
      <c r="B352" s="121"/>
      <c r="C352" s="121"/>
      <c r="D352" s="139"/>
      <c r="E352" s="139"/>
      <c r="F352" s="139"/>
      <c r="G352" s="147"/>
      <c r="H352" s="147"/>
      <c r="I352" s="121"/>
      <c r="J352" s="121"/>
      <c r="K352" s="121"/>
      <c r="L352" s="14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</row>
    <row r="353" spans="1:27" ht="15.6">
      <c r="A353" s="121"/>
      <c r="B353" s="121"/>
      <c r="C353" s="121"/>
      <c r="D353" s="139"/>
      <c r="E353" s="139"/>
      <c r="F353" s="139"/>
      <c r="G353" s="147"/>
      <c r="H353" s="147"/>
      <c r="I353" s="121"/>
      <c r="J353" s="121"/>
      <c r="K353" s="121"/>
      <c r="L353" s="14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</row>
    <row r="354" spans="1:27" ht="15.6">
      <c r="A354" s="121"/>
      <c r="B354" s="121"/>
      <c r="C354" s="121"/>
      <c r="D354" s="139"/>
      <c r="E354" s="139"/>
      <c r="F354" s="139"/>
      <c r="G354" s="147"/>
      <c r="H354" s="147"/>
      <c r="I354" s="121"/>
      <c r="J354" s="121"/>
      <c r="K354" s="121"/>
      <c r="L354" s="14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</row>
    <row r="355" spans="1:27" ht="15.6">
      <c r="A355" s="121"/>
      <c r="B355" s="121"/>
      <c r="C355" s="121"/>
      <c r="D355" s="139"/>
      <c r="E355" s="139"/>
      <c r="F355" s="139"/>
      <c r="G355" s="147"/>
      <c r="H355" s="147"/>
      <c r="I355" s="121"/>
      <c r="J355" s="121"/>
      <c r="K355" s="121"/>
      <c r="L355" s="14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</row>
    <row r="356" spans="1:27" ht="15.6">
      <c r="A356" s="121"/>
      <c r="B356" s="121"/>
      <c r="C356" s="121"/>
      <c r="D356" s="139"/>
      <c r="E356" s="139"/>
      <c r="F356" s="139"/>
      <c r="G356" s="147"/>
      <c r="H356" s="147"/>
      <c r="I356" s="121"/>
      <c r="J356" s="121"/>
      <c r="K356" s="121"/>
      <c r="L356" s="14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</row>
    <row r="357" spans="1:27" ht="15.6">
      <c r="A357" s="121"/>
      <c r="B357" s="121"/>
      <c r="C357" s="121"/>
      <c r="D357" s="139"/>
      <c r="E357" s="139"/>
      <c r="F357" s="139"/>
      <c r="G357" s="147"/>
      <c r="H357" s="147"/>
      <c r="I357" s="121"/>
      <c r="J357" s="121"/>
      <c r="K357" s="121"/>
      <c r="L357" s="14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</row>
    <row r="358" spans="1:27" ht="15.6">
      <c r="A358" s="121"/>
      <c r="B358" s="121"/>
      <c r="C358" s="121"/>
      <c r="D358" s="139"/>
      <c r="E358" s="139"/>
      <c r="F358" s="139"/>
      <c r="G358" s="147"/>
      <c r="H358" s="147"/>
      <c r="I358" s="121"/>
      <c r="J358" s="121"/>
      <c r="K358" s="121"/>
      <c r="L358" s="14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</row>
    <row r="359" spans="1:27" ht="15.6">
      <c r="A359" s="121"/>
      <c r="B359" s="121"/>
      <c r="C359" s="121"/>
      <c r="D359" s="139"/>
      <c r="E359" s="139"/>
      <c r="F359" s="139"/>
      <c r="G359" s="147"/>
      <c r="H359" s="147"/>
      <c r="I359" s="121"/>
      <c r="J359" s="121"/>
      <c r="K359" s="121"/>
      <c r="L359" s="14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</row>
    <row r="360" spans="1:27" ht="15.6">
      <c r="A360" s="121"/>
      <c r="B360" s="121"/>
      <c r="C360" s="121"/>
      <c r="D360" s="139"/>
      <c r="E360" s="139"/>
      <c r="F360" s="139"/>
      <c r="G360" s="147"/>
      <c r="H360" s="147"/>
      <c r="I360" s="121"/>
      <c r="J360" s="121"/>
      <c r="K360" s="121"/>
      <c r="L360" s="14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</row>
    <row r="361" spans="1:27" ht="15.6">
      <c r="A361" s="121"/>
      <c r="B361" s="121"/>
      <c r="C361" s="121"/>
      <c r="D361" s="139"/>
      <c r="E361" s="139"/>
      <c r="F361" s="139"/>
      <c r="G361" s="147"/>
      <c r="H361" s="147"/>
      <c r="I361" s="121"/>
      <c r="J361" s="121"/>
      <c r="K361" s="121"/>
      <c r="L361" s="14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</row>
    <row r="362" spans="1:27" ht="15.6">
      <c r="A362" s="121"/>
      <c r="B362" s="121"/>
      <c r="C362" s="121"/>
      <c r="D362" s="139"/>
      <c r="E362" s="139"/>
      <c r="F362" s="139"/>
      <c r="G362" s="147"/>
      <c r="H362" s="147"/>
      <c r="I362" s="121"/>
      <c r="J362" s="121"/>
      <c r="K362" s="121"/>
      <c r="L362" s="14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</row>
    <row r="363" spans="1:27" ht="15.6">
      <c r="A363" s="121"/>
      <c r="B363" s="121"/>
      <c r="C363" s="121"/>
      <c r="D363" s="139"/>
      <c r="E363" s="139"/>
      <c r="F363" s="139"/>
      <c r="G363" s="147"/>
      <c r="H363" s="147"/>
      <c r="I363" s="121"/>
      <c r="J363" s="121"/>
      <c r="K363" s="121"/>
      <c r="L363" s="14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</row>
    <row r="364" spans="1:27" ht="15.6">
      <c r="A364" s="121"/>
      <c r="B364" s="121"/>
      <c r="C364" s="121"/>
      <c r="D364" s="139"/>
      <c r="E364" s="139"/>
      <c r="F364" s="139"/>
      <c r="G364" s="147"/>
      <c r="H364" s="147"/>
      <c r="I364" s="121"/>
      <c r="J364" s="121"/>
      <c r="K364" s="121"/>
      <c r="L364" s="14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</row>
    <row r="365" spans="1:27" ht="15.6">
      <c r="A365" s="121"/>
      <c r="B365" s="121"/>
      <c r="C365" s="121"/>
      <c r="D365" s="139"/>
      <c r="E365" s="139"/>
      <c r="F365" s="139"/>
      <c r="G365" s="147"/>
      <c r="H365" s="147"/>
      <c r="I365" s="121"/>
      <c r="J365" s="121"/>
      <c r="K365" s="121"/>
      <c r="L365" s="14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</row>
    <row r="366" spans="1:27" ht="15.6">
      <c r="A366" s="121"/>
      <c r="B366" s="121"/>
      <c r="C366" s="121"/>
      <c r="D366" s="139"/>
      <c r="E366" s="139"/>
      <c r="F366" s="139"/>
      <c r="G366" s="147"/>
      <c r="H366" s="147"/>
      <c r="I366" s="121"/>
      <c r="J366" s="121"/>
      <c r="K366" s="121"/>
      <c r="L366" s="14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</row>
    <row r="367" spans="1:27" ht="15.6">
      <c r="A367" s="121"/>
      <c r="B367" s="121"/>
      <c r="C367" s="121"/>
      <c r="D367" s="139"/>
      <c r="E367" s="139"/>
      <c r="F367" s="139"/>
      <c r="G367" s="147"/>
      <c r="H367" s="147"/>
      <c r="I367" s="121"/>
      <c r="J367" s="121"/>
      <c r="K367" s="121"/>
      <c r="L367" s="14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</row>
    <row r="368" spans="1:27" ht="15.6">
      <c r="A368" s="121"/>
      <c r="B368" s="121"/>
      <c r="C368" s="121"/>
      <c r="D368" s="139"/>
      <c r="E368" s="139"/>
      <c r="F368" s="139"/>
      <c r="G368" s="147"/>
      <c r="H368" s="147"/>
      <c r="I368" s="121"/>
      <c r="J368" s="121"/>
      <c r="K368" s="121"/>
      <c r="L368" s="14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</row>
    <row r="369" spans="1:27" ht="15.6">
      <c r="A369" s="121"/>
      <c r="B369" s="121"/>
      <c r="C369" s="121"/>
      <c r="D369" s="139"/>
      <c r="E369" s="139"/>
      <c r="F369" s="139"/>
      <c r="G369" s="147"/>
      <c r="H369" s="147"/>
      <c r="I369" s="121"/>
      <c r="J369" s="121"/>
      <c r="K369" s="121"/>
      <c r="L369" s="14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</row>
    <row r="370" spans="1:27" ht="15.6">
      <c r="A370" s="121"/>
      <c r="B370" s="121"/>
      <c r="C370" s="121"/>
      <c r="D370" s="139"/>
      <c r="E370" s="139"/>
      <c r="F370" s="139"/>
      <c r="G370" s="147"/>
      <c r="H370" s="147"/>
      <c r="I370" s="121"/>
      <c r="J370" s="121"/>
      <c r="K370" s="121"/>
      <c r="L370" s="14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</row>
    <row r="371" spans="1:27" ht="15.6">
      <c r="A371" s="121"/>
      <c r="B371" s="121"/>
      <c r="C371" s="121"/>
      <c r="D371" s="139"/>
      <c r="E371" s="139"/>
      <c r="F371" s="139"/>
      <c r="G371" s="147"/>
      <c r="H371" s="147"/>
      <c r="I371" s="121"/>
      <c r="J371" s="121"/>
      <c r="K371" s="121"/>
      <c r="L371" s="14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</row>
    <row r="372" spans="1:27" ht="15.6">
      <c r="A372" s="121"/>
      <c r="B372" s="121"/>
      <c r="C372" s="121"/>
      <c r="D372" s="139"/>
      <c r="E372" s="139"/>
      <c r="F372" s="139"/>
      <c r="G372" s="147"/>
      <c r="H372" s="147"/>
      <c r="I372" s="121"/>
      <c r="J372" s="121"/>
      <c r="K372" s="121"/>
      <c r="L372" s="14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</row>
    <row r="373" spans="1:27" ht="15.6">
      <c r="A373" s="121"/>
      <c r="B373" s="121"/>
      <c r="C373" s="121"/>
      <c r="D373" s="139"/>
      <c r="E373" s="139"/>
      <c r="F373" s="139"/>
      <c r="G373" s="147"/>
      <c r="H373" s="147"/>
      <c r="I373" s="121"/>
      <c r="J373" s="121"/>
      <c r="K373" s="121"/>
      <c r="L373" s="14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</row>
    <row r="374" spans="1:27" ht="15.6">
      <c r="A374" s="121"/>
      <c r="B374" s="121"/>
      <c r="C374" s="121"/>
      <c r="D374" s="139"/>
      <c r="E374" s="139"/>
      <c r="F374" s="139"/>
      <c r="G374" s="147"/>
      <c r="H374" s="147"/>
      <c r="I374" s="121"/>
      <c r="J374" s="121"/>
      <c r="K374" s="121"/>
      <c r="L374" s="14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</row>
    <row r="375" spans="1:27" ht="15.6">
      <c r="A375" s="121"/>
      <c r="B375" s="121"/>
      <c r="C375" s="121"/>
      <c r="D375" s="139"/>
      <c r="E375" s="139"/>
      <c r="F375" s="139"/>
      <c r="G375" s="147"/>
      <c r="H375" s="147"/>
      <c r="I375" s="121"/>
      <c r="J375" s="121"/>
      <c r="K375" s="121"/>
      <c r="L375" s="14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</row>
    <row r="376" spans="1:27" ht="15.6">
      <c r="A376" s="121"/>
      <c r="B376" s="121"/>
      <c r="C376" s="121"/>
      <c r="D376" s="139"/>
      <c r="E376" s="139"/>
      <c r="F376" s="139"/>
      <c r="G376" s="147"/>
      <c r="H376" s="147"/>
      <c r="I376" s="121"/>
      <c r="J376" s="121"/>
      <c r="K376" s="121"/>
      <c r="L376" s="14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</row>
    <row r="377" spans="1:27" ht="15.6">
      <c r="A377" s="121"/>
      <c r="B377" s="121"/>
      <c r="C377" s="121"/>
      <c r="D377" s="139"/>
      <c r="E377" s="139"/>
      <c r="F377" s="139"/>
      <c r="G377" s="147"/>
      <c r="H377" s="147"/>
      <c r="I377" s="121"/>
      <c r="J377" s="121"/>
      <c r="K377" s="121"/>
      <c r="L377" s="14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</row>
    <row r="378" spans="1:27" ht="15.6">
      <c r="A378" s="121"/>
      <c r="B378" s="121"/>
      <c r="C378" s="121"/>
      <c r="D378" s="139"/>
      <c r="E378" s="139"/>
      <c r="F378" s="139"/>
      <c r="G378" s="147"/>
      <c r="H378" s="147"/>
      <c r="I378" s="121"/>
      <c r="J378" s="121"/>
      <c r="K378" s="121"/>
      <c r="L378" s="14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</row>
    <row r="379" spans="1:27" ht="15.6">
      <c r="A379" s="121"/>
      <c r="B379" s="121"/>
      <c r="C379" s="121"/>
      <c r="D379" s="139"/>
      <c r="E379" s="139"/>
      <c r="F379" s="139"/>
      <c r="G379" s="147"/>
      <c r="H379" s="147"/>
      <c r="I379" s="121"/>
      <c r="J379" s="121"/>
      <c r="K379" s="121"/>
      <c r="L379" s="14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</row>
    <row r="380" spans="1:27" ht="15.6">
      <c r="A380" s="121"/>
      <c r="B380" s="121"/>
      <c r="C380" s="121"/>
      <c r="D380" s="139"/>
      <c r="E380" s="139"/>
      <c r="F380" s="139"/>
      <c r="G380" s="147"/>
      <c r="H380" s="147"/>
      <c r="I380" s="121"/>
      <c r="J380" s="121"/>
      <c r="K380" s="121"/>
      <c r="L380" s="14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</row>
    <row r="381" spans="1:27" ht="15.6">
      <c r="A381" s="121"/>
      <c r="B381" s="121"/>
      <c r="C381" s="121"/>
      <c r="D381" s="139"/>
      <c r="E381" s="139"/>
      <c r="F381" s="139"/>
      <c r="G381" s="147"/>
      <c r="H381" s="147"/>
      <c r="I381" s="121"/>
      <c r="J381" s="121"/>
      <c r="K381" s="121"/>
      <c r="L381" s="14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</row>
    <row r="382" spans="1:27" ht="15.6">
      <c r="A382" s="121"/>
      <c r="B382" s="121"/>
      <c r="C382" s="121"/>
      <c r="D382" s="139"/>
      <c r="E382" s="139"/>
      <c r="F382" s="139"/>
      <c r="G382" s="147"/>
      <c r="H382" s="147"/>
      <c r="I382" s="121"/>
      <c r="J382" s="121"/>
      <c r="K382" s="121"/>
      <c r="L382" s="14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</row>
    <row r="383" spans="1:27" ht="15.6">
      <c r="A383" s="121"/>
      <c r="B383" s="121"/>
      <c r="C383" s="121"/>
      <c r="D383" s="139"/>
      <c r="E383" s="139"/>
      <c r="F383" s="139"/>
      <c r="G383" s="147"/>
      <c r="H383" s="147"/>
      <c r="I383" s="121"/>
      <c r="J383" s="121"/>
      <c r="K383" s="121"/>
      <c r="L383" s="14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</row>
    <row r="384" spans="1:27" ht="15.6">
      <c r="A384" s="121"/>
      <c r="B384" s="121"/>
      <c r="C384" s="121"/>
      <c r="D384" s="139"/>
      <c r="E384" s="139"/>
      <c r="F384" s="139"/>
      <c r="G384" s="147"/>
      <c r="H384" s="147"/>
      <c r="I384" s="121"/>
      <c r="J384" s="121"/>
      <c r="K384" s="121"/>
      <c r="L384" s="14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</row>
    <row r="385" spans="1:27" ht="15.6">
      <c r="A385" s="121"/>
      <c r="B385" s="121"/>
      <c r="C385" s="121"/>
      <c r="D385" s="139"/>
      <c r="E385" s="139"/>
      <c r="F385" s="139"/>
      <c r="G385" s="147"/>
      <c r="H385" s="147"/>
      <c r="I385" s="121"/>
      <c r="J385" s="121"/>
      <c r="K385" s="121"/>
      <c r="L385" s="14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</row>
    <row r="386" spans="1:27" ht="15.6">
      <c r="A386" s="121"/>
      <c r="B386" s="121"/>
      <c r="C386" s="121"/>
      <c r="D386" s="139"/>
      <c r="E386" s="139"/>
      <c r="F386" s="139"/>
      <c r="G386" s="147"/>
      <c r="H386" s="147"/>
      <c r="I386" s="121"/>
      <c r="J386" s="121"/>
      <c r="K386" s="121"/>
      <c r="L386" s="14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</row>
    <row r="387" spans="1:27" ht="15.6">
      <c r="A387" s="121"/>
      <c r="B387" s="121"/>
      <c r="C387" s="121"/>
      <c r="D387" s="139"/>
      <c r="E387" s="139"/>
      <c r="F387" s="139"/>
      <c r="G387" s="147"/>
      <c r="H387" s="147"/>
      <c r="I387" s="121"/>
      <c r="J387" s="121"/>
      <c r="K387" s="121"/>
      <c r="L387" s="14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</row>
    <row r="388" spans="1:27" ht="15.6">
      <c r="A388" s="121"/>
      <c r="B388" s="121"/>
      <c r="C388" s="121"/>
      <c r="D388" s="139"/>
      <c r="E388" s="139"/>
      <c r="F388" s="139"/>
      <c r="G388" s="147"/>
      <c r="H388" s="147"/>
      <c r="I388" s="121"/>
      <c r="J388" s="121"/>
      <c r="K388" s="121"/>
      <c r="L388" s="14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</row>
    <row r="389" spans="1:27" ht="15.6">
      <c r="A389" s="121"/>
      <c r="B389" s="121"/>
      <c r="C389" s="121"/>
      <c r="D389" s="139"/>
      <c r="E389" s="139"/>
      <c r="F389" s="139"/>
      <c r="G389" s="147"/>
      <c r="H389" s="147"/>
      <c r="I389" s="121"/>
      <c r="J389" s="121"/>
      <c r="K389" s="121"/>
      <c r="L389" s="14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</row>
    <row r="390" spans="1:27" ht="15.6">
      <c r="A390" s="121"/>
      <c r="B390" s="121"/>
      <c r="C390" s="121"/>
      <c r="D390" s="139"/>
      <c r="E390" s="139"/>
      <c r="F390" s="139"/>
      <c r="G390" s="147"/>
      <c r="H390" s="147"/>
      <c r="I390" s="121"/>
      <c r="J390" s="121"/>
      <c r="K390" s="121"/>
      <c r="L390" s="14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</row>
    <row r="391" spans="1:27" ht="15.6">
      <c r="A391" s="121"/>
      <c r="B391" s="121"/>
      <c r="C391" s="121"/>
      <c r="D391" s="139"/>
      <c r="E391" s="139"/>
      <c r="F391" s="139"/>
      <c r="G391" s="147"/>
      <c r="H391" s="147"/>
      <c r="I391" s="121"/>
      <c r="J391" s="121"/>
      <c r="K391" s="121"/>
      <c r="L391" s="14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</row>
    <row r="392" spans="1:27" ht="15.6">
      <c r="A392" s="121"/>
      <c r="B392" s="121"/>
      <c r="C392" s="121"/>
      <c r="D392" s="139"/>
      <c r="E392" s="139"/>
      <c r="F392" s="139"/>
      <c r="G392" s="147"/>
      <c r="H392" s="147"/>
      <c r="I392" s="121"/>
      <c r="J392" s="121"/>
      <c r="K392" s="121"/>
      <c r="L392" s="14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</row>
    <row r="393" spans="1:27" ht="15.6">
      <c r="A393" s="121"/>
      <c r="B393" s="121"/>
      <c r="C393" s="121"/>
      <c r="D393" s="139"/>
      <c r="E393" s="139"/>
      <c r="F393" s="139"/>
      <c r="G393" s="147"/>
      <c r="H393" s="147"/>
      <c r="I393" s="121"/>
      <c r="J393" s="121"/>
      <c r="K393" s="121"/>
      <c r="L393" s="14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</row>
    <row r="394" spans="1:27" ht="15.6">
      <c r="A394" s="121"/>
      <c r="B394" s="121"/>
      <c r="C394" s="121"/>
      <c r="D394" s="139"/>
      <c r="E394" s="139"/>
      <c r="F394" s="139"/>
      <c r="G394" s="147"/>
      <c r="H394" s="147"/>
      <c r="I394" s="121"/>
      <c r="J394" s="121"/>
      <c r="K394" s="121"/>
      <c r="L394" s="14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</row>
    <row r="395" spans="1:27" ht="15.6">
      <c r="A395" s="121"/>
      <c r="B395" s="121"/>
      <c r="C395" s="121"/>
      <c r="D395" s="139"/>
      <c r="E395" s="139"/>
      <c r="F395" s="139"/>
      <c r="G395" s="147"/>
      <c r="H395" s="147"/>
      <c r="I395" s="121"/>
      <c r="J395" s="121"/>
      <c r="K395" s="121"/>
      <c r="L395" s="14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</row>
    <row r="396" spans="1:27" ht="15.6">
      <c r="A396" s="121"/>
      <c r="B396" s="121"/>
      <c r="C396" s="121"/>
      <c r="D396" s="139"/>
      <c r="E396" s="139"/>
      <c r="F396" s="139"/>
      <c r="G396" s="147"/>
      <c r="H396" s="147"/>
      <c r="I396" s="121"/>
      <c r="J396" s="121"/>
      <c r="K396" s="121"/>
      <c r="L396" s="14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</row>
    <row r="397" spans="1:27" ht="15.6">
      <c r="A397" s="121"/>
      <c r="B397" s="121"/>
      <c r="C397" s="121"/>
      <c r="D397" s="139"/>
      <c r="E397" s="139"/>
      <c r="F397" s="139"/>
      <c r="G397" s="147"/>
      <c r="H397" s="147"/>
      <c r="I397" s="121"/>
      <c r="J397" s="121"/>
      <c r="K397" s="121"/>
      <c r="L397" s="14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</row>
    <row r="398" spans="1:27" ht="15.6">
      <c r="A398" s="121"/>
      <c r="B398" s="121"/>
      <c r="C398" s="121"/>
      <c r="D398" s="139"/>
      <c r="E398" s="139"/>
      <c r="F398" s="139"/>
      <c r="G398" s="147"/>
      <c r="H398" s="147"/>
      <c r="I398" s="121"/>
      <c r="J398" s="121"/>
      <c r="K398" s="121"/>
      <c r="L398" s="14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</row>
    <row r="399" spans="1:27" ht="15.6">
      <c r="A399" s="121"/>
      <c r="B399" s="121"/>
      <c r="C399" s="121"/>
      <c r="D399" s="139"/>
      <c r="E399" s="139"/>
      <c r="F399" s="139"/>
      <c r="G399" s="147"/>
      <c r="H399" s="147"/>
      <c r="I399" s="121"/>
      <c r="J399" s="121"/>
      <c r="K399" s="121"/>
      <c r="L399" s="14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</row>
    <row r="400" spans="1:27" ht="15.6">
      <c r="A400" s="121"/>
      <c r="B400" s="121"/>
      <c r="C400" s="121"/>
      <c r="D400" s="139"/>
      <c r="E400" s="139"/>
      <c r="F400" s="139"/>
      <c r="G400" s="147"/>
      <c r="H400" s="147"/>
      <c r="I400" s="121"/>
      <c r="J400" s="121"/>
      <c r="K400" s="121"/>
      <c r="L400" s="14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</row>
    <row r="401" spans="1:27" ht="15.6">
      <c r="A401" s="121"/>
      <c r="B401" s="121"/>
      <c r="C401" s="121"/>
      <c r="D401" s="139"/>
      <c r="E401" s="139"/>
      <c r="F401" s="139"/>
      <c r="G401" s="147"/>
      <c r="H401" s="147"/>
      <c r="I401" s="121"/>
      <c r="J401" s="121"/>
      <c r="K401" s="121"/>
      <c r="L401" s="14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</row>
    <row r="402" spans="1:27" ht="15.6">
      <c r="A402" s="121"/>
      <c r="B402" s="121"/>
      <c r="C402" s="121"/>
      <c r="D402" s="139"/>
      <c r="E402" s="139"/>
      <c r="F402" s="139"/>
      <c r="G402" s="147"/>
      <c r="H402" s="147"/>
      <c r="I402" s="121"/>
      <c r="J402" s="121"/>
      <c r="K402" s="121"/>
      <c r="L402" s="14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</row>
    <row r="403" spans="1:27" ht="15.6">
      <c r="A403" s="121"/>
      <c r="B403" s="121"/>
      <c r="C403" s="121"/>
      <c r="D403" s="139"/>
      <c r="E403" s="139"/>
      <c r="F403" s="139"/>
      <c r="G403" s="147"/>
      <c r="H403" s="147"/>
      <c r="I403" s="121"/>
      <c r="J403" s="121"/>
      <c r="K403" s="121"/>
      <c r="L403" s="14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</row>
    <row r="404" spans="1:27" ht="15.6">
      <c r="A404" s="121"/>
      <c r="B404" s="121"/>
      <c r="C404" s="121"/>
      <c r="D404" s="139"/>
      <c r="E404" s="139"/>
      <c r="F404" s="139"/>
      <c r="G404" s="147"/>
      <c r="H404" s="147"/>
      <c r="I404" s="121"/>
      <c r="J404" s="121"/>
      <c r="K404" s="121"/>
      <c r="L404" s="14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</row>
    <row r="405" spans="1:27" ht="15.6">
      <c r="A405" s="121"/>
      <c r="B405" s="121"/>
      <c r="C405" s="121"/>
      <c r="D405" s="139"/>
      <c r="E405" s="139"/>
      <c r="F405" s="139"/>
      <c r="G405" s="147"/>
      <c r="H405" s="147"/>
      <c r="I405" s="121"/>
      <c r="J405" s="121"/>
      <c r="K405" s="121"/>
      <c r="L405" s="14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</row>
    <row r="406" spans="1:27" ht="15.6">
      <c r="A406" s="121"/>
      <c r="B406" s="121"/>
      <c r="C406" s="121"/>
      <c r="D406" s="139"/>
      <c r="E406" s="139"/>
      <c r="F406" s="139"/>
      <c r="G406" s="147"/>
      <c r="H406" s="147"/>
      <c r="I406" s="121"/>
      <c r="J406" s="121"/>
      <c r="K406" s="121"/>
      <c r="L406" s="14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</row>
    <row r="407" spans="1:27" ht="15.6">
      <c r="A407" s="121"/>
      <c r="B407" s="121"/>
      <c r="C407" s="121"/>
      <c r="D407" s="139"/>
      <c r="E407" s="139"/>
      <c r="F407" s="139"/>
      <c r="G407" s="147"/>
      <c r="H407" s="147"/>
      <c r="I407" s="121"/>
      <c r="J407" s="121"/>
      <c r="K407" s="121"/>
      <c r="L407" s="14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</row>
    <row r="408" spans="1:27" ht="15.6">
      <c r="A408" s="121"/>
      <c r="B408" s="121"/>
      <c r="C408" s="121"/>
      <c r="D408" s="139"/>
      <c r="E408" s="139"/>
      <c r="F408" s="139"/>
      <c r="G408" s="147"/>
      <c r="H408" s="147"/>
      <c r="I408" s="121"/>
      <c r="J408" s="121"/>
      <c r="K408" s="121"/>
      <c r="L408" s="14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</row>
    <row r="409" spans="1:27" ht="15.6">
      <c r="A409" s="121"/>
      <c r="B409" s="121"/>
      <c r="C409" s="121"/>
      <c r="D409" s="139"/>
      <c r="E409" s="139"/>
      <c r="F409" s="139"/>
      <c r="G409" s="147"/>
      <c r="H409" s="147"/>
      <c r="I409" s="121"/>
      <c r="J409" s="121"/>
      <c r="K409" s="121"/>
      <c r="L409" s="14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</row>
    <row r="410" spans="1:27" ht="15.6">
      <c r="A410" s="121"/>
      <c r="B410" s="121"/>
      <c r="C410" s="121"/>
      <c r="D410" s="139"/>
      <c r="E410" s="139"/>
      <c r="F410" s="139"/>
      <c r="G410" s="147"/>
      <c r="H410" s="147"/>
      <c r="I410" s="121"/>
      <c r="J410" s="121"/>
      <c r="K410" s="121"/>
      <c r="L410" s="14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</row>
    <row r="411" spans="1:27" ht="15.6">
      <c r="A411" s="121"/>
      <c r="B411" s="121"/>
      <c r="C411" s="121"/>
      <c r="D411" s="139"/>
      <c r="E411" s="139"/>
      <c r="F411" s="139"/>
      <c r="G411" s="147"/>
      <c r="H411" s="147"/>
      <c r="I411" s="121"/>
      <c r="J411" s="121"/>
      <c r="K411" s="121"/>
      <c r="L411" s="14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</row>
    <row r="412" spans="1:27" ht="15.6">
      <c r="A412" s="121"/>
      <c r="B412" s="121"/>
      <c r="C412" s="121"/>
      <c r="D412" s="139"/>
      <c r="E412" s="139"/>
      <c r="F412" s="139"/>
      <c r="G412" s="147"/>
      <c r="H412" s="147"/>
      <c r="I412" s="121"/>
      <c r="J412" s="121"/>
      <c r="K412" s="121"/>
      <c r="L412" s="14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</row>
    <row r="413" spans="1:27" ht="15.6">
      <c r="A413" s="121"/>
      <c r="B413" s="121"/>
      <c r="C413" s="121"/>
      <c r="D413" s="139"/>
      <c r="E413" s="139"/>
      <c r="F413" s="139"/>
      <c r="G413" s="147"/>
      <c r="H413" s="147"/>
      <c r="I413" s="121"/>
      <c r="J413" s="121"/>
      <c r="K413" s="121"/>
      <c r="L413" s="14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</row>
    <row r="414" spans="1:27" ht="15.6">
      <c r="A414" s="121"/>
      <c r="B414" s="121"/>
      <c r="C414" s="121"/>
      <c r="D414" s="139"/>
      <c r="E414" s="139"/>
      <c r="F414" s="139"/>
      <c r="G414" s="147"/>
      <c r="H414" s="147"/>
      <c r="I414" s="121"/>
      <c r="J414" s="121"/>
      <c r="K414" s="121"/>
      <c r="L414" s="14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</row>
    <row r="415" spans="1:27" ht="15.6">
      <c r="A415" s="121"/>
      <c r="B415" s="121"/>
      <c r="C415" s="121"/>
      <c r="D415" s="139"/>
      <c r="E415" s="139"/>
      <c r="F415" s="139"/>
      <c r="G415" s="147"/>
      <c r="H415" s="147"/>
      <c r="I415" s="121"/>
      <c r="J415" s="121"/>
      <c r="K415" s="121"/>
      <c r="L415" s="14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</row>
    <row r="416" spans="1:27" ht="15.6">
      <c r="A416" s="121"/>
      <c r="B416" s="121"/>
      <c r="C416" s="121"/>
      <c r="D416" s="139"/>
      <c r="E416" s="139"/>
      <c r="F416" s="139"/>
      <c r="G416" s="147"/>
      <c r="H416" s="147"/>
      <c r="I416" s="121"/>
      <c r="J416" s="121"/>
      <c r="K416" s="121"/>
      <c r="L416" s="14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</row>
    <row r="417" spans="1:27" ht="15.6">
      <c r="A417" s="121"/>
      <c r="B417" s="121"/>
      <c r="C417" s="121"/>
      <c r="D417" s="139"/>
      <c r="E417" s="139"/>
      <c r="F417" s="139"/>
      <c r="G417" s="147"/>
      <c r="H417" s="147"/>
      <c r="I417" s="121"/>
      <c r="J417" s="121"/>
      <c r="K417" s="121"/>
      <c r="L417" s="14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</row>
    <row r="418" spans="1:27" ht="15.6">
      <c r="A418" s="121"/>
      <c r="B418" s="121"/>
      <c r="C418" s="121"/>
      <c r="D418" s="139"/>
      <c r="E418" s="139"/>
      <c r="F418" s="139"/>
      <c r="G418" s="147"/>
      <c r="H418" s="147"/>
      <c r="I418" s="121"/>
      <c r="J418" s="121"/>
      <c r="K418" s="121"/>
      <c r="L418" s="14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</row>
    <row r="419" spans="1:27" ht="15.6">
      <c r="A419" s="121"/>
      <c r="B419" s="121"/>
      <c r="C419" s="121"/>
      <c r="D419" s="139"/>
      <c r="E419" s="139"/>
      <c r="F419" s="139"/>
      <c r="G419" s="147"/>
      <c r="H419" s="147"/>
      <c r="I419" s="121"/>
      <c r="J419" s="121"/>
      <c r="K419" s="121"/>
      <c r="L419" s="14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</row>
    <row r="420" spans="1:27" ht="15.6">
      <c r="A420" s="121"/>
      <c r="B420" s="121"/>
      <c r="C420" s="121"/>
      <c r="D420" s="139"/>
      <c r="E420" s="139"/>
      <c r="F420" s="139"/>
      <c r="G420" s="147"/>
      <c r="H420" s="147"/>
      <c r="I420" s="121"/>
      <c r="J420" s="121"/>
      <c r="K420" s="121"/>
      <c r="L420" s="14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</row>
    <row r="421" spans="1:27" ht="15.6">
      <c r="A421" s="121"/>
      <c r="B421" s="121"/>
      <c r="C421" s="121"/>
      <c r="D421" s="139"/>
      <c r="E421" s="139"/>
      <c r="F421" s="139"/>
      <c r="G421" s="147"/>
      <c r="H421" s="147"/>
      <c r="I421" s="121"/>
      <c r="J421" s="121"/>
      <c r="K421" s="121"/>
      <c r="L421" s="14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</row>
    <row r="422" spans="1:27" ht="15.6">
      <c r="A422" s="121"/>
      <c r="B422" s="121"/>
      <c r="C422" s="121"/>
      <c r="D422" s="139"/>
      <c r="E422" s="139"/>
      <c r="F422" s="139"/>
      <c r="G422" s="147"/>
      <c r="H422" s="147"/>
      <c r="I422" s="121"/>
      <c r="J422" s="121"/>
      <c r="K422" s="121"/>
      <c r="L422" s="14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</row>
    <row r="423" spans="1:27" ht="15.6">
      <c r="A423" s="121"/>
      <c r="B423" s="121"/>
      <c r="C423" s="121"/>
      <c r="D423" s="139"/>
      <c r="E423" s="139"/>
      <c r="F423" s="139"/>
      <c r="G423" s="147"/>
      <c r="H423" s="147"/>
      <c r="I423" s="121"/>
      <c r="J423" s="121"/>
      <c r="K423" s="121"/>
      <c r="L423" s="14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</row>
    <row r="424" spans="1:27" ht="15.6">
      <c r="A424" s="121"/>
      <c r="B424" s="121"/>
      <c r="C424" s="121"/>
      <c r="D424" s="139"/>
      <c r="E424" s="139"/>
      <c r="F424" s="139"/>
      <c r="G424" s="147"/>
      <c r="H424" s="147"/>
      <c r="I424" s="121"/>
      <c r="J424" s="121"/>
      <c r="K424" s="121"/>
      <c r="L424" s="14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</row>
    <row r="425" spans="1:27" ht="15.6">
      <c r="A425" s="121"/>
      <c r="B425" s="121"/>
      <c r="C425" s="121"/>
      <c r="D425" s="139"/>
      <c r="E425" s="139"/>
      <c r="F425" s="139"/>
      <c r="G425" s="147"/>
      <c r="H425" s="147"/>
      <c r="I425" s="121"/>
      <c r="J425" s="121"/>
      <c r="K425" s="121"/>
      <c r="L425" s="14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</row>
    <row r="426" spans="1:27" ht="15.6">
      <c r="A426" s="121"/>
      <c r="B426" s="121"/>
      <c r="C426" s="121"/>
      <c r="D426" s="139"/>
      <c r="E426" s="139"/>
      <c r="F426" s="139"/>
      <c r="G426" s="147"/>
      <c r="H426" s="147"/>
      <c r="I426" s="121"/>
      <c r="J426" s="121"/>
      <c r="K426" s="121"/>
      <c r="L426" s="14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</row>
    <row r="427" spans="1:27" ht="15.6">
      <c r="A427" s="121"/>
      <c r="B427" s="121"/>
      <c r="C427" s="121"/>
      <c r="D427" s="139"/>
      <c r="E427" s="139"/>
      <c r="F427" s="139"/>
      <c r="G427" s="147"/>
      <c r="H427" s="147"/>
      <c r="I427" s="121"/>
      <c r="J427" s="121"/>
      <c r="K427" s="121"/>
      <c r="L427" s="14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</row>
    <row r="428" spans="1:27" ht="15.6">
      <c r="A428" s="121"/>
      <c r="B428" s="121"/>
      <c r="C428" s="121"/>
      <c r="D428" s="139"/>
      <c r="E428" s="139"/>
      <c r="F428" s="139"/>
      <c r="G428" s="147"/>
      <c r="H428" s="147"/>
      <c r="I428" s="121"/>
      <c r="J428" s="121"/>
      <c r="K428" s="121"/>
      <c r="L428" s="14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</row>
    <row r="429" spans="1:27" ht="15.6">
      <c r="A429" s="121"/>
      <c r="B429" s="121"/>
      <c r="C429" s="121"/>
      <c r="D429" s="139"/>
      <c r="E429" s="139"/>
      <c r="F429" s="139"/>
      <c r="G429" s="147"/>
      <c r="H429" s="147"/>
      <c r="I429" s="121"/>
      <c r="J429" s="121"/>
      <c r="K429" s="121"/>
      <c r="L429" s="14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</row>
    <row r="430" spans="1:27" ht="15.6">
      <c r="A430" s="121"/>
      <c r="B430" s="121"/>
      <c r="C430" s="121"/>
      <c r="D430" s="139"/>
      <c r="E430" s="139"/>
      <c r="F430" s="139"/>
      <c r="G430" s="147"/>
      <c r="H430" s="147"/>
      <c r="I430" s="121"/>
      <c r="J430" s="121"/>
      <c r="K430" s="121"/>
      <c r="L430" s="14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</row>
    <row r="431" spans="1:27" ht="15.6">
      <c r="A431" s="121"/>
      <c r="B431" s="121"/>
      <c r="C431" s="121"/>
      <c r="D431" s="139"/>
      <c r="E431" s="139"/>
      <c r="F431" s="139"/>
      <c r="G431" s="147"/>
      <c r="H431" s="147"/>
      <c r="I431" s="121"/>
      <c r="J431" s="121"/>
      <c r="K431" s="121"/>
      <c r="L431" s="14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</row>
    <row r="432" spans="1:27" ht="15.6">
      <c r="A432" s="121"/>
      <c r="B432" s="121"/>
      <c r="C432" s="121"/>
      <c r="D432" s="139"/>
      <c r="E432" s="139"/>
      <c r="F432" s="139"/>
      <c r="G432" s="147"/>
      <c r="H432" s="147"/>
      <c r="I432" s="121"/>
      <c r="J432" s="121"/>
      <c r="K432" s="121"/>
      <c r="L432" s="14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</row>
    <row r="433" spans="1:27" ht="15.6">
      <c r="A433" s="121"/>
      <c r="B433" s="121"/>
      <c r="C433" s="121"/>
      <c r="D433" s="139"/>
      <c r="E433" s="139"/>
      <c r="F433" s="139"/>
      <c r="G433" s="147"/>
      <c r="H433" s="147"/>
      <c r="I433" s="121"/>
      <c r="J433" s="121"/>
      <c r="K433" s="121"/>
      <c r="L433" s="14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</row>
    <row r="434" spans="1:27" ht="15.6">
      <c r="A434" s="121"/>
      <c r="B434" s="121"/>
      <c r="C434" s="121"/>
      <c r="D434" s="139"/>
      <c r="E434" s="139"/>
      <c r="F434" s="139"/>
      <c r="G434" s="147"/>
      <c r="H434" s="147"/>
      <c r="I434" s="121"/>
      <c r="J434" s="121"/>
      <c r="K434" s="121"/>
      <c r="L434" s="14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</row>
    <row r="435" spans="1:27" ht="15.6">
      <c r="A435" s="121"/>
      <c r="B435" s="121"/>
      <c r="C435" s="121"/>
      <c r="D435" s="139"/>
      <c r="E435" s="139"/>
      <c r="F435" s="139"/>
      <c r="G435" s="147"/>
      <c r="H435" s="147"/>
      <c r="I435" s="121"/>
      <c r="J435" s="121"/>
      <c r="K435" s="121"/>
      <c r="L435" s="14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</row>
    <row r="436" spans="1:27" ht="15.6">
      <c r="A436" s="121"/>
      <c r="B436" s="121"/>
      <c r="C436" s="121"/>
      <c r="D436" s="139"/>
      <c r="E436" s="139"/>
      <c r="F436" s="139"/>
      <c r="G436" s="147"/>
      <c r="H436" s="147"/>
      <c r="I436" s="121"/>
      <c r="J436" s="121"/>
      <c r="K436" s="121"/>
      <c r="L436" s="14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</row>
    <row r="437" spans="1:27" ht="15.6">
      <c r="A437" s="121"/>
      <c r="B437" s="121"/>
      <c r="C437" s="121"/>
      <c r="D437" s="139"/>
      <c r="E437" s="139"/>
      <c r="F437" s="139"/>
      <c r="G437" s="147"/>
      <c r="H437" s="147"/>
      <c r="I437" s="121"/>
      <c r="J437" s="121"/>
      <c r="K437" s="121"/>
      <c r="L437" s="14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</row>
    <row r="438" spans="1:27" ht="15.6">
      <c r="A438" s="121"/>
      <c r="B438" s="121"/>
      <c r="C438" s="121"/>
      <c r="D438" s="139"/>
      <c r="E438" s="139"/>
      <c r="F438" s="139"/>
      <c r="G438" s="147"/>
      <c r="H438" s="147"/>
      <c r="I438" s="121"/>
      <c r="J438" s="121"/>
      <c r="K438" s="121"/>
      <c r="L438" s="14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</row>
    <row r="439" spans="1:27" ht="15.6">
      <c r="A439" s="121"/>
      <c r="B439" s="121"/>
      <c r="C439" s="121"/>
      <c r="D439" s="139"/>
      <c r="E439" s="139"/>
      <c r="F439" s="139"/>
      <c r="G439" s="147"/>
      <c r="H439" s="147"/>
      <c r="I439" s="121"/>
      <c r="J439" s="121"/>
      <c r="K439" s="121"/>
      <c r="L439" s="14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</row>
    <row r="440" spans="1:27" ht="15.6">
      <c r="A440" s="121"/>
      <c r="B440" s="121"/>
      <c r="C440" s="121"/>
      <c r="D440" s="139"/>
      <c r="E440" s="139"/>
      <c r="F440" s="139"/>
      <c r="G440" s="147"/>
      <c r="H440" s="147"/>
      <c r="I440" s="121"/>
      <c r="J440" s="121"/>
      <c r="K440" s="121"/>
      <c r="L440" s="14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</row>
    <row r="441" spans="1:27" ht="15.6">
      <c r="A441" s="121"/>
      <c r="B441" s="121"/>
      <c r="C441" s="121"/>
      <c r="D441" s="139"/>
      <c r="E441" s="139"/>
      <c r="F441" s="139"/>
      <c r="G441" s="147"/>
      <c r="H441" s="147"/>
      <c r="I441" s="121"/>
      <c r="J441" s="121"/>
      <c r="K441" s="121"/>
      <c r="L441" s="14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</row>
    <row r="442" spans="1:27" ht="15.6">
      <c r="A442" s="121"/>
      <c r="B442" s="121"/>
      <c r="C442" s="121"/>
      <c r="D442" s="139"/>
      <c r="E442" s="139"/>
      <c r="F442" s="139"/>
      <c r="G442" s="147"/>
      <c r="H442" s="147"/>
      <c r="I442" s="121"/>
      <c r="J442" s="121"/>
      <c r="K442" s="121"/>
      <c r="L442" s="14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</row>
    <row r="443" spans="1:27" ht="15.6">
      <c r="A443" s="121"/>
      <c r="B443" s="121"/>
      <c r="C443" s="121"/>
      <c r="D443" s="139"/>
      <c r="E443" s="139"/>
      <c r="F443" s="139"/>
      <c r="G443" s="147"/>
      <c r="H443" s="147"/>
      <c r="I443" s="121"/>
      <c r="J443" s="121"/>
      <c r="K443" s="121"/>
      <c r="L443" s="14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</row>
    <row r="444" spans="1:27" ht="15.6">
      <c r="A444" s="121"/>
      <c r="B444" s="121"/>
      <c r="C444" s="121"/>
      <c r="D444" s="139"/>
      <c r="E444" s="139"/>
      <c r="F444" s="139"/>
      <c r="G444" s="147"/>
      <c r="H444" s="147"/>
      <c r="I444" s="121"/>
      <c r="J444" s="121"/>
      <c r="K444" s="121"/>
      <c r="L444" s="14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</row>
    <row r="445" spans="1:27" ht="15.6">
      <c r="A445" s="121"/>
      <c r="B445" s="121"/>
      <c r="C445" s="121"/>
      <c r="D445" s="139"/>
      <c r="E445" s="139"/>
      <c r="F445" s="139"/>
      <c r="G445" s="147"/>
      <c r="H445" s="147"/>
      <c r="I445" s="121"/>
      <c r="J445" s="121"/>
      <c r="K445" s="121"/>
      <c r="L445" s="14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</row>
    <row r="446" spans="1:27" ht="15.6">
      <c r="A446" s="121"/>
      <c r="B446" s="121"/>
      <c r="C446" s="121"/>
      <c r="D446" s="139"/>
      <c r="E446" s="139"/>
      <c r="F446" s="139"/>
      <c r="G446" s="147"/>
      <c r="H446" s="147"/>
      <c r="I446" s="121"/>
      <c r="J446" s="121"/>
      <c r="K446" s="121"/>
      <c r="L446" s="14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</row>
    <row r="447" spans="1:27" ht="15.6">
      <c r="A447" s="121"/>
      <c r="B447" s="121"/>
      <c r="C447" s="121"/>
      <c r="D447" s="139"/>
      <c r="E447" s="139"/>
      <c r="F447" s="139"/>
      <c r="G447" s="147"/>
      <c r="H447" s="147"/>
      <c r="I447" s="121"/>
      <c r="J447" s="121"/>
      <c r="K447" s="121"/>
      <c r="L447" s="14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</row>
    <row r="448" spans="1:27" ht="15.6">
      <c r="A448" s="121"/>
      <c r="B448" s="121"/>
      <c r="C448" s="121"/>
      <c r="D448" s="139"/>
      <c r="E448" s="139"/>
      <c r="F448" s="139"/>
      <c r="G448" s="147"/>
      <c r="H448" s="147"/>
      <c r="I448" s="121"/>
      <c r="J448" s="121"/>
      <c r="K448" s="121"/>
      <c r="L448" s="14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</row>
    <row r="449" spans="1:27" ht="15.6">
      <c r="A449" s="121"/>
      <c r="B449" s="121"/>
      <c r="C449" s="121"/>
      <c r="D449" s="139"/>
      <c r="E449" s="139"/>
      <c r="F449" s="139"/>
      <c r="G449" s="147"/>
      <c r="H449" s="147"/>
      <c r="I449" s="121"/>
      <c r="J449" s="121"/>
      <c r="K449" s="121"/>
      <c r="L449" s="14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</row>
    <row r="450" spans="1:27" ht="15.6">
      <c r="A450" s="121"/>
      <c r="B450" s="121"/>
      <c r="C450" s="121"/>
      <c r="D450" s="139"/>
      <c r="E450" s="139"/>
      <c r="F450" s="139"/>
      <c r="G450" s="147"/>
      <c r="H450" s="147"/>
      <c r="I450" s="121"/>
      <c r="J450" s="121"/>
      <c r="K450" s="121"/>
      <c r="L450" s="14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</row>
    <row r="451" spans="1:27" ht="15.6">
      <c r="A451" s="121"/>
      <c r="B451" s="121"/>
      <c r="C451" s="121"/>
      <c r="D451" s="139"/>
      <c r="E451" s="139"/>
      <c r="F451" s="139"/>
      <c r="G451" s="147"/>
      <c r="H451" s="147"/>
      <c r="I451" s="121"/>
      <c r="J451" s="121"/>
      <c r="K451" s="121"/>
      <c r="L451" s="14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</row>
    <row r="452" spans="1:27" ht="15.6">
      <c r="A452" s="121"/>
      <c r="B452" s="121"/>
      <c r="C452" s="121"/>
      <c r="D452" s="139"/>
      <c r="E452" s="139"/>
      <c r="F452" s="139"/>
      <c r="G452" s="147"/>
      <c r="H452" s="147"/>
      <c r="I452" s="121"/>
      <c r="J452" s="121"/>
      <c r="K452" s="121"/>
      <c r="L452" s="14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</row>
    <row r="453" spans="1:27" ht="15.6">
      <c r="A453" s="121"/>
      <c r="B453" s="121"/>
      <c r="C453" s="121"/>
      <c r="D453" s="139"/>
      <c r="E453" s="139"/>
      <c r="F453" s="139"/>
      <c r="G453" s="147"/>
      <c r="H453" s="147"/>
      <c r="I453" s="121"/>
      <c r="J453" s="121"/>
      <c r="K453" s="121"/>
      <c r="L453" s="14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</row>
    <row r="454" spans="1:27" ht="15.6">
      <c r="A454" s="121"/>
      <c r="B454" s="121"/>
      <c r="C454" s="121"/>
      <c r="D454" s="139"/>
      <c r="E454" s="139"/>
      <c r="F454" s="139"/>
      <c r="G454" s="147"/>
      <c r="H454" s="147"/>
      <c r="I454" s="121"/>
      <c r="J454" s="121"/>
      <c r="K454" s="121"/>
      <c r="L454" s="14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</row>
    <row r="455" spans="1:27" ht="15.6">
      <c r="A455" s="121"/>
      <c r="B455" s="121"/>
      <c r="C455" s="121"/>
      <c r="D455" s="139"/>
      <c r="E455" s="139"/>
      <c r="F455" s="139"/>
      <c r="G455" s="147"/>
      <c r="H455" s="147"/>
      <c r="I455" s="121"/>
      <c r="J455" s="121"/>
      <c r="K455" s="121"/>
      <c r="L455" s="14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</row>
    <row r="456" spans="1:27" ht="15.6">
      <c r="A456" s="121"/>
      <c r="B456" s="121"/>
      <c r="C456" s="121"/>
      <c r="D456" s="139"/>
      <c r="E456" s="139"/>
      <c r="F456" s="139"/>
      <c r="G456" s="147"/>
      <c r="H456" s="147"/>
      <c r="I456" s="121"/>
      <c r="J456" s="121"/>
      <c r="K456" s="121"/>
      <c r="L456" s="14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</row>
    <row r="457" spans="1:27" ht="15.6">
      <c r="A457" s="121"/>
      <c r="B457" s="121"/>
      <c r="C457" s="121"/>
      <c r="D457" s="139"/>
      <c r="E457" s="139"/>
      <c r="F457" s="139"/>
      <c r="G457" s="147"/>
      <c r="H457" s="147"/>
      <c r="I457" s="121"/>
      <c r="J457" s="121"/>
      <c r="K457" s="121"/>
      <c r="L457" s="14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</row>
    <row r="458" spans="1:27" ht="15.6">
      <c r="A458" s="121"/>
      <c r="B458" s="121"/>
      <c r="C458" s="121"/>
      <c r="D458" s="139"/>
      <c r="E458" s="139"/>
      <c r="F458" s="139"/>
      <c r="G458" s="147"/>
      <c r="H458" s="147"/>
      <c r="I458" s="121"/>
      <c r="J458" s="121"/>
      <c r="K458" s="121"/>
      <c r="L458" s="14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</row>
    <row r="459" spans="1:27" ht="15.6">
      <c r="A459" s="121"/>
      <c r="B459" s="121"/>
      <c r="C459" s="121"/>
      <c r="D459" s="139"/>
      <c r="E459" s="139"/>
      <c r="F459" s="139"/>
      <c r="G459" s="147"/>
      <c r="H459" s="147"/>
      <c r="I459" s="121"/>
      <c r="J459" s="121"/>
      <c r="K459" s="121"/>
      <c r="L459" s="14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</row>
    <row r="460" spans="1:27" ht="15.6">
      <c r="A460" s="121"/>
      <c r="B460" s="121"/>
      <c r="C460" s="121"/>
      <c r="D460" s="139"/>
      <c r="E460" s="139"/>
      <c r="F460" s="139"/>
      <c r="G460" s="147"/>
      <c r="H460" s="147"/>
      <c r="I460" s="121"/>
      <c r="J460" s="121"/>
      <c r="K460" s="121"/>
      <c r="L460" s="14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</row>
    <row r="461" spans="1:27" ht="15.6">
      <c r="A461" s="121"/>
      <c r="B461" s="121"/>
      <c r="C461" s="121"/>
      <c r="D461" s="139"/>
      <c r="E461" s="139"/>
      <c r="F461" s="139"/>
      <c r="G461" s="147"/>
      <c r="H461" s="147"/>
      <c r="I461" s="121"/>
      <c r="J461" s="121"/>
      <c r="K461" s="121"/>
      <c r="L461" s="14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</row>
    <row r="462" spans="1:27" ht="15.6">
      <c r="A462" s="121"/>
      <c r="B462" s="121"/>
      <c r="C462" s="121"/>
      <c r="D462" s="139"/>
      <c r="E462" s="139"/>
      <c r="F462" s="139"/>
      <c r="G462" s="147"/>
      <c r="H462" s="147"/>
      <c r="I462" s="121"/>
      <c r="J462" s="121"/>
      <c r="K462" s="121"/>
      <c r="L462" s="14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</row>
    <row r="463" spans="1:27" ht="15.6">
      <c r="A463" s="121"/>
      <c r="B463" s="121"/>
      <c r="C463" s="121"/>
      <c r="D463" s="139"/>
      <c r="E463" s="139"/>
      <c r="F463" s="139"/>
      <c r="G463" s="147"/>
      <c r="H463" s="147"/>
      <c r="I463" s="121"/>
      <c r="J463" s="121"/>
      <c r="K463" s="121"/>
      <c r="L463" s="14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</row>
    <row r="464" spans="1:27" ht="15.6">
      <c r="A464" s="121"/>
      <c r="B464" s="121"/>
      <c r="C464" s="121"/>
      <c r="D464" s="139"/>
      <c r="E464" s="139"/>
      <c r="F464" s="139"/>
      <c r="G464" s="147"/>
      <c r="H464" s="147"/>
      <c r="I464" s="121"/>
      <c r="J464" s="121"/>
      <c r="K464" s="121"/>
      <c r="L464" s="14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</row>
    <row r="465" spans="1:27" ht="15.6">
      <c r="A465" s="121"/>
      <c r="B465" s="121"/>
      <c r="C465" s="121"/>
      <c r="D465" s="139"/>
      <c r="E465" s="139"/>
      <c r="F465" s="139"/>
      <c r="G465" s="147"/>
      <c r="H465" s="147"/>
      <c r="I465" s="121"/>
      <c r="J465" s="121"/>
      <c r="K465" s="121"/>
      <c r="L465" s="14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</row>
    <row r="466" spans="1:27" ht="15.6">
      <c r="A466" s="121"/>
      <c r="B466" s="121"/>
      <c r="C466" s="121"/>
      <c r="D466" s="139"/>
      <c r="E466" s="139"/>
      <c r="F466" s="139"/>
      <c r="G466" s="147"/>
      <c r="H466" s="147"/>
      <c r="I466" s="121"/>
      <c r="J466" s="121"/>
      <c r="K466" s="121"/>
      <c r="L466" s="14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</row>
    <row r="467" spans="1:27" ht="15.6">
      <c r="A467" s="121"/>
      <c r="B467" s="121"/>
      <c r="C467" s="121"/>
      <c r="D467" s="139"/>
      <c r="E467" s="139"/>
      <c r="F467" s="139"/>
      <c r="G467" s="147"/>
      <c r="H467" s="147"/>
      <c r="I467" s="121"/>
      <c r="J467" s="121"/>
      <c r="K467" s="121"/>
      <c r="L467" s="14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</row>
    <row r="468" spans="1:27" ht="15.6">
      <c r="A468" s="121"/>
      <c r="B468" s="121"/>
      <c r="C468" s="121"/>
      <c r="D468" s="139"/>
      <c r="E468" s="139"/>
      <c r="F468" s="139"/>
      <c r="G468" s="147"/>
      <c r="H468" s="147"/>
      <c r="I468" s="121"/>
      <c r="J468" s="121"/>
      <c r="K468" s="121"/>
      <c r="L468" s="14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</row>
    <row r="469" spans="1:27" ht="15.6">
      <c r="A469" s="121"/>
      <c r="B469" s="121"/>
      <c r="C469" s="121"/>
      <c r="D469" s="139"/>
      <c r="E469" s="139"/>
      <c r="F469" s="139"/>
      <c r="G469" s="147"/>
      <c r="H469" s="147"/>
      <c r="I469" s="121"/>
      <c r="J469" s="121"/>
      <c r="K469" s="121"/>
      <c r="L469" s="14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</row>
    <row r="470" spans="1:27" ht="15.6">
      <c r="A470" s="121"/>
      <c r="B470" s="121"/>
      <c r="C470" s="121"/>
      <c r="D470" s="139"/>
      <c r="E470" s="139"/>
      <c r="F470" s="139"/>
      <c r="G470" s="147"/>
      <c r="H470" s="147"/>
      <c r="I470" s="121"/>
      <c r="J470" s="121"/>
      <c r="K470" s="121"/>
      <c r="L470" s="14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</row>
    <row r="471" spans="1:27" ht="15.6">
      <c r="A471" s="121"/>
      <c r="B471" s="121"/>
      <c r="C471" s="121"/>
      <c r="D471" s="139"/>
      <c r="E471" s="139"/>
      <c r="F471" s="139"/>
      <c r="G471" s="147"/>
      <c r="H471" s="147"/>
      <c r="I471" s="121"/>
      <c r="J471" s="121"/>
      <c r="K471" s="121"/>
      <c r="L471" s="14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</row>
    <row r="472" spans="1:27" ht="15.6">
      <c r="A472" s="121"/>
      <c r="B472" s="121"/>
      <c r="C472" s="121"/>
      <c r="D472" s="139"/>
      <c r="E472" s="139"/>
      <c r="F472" s="139"/>
      <c r="G472" s="147"/>
      <c r="H472" s="147"/>
      <c r="I472" s="121"/>
      <c r="J472" s="121"/>
      <c r="K472" s="121"/>
      <c r="L472" s="14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</row>
    <row r="473" spans="1:27" ht="15.6">
      <c r="A473" s="121"/>
      <c r="B473" s="121"/>
      <c r="C473" s="121"/>
      <c r="D473" s="139"/>
      <c r="E473" s="139"/>
      <c r="F473" s="139"/>
      <c r="G473" s="147"/>
      <c r="H473" s="147"/>
      <c r="I473" s="121"/>
      <c r="J473" s="121"/>
      <c r="K473" s="121"/>
      <c r="L473" s="14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</row>
    <row r="474" spans="1:27" ht="15.6">
      <c r="A474" s="121"/>
      <c r="B474" s="121"/>
      <c r="C474" s="121"/>
      <c r="D474" s="139"/>
      <c r="E474" s="139"/>
      <c r="F474" s="139"/>
      <c r="G474" s="147"/>
      <c r="H474" s="147"/>
      <c r="I474" s="121"/>
      <c r="J474" s="121"/>
      <c r="K474" s="121"/>
      <c r="L474" s="14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</row>
    <row r="475" spans="1:27" ht="15.6">
      <c r="A475" s="121"/>
      <c r="B475" s="121"/>
      <c r="C475" s="121"/>
      <c r="D475" s="139"/>
      <c r="E475" s="139"/>
      <c r="F475" s="139"/>
      <c r="G475" s="147"/>
      <c r="H475" s="147"/>
      <c r="I475" s="121"/>
      <c r="J475" s="121"/>
      <c r="K475" s="121"/>
      <c r="L475" s="14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</row>
    <row r="476" spans="1:27" ht="15.6">
      <c r="A476" s="121"/>
      <c r="B476" s="121"/>
      <c r="C476" s="121"/>
      <c r="D476" s="139"/>
      <c r="E476" s="139"/>
      <c r="F476" s="139"/>
      <c r="G476" s="147"/>
      <c r="H476" s="147"/>
      <c r="I476" s="121"/>
      <c r="J476" s="121"/>
      <c r="K476" s="121"/>
      <c r="L476" s="14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</row>
    <row r="477" spans="1:27" ht="15.6">
      <c r="A477" s="121"/>
      <c r="B477" s="121"/>
      <c r="C477" s="121"/>
      <c r="D477" s="139"/>
      <c r="E477" s="139"/>
      <c r="F477" s="139"/>
      <c r="G477" s="147"/>
      <c r="H477" s="147"/>
      <c r="I477" s="121"/>
      <c r="J477" s="121"/>
      <c r="K477" s="121"/>
      <c r="L477" s="14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</row>
    <row r="478" spans="1:27" ht="15.6">
      <c r="A478" s="121"/>
      <c r="B478" s="121"/>
      <c r="C478" s="121"/>
      <c r="D478" s="139"/>
      <c r="E478" s="139"/>
      <c r="F478" s="139"/>
      <c r="G478" s="147"/>
      <c r="H478" s="147"/>
      <c r="I478" s="121"/>
      <c r="J478" s="121"/>
      <c r="K478" s="121"/>
      <c r="L478" s="14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</row>
    <row r="479" spans="1:27" ht="15.6">
      <c r="A479" s="121"/>
      <c r="B479" s="121"/>
      <c r="C479" s="121"/>
      <c r="D479" s="139"/>
      <c r="E479" s="139"/>
      <c r="F479" s="139"/>
      <c r="G479" s="147"/>
      <c r="H479" s="147"/>
      <c r="I479" s="121"/>
      <c r="J479" s="121"/>
      <c r="K479" s="121"/>
      <c r="L479" s="14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</row>
    <row r="480" spans="1:27" ht="15.6">
      <c r="A480" s="121"/>
      <c r="B480" s="121"/>
      <c r="C480" s="121"/>
      <c r="D480" s="139"/>
      <c r="E480" s="139"/>
      <c r="F480" s="139"/>
      <c r="G480" s="147"/>
      <c r="H480" s="147"/>
      <c r="I480" s="121"/>
      <c r="J480" s="121"/>
      <c r="K480" s="121"/>
      <c r="L480" s="14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</row>
    <row r="481" spans="1:27" ht="15.6">
      <c r="A481" s="121"/>
      <c r="B481" s="121"/>
      <c r="C481" s="121"/>
      <c r="D481" s="139"/>
      <c r="E481" s="139"/>
      <c r="F481" s="139"/>
      <c r="G481" s="147"/>
      <c r="H481" s="147"/>
      <c r="I481" s="121"/>
      <c r="J481" s="121"/>
      <c r="K481" s="121"/>
      <c r="L481" s="14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</row>
    <row r="482" spans="1:27" ht="15.6">
      <c r="A482" s="121"/>
      <c r="B482" s="121"/>
      <c r="C482" s="121"/>
      <c r="D482" s="139"/>
      <c r="E482" s="139"/>
      <c r="F482" s="139"/>
      <c r="G482" s="147"/>
      <c r="H482" s="147"/>
      <c r="I482" s="121"/>
      <c r="J482" s="121"/>
      <c r="K482" s="121"/>
      <c r="L482" s="14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</row>
    <row r="483" spans="1:27" ht="15.6">
      <c r="A483" s="121"/>
      <c r="B483" s="121"/>
      <c r="C483" s="121"/>
      <c r="D483" s="139"/>
      <c r="E483" s="139"/>
      <c r="F483" s="139"/>
      <c r="G483" s="147"/>
      <c r="H483" s="147"/>
      <c r="I483" s="121"/>
      <c r="J483" s="121"/>
      <c r="K483" s="121"/>
      <c r="L483" s="14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</row>
    <row r="484" spans="1:27" ht="15.6">
      <c r="A484" s="121"/>
      <c r="B484" s="121"/>
      <c r="C484" s="121"/>
      <c r="D484" s="139"/>
      <c r="E484" s="139"/>
      <c r="F484" s="139"/>
      <c r="G484" s="147"/>
      <c r="H484" s="147"/>
      <c r="I484" s="121"/>
      <c r="J484" s="121"/>
      <c r="K484" s="121"/>
      <c r="L484" s="14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</row>
    <row r="485" spans="1:27" ht="15.6">
      <c r="A485" s="121"/>
      <c r="B485" s="121"/>
      <c r="C485" s="121"/>
      <c r="D485" s="139"/>
      <c r="E485" s="139"/>
      <c r="F485" s="139"/>
      <c r="G485" s="147"/>
      <c r="H485" s="147"/>
      <c r="I485" s="121"/>
      <c r="J485" s="121"/>
      <c r="K485" s="121"/>
      <c r="L485" s="14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</row>
    <row r="486" spans="1:27" ht="15.6">
      <c r="A486" s="121"/>
      <c r="B486" s="121"/>
      <c r="C486" s="121"/>
      <c r="D486" s="139"/>
      <c r="E486" s="139"/>
      <c r="F486" s="139"/>
      <c r="G486" s="147"/>
      <c r="H486" s="147"/>
      <c r="I486" s="121"/>
      <c r="J486" s="121"/>
      <c r="K486" s="121"/>
      <c r="L486" s="14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</row>
    <row r="487" spans="1:27" ht="15.6">
      <c r="A487" s="121"/>
      <c r="B487" s="121"/>
      <c r="C487" s="121"/>
      <c r="D487" s="139"/>
      <c r="E487" s="139"/>
      <c r="F487" s="139"/>
      <c r="G487" s="147"/>
      <c r="H487" s="147"/>
      <c r="I487" s="121"/>
      <c r="J487" s="121"/>
      <c r="K487" s="121"/>
      <c r="L487" s="14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</row>
    <row r="488" spans="1:27" ht="15.6">
      <c r="A488" s="121"/>
      <c r="B488" s="121"/>
      <c r="C488" s="121"/>
      <c r="D488" s="139"/>
      <c r="E488" s="139"/>
      <c r="F488" s="139"/>
      <c r="G488" s="147"/>
      <c r="H488" s="147"/>
      <c r="I488" s="121"/>
      <c r="J488" s="121"/>
      <c r="K488" s="121"/>
      <c r="L488" s="14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</row>
    <row r="489" spans="1:27" ht="15.6">
      <c r="A489" s="121"/>
      <c r="B489" s="121"/>
      <c r="C489" s="121"/>
      <c r="D489" s="139"/>
      <c r="E489" s="139"/>
      <c r="F489" s="139"/>
      <c r="G489" s="147"/>
      <c r="H489" s="147"/>
      <c r="I489" s="121"/>
      <c r="J489" s="121"/>
      <c r="K489" s="121"/>
      <c r="L489" s="14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</row>
    <row r="490" spans="1:27" ht="15.6">
      <c r="A490" s="121"/>
      <c r="B490" s="121"/>
      <c r="C490" s="121"/>
      <c r="D490" s="139"/>
      <c r="E490" s="139"/>
      <c r="F490" s="139"/>
      <c r="G490" s="147"/>
      <c r="H490" s="147"/>
      <c r="I490" s="121"/>
      <c r="J490" s="121"/>
      <c r="K490" s="121"/>
      <c r="L490" s="14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</row>
    <row r="491" spans="1:27" ht="15.6">
      <c r="A491" s="121"/>
      <c r="B491" s="121"/>
      <c r="C491" s="121"/>
      <c r="D491" s="139"/>
      <c r="E491" s="139"/>
      <c r="F491" s="139"/>
      <c r="G491" s="147"/>
      <c r="H491" s="147"/>
      <c r="I491" s="121"/>
      <c r="J491" s="121"/>
      <c r="K491" s="121"/>
      <c r="L491" s="14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</row>
    <row r="492" spans="1:27" ht="15.6">
      <c r="A492" s="121"/>
      <c r="B492" s="121"/>
      <c r="C492" s="121"/>
      <c r="D492" s="139"/>
      <c r="E492" s="139"/>
      <c r="F492" s="139"/>
      <c r="G492" s="147"/>
      <c r="H492" s="147"/>
      <c r="I492" s="121"/>
      <c r="J492" s="121"/>
      <c r="K492" s="121"/>
      <c r="L492" s="14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</row>
    <row r="493" spans="1:27" ht="15.6">
      <c r="A493" s="121"/>
      <c r="B493" s="121"/>
      <c r="C493" s="121"/>
      <c r="D493" s="139"/>
      <c r="E493" s="139"/>
      <c r="F493" s="139"/>
      <c r="G493" s="147"/>
      <c r="H493" s="147"/>
      <c r="I493" s="121"/>
      <c r="J493" s="121"/>
      <c r="K493" s="121"/>
      <c r="L493" s="14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</row>
    <row r="494" spans="1:27" ht="15.6">
      <c r="A494" s="121"/>
      <c r="B494" s="121"/>
      <c r="C494" s="121"/>
      <c r="D494" s="139"/>
      <c r="E494" s="139"/>
      <c r="F494" s="139"/>
      <c r="G494" s="147"/>
      <c r="H494" s="147"/>
      <c r="I494" s="121"/>
      <c r="J494" s="121"/>
      <c r="K494" s="121"/>
      <c r="L494" s="14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</row>
    <row r="495" spans="1:27" ht="15.6">
      <c r="A495" s="121"/>
      <c r="B495" s="121"/>
      <c r="C495" s="121"/>
      <c r="D495" s="139"/>
      <c r="E495" s="139"/>
      <c r="F495" s="139"/>
      <c r="G495" s="147"/>
      <c r="H495" s="147"/>
      <c r="I495" s="121"/>
      <c r="J495" s="121"/>
      <c r="K495" s="121"/>
      <c r="L495" s="14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</row>
    <row r="496" spans="1:27" ht="15.6">
      <c r="A496" s="121"/>
      <c r="B496" s="121"/>
      <c r="C496" s="121"/>
      <c r="D496" s="139"/>
      <c r="E496" s="139"/>
      <c r="F496" s="139"/>
      <c r="G496" s="147"/>
      <c r="H496" s="147"/>
      <c r="I496" s="121"/>
      <c r="J496" s="121"/>
      <c r="K496" s="121"/>
      <c r="L496" s="14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</row>
    <row r="497" spans="1:27" ht="15.6">
      <c r="A497" s="121"/>
      <c r="B497" s="121"/>
      <c r="C497" s="121"/>
      <c r="D497" s="139"/>
      <c r="E497" s="139"/>
      <c r="F497" s="139"/>
      <c r="G497" s="147"/>
      <c r="H497" s="147"/>
      <c r="I497" s="121"/>
      <c r="J497" s="121"/>
      <c r="K497" s="121"/>
      <c r="L497" s="14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</row>
    <row r="498" spans="1:27" ht="15.6">
      <c r="A498" s="121"/>
      <c r="B498" s="121"/>
      <c r="C498" s="121"/>
      <c r="D498" s="139"/>
      <c r="E498" s="139"/>
      <c r="F498" s="139"/>
      <c r="G498" s="147"/>
      <c r="H498" s="147"/>
      <c r="I498" s="121"/>
      <c r="J498" s="121"/>
      <c r="K498" s="121"/>
      <c r="L498" s="14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</row>
    <row r="499" spans="1:27" ht="15.6">
      <c r="A499" s="121"/>
      <c r="B499" s="121"/>
      <c r="C499" s="121"/>
      <c r="D499" s="139"/>
      <c r="E499" s="139"/>
      <c r="F499" s="139"/>
      <c r="G499" s="147"/>
      <c r="H499" s="147"/>
      <c r="I499" s="121"/>
      <c r="J499" s="121"/>
      <c r="K499" s="121"/>
      <c r="L499" s="14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</row>
    <row r="500" spans="1:27" ht="15.6">
      <c r="A500" s="121"/>
      <c r="B500" s="121"/>
      <c r="C500" s="121"/>
      <c r="D500" s="139"/>
      <c r="E500" s="139"/>
      <c r="F500" s="139"/>
      <c r="G500" s="147"/>
      <c r="H500" s="147"/>
      <c r="I500" s="121"/>
      <c r="J500" s="121"/>
      <c r="K500" s="121"/>
      <c r="L500" s="14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</row>
    <row r="501" spans="1:27" ht="15.6">
      <c r="A501" s="121"/>
      <c r="B501" s="121"/>
      <c r="C501" s="121"/>
      <c r="D501" s="139"/>
      <c r="E501" s="139"/>
      <c r="F501" s="139"/>
      <c r="G501" s="147"/>
      <c r="H501" s="147"/>
      <c r="I501" s="121"/>
      <c r="J501" s="121"/>
      <c r="K501" s="121"/>
      <c r="L501" s="14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</row>
    <row r="502" spans="1:27" ht="15.6">
      <c r="A502" s="121"/>
      <c r="B502" s="121"/>
      <c r="C502" s="121"/>
      <c r="D502" s="139"/>
      <c r="E502" s="139"/>
      <c r="F502" s="139"/>
      <c r="G502" s="147"/>
      <c r="H502" s="147"/>
      <c r="I502" s="121"/>
      <c r="J502" s="121"/>
      <c r="K502" s="121"/>
      <c r="L502" s="14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</row>
    <row r="503" spans="1:27" ht="15.6">
      <c r="A503" s="121"/>
      <c r="B503" s="121"/>
      <c r="C503" s="121"/>
      <c r="D503" s="139"/>
      <c r="E503" s="139"/>
      <c r="F503" s="139"/>
      <c r="G503" s="147"/>
      <c r="H503" s="147"/>
      <c r="I503" s="121"/>
      <c r="J503" s="121"/>
      <c r="K503" s="121"/>
      <c r="L503" s="14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</row>
    <row r="504" spans="1:27" ht="15.6">
      <c r="A504" s="121"/>
      <c r="B504" s="121"/>
      <c r="C504" s="121"/>
      <c r="D504" s="139"/>
      <c r="E504" s="139"/>
      <c r="F504" s="139"/>
      <c r="G504" s="147"/>
      <c r="H504" s="147"/>
      <c r="I504" s="121"/>
      <c r="J504" s="121"/>
      <c r="K504" s="121"/>
      <c r="L504" s="14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</row>
    <row r="505" spans="1:27" ht="15.6">
      <c r="A505" s="121"/>
      <c r="B505" s="121"/>
      <c r="C505" s="121"/>
      <c r="D505" s="139"/>
      <c r="E505" s="139"/>
      <c r="F505" s="139"/>
      <c r="G505" s="147"/>
      <c r="H505" s="147"/>
      <c r="I505" s="121"/>
      <c r="J505" s="121"/>
      <c r="K505" s="121"/>
      <c r="L505" s="14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</row>
    <row r="506" spans="1:27" ht="15.6">
      <c r="A506" s="121"/>
      <c r="B506" s="121"/>
      <c r="C506" s="121"/>
      <c r="D506" s="139"/>
      <c r="E506" s="139"/>
      <c r="F506" s="139"/>
      <c r="G506" s="147"/>
      <c r="H506" s="147"/>
      <c r="I506" s="121"/>
      <c r="J506" s="121"/>
      <c r="K506" s="121"/>
      <c r="L506" s="14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</row>
    <row r="507" spans="1:27" ht="15.6">
      <c r="A507" s="121"/>
      <c r="B507" s="121"/>
      <c r="C507" s="121"/>
      <c r="D507" s="139"/>
      <c r="E507" s="139"/>
      <c r="F507" s="139"/>
      <c r="G507" s="147"/>
      <c r="H507" s="147"/>
      <c r="I507" s="121"/>
      <c r="J507" s="121"/>
      <c r="K507" s="121"/>
      <c r="L507" s="14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</row>
    <row r="508" spans="1:27" ht="15.6">
      <c r="A508" s="121"/>
      <c r="B508" s="121"/>
      <c r="C508" s="121"/>
      <c r="D508" s="139"/>
      <c r="E508" s="139"/>
      <c r="F508" s="139"/>
      <c r="G508" s="147"/>
      <c r="H508" s="147"/>
      <c r="I508" s="121"/>
      <c r="J508" s="121"/>
      <c r="K508" s="121"/>
      <c r="L508" s="14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</row>
    <row r="509" spans="1:27" ht="15.6">
      <c r="A509" s="121"/>
      <c r="B509" s="121"/>
      <c r="C509" s="121"/>
      <c r="D509" s="139"/>
      <c r="E509" s="139"/>
      <c r="F509" s="139"/>
      <c r="G509" s="147"/>
      <c r="H509" s="147"/>
      <c r="I509" s="121"/>
      <c r="J509" s="121"/>
      <c r="K509" s="121"/>
      <c r="L509" s="14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</row>
    <row r="510" spans="1:27" ht="15.6">
      <c r="A510" s="121"/>
      <c r="B510" s="121"/>
      <c r="C510" s="121"/>
      <c r="D510" s="139"/>
      <c r="E510" s="139"/>
      <c r="F510" s="139"/>
      <c r="G510" s="147"/>
      <c r="H510" s="147"/>
      <c r="I510" s="121"/>
      <c r="J510" s="121"/>
      <c r="K510" s="121"/>
      <c r="L510" s="14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</row>
    <row r="511" spans="1:27" ht="15.6">
      <c r="A511" s="121"/>
      <c r="B511" s="121"/>
      <c r="C511" s="121"/>
      <c r="D511" s="139"/>
      <c r="E511" s="139"/>
      <c r="F511" s="139"/>
      <c r="G511" s="147"/>
      <c r="H511" s="147"/>
      <c r="I511" s="121"/>
      <c r="J511" s="121"/>
      <c r="K511" s="121"/>
      <c r="L511" s="14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</row>
    <row r="512" spans="1:27" ht="15.6">
      <c r="A512" s="121"/>
      <c r="B512" s="121"/>
      <c r="C512" s="121"/>
      <c r="D512" s="139"/>
      <c r="E512" s="139"/>
      <c r="F512" s="139"/>
      <c r="G512" s="147"/>
      <c r="H512" s="147"/>
      <c r="I512" s="121"/>
      <c r="J512" s="121"/>
      <c r="K512" s="121"/>
      <c r="L512" s="14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</row>
    <row r="513" spans="1:27" ht="15.6">
      <c r="A513" s="121"/>
      <c r="B513" s="121"/>
      <c r="C513" s="121"/>
      <c r="D513" s="139"/>
      <c r="E513" s="139"/>
      <c r="F513" s="139"/>
      <c r="G513" s="147"/>
      <c r="H513" s="147"/>
      <c r="I513" s="121"/>
      <c r="J513" s="121"/>
      <c r="K513" s="121"/>
      <c r="L513" s="14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</row>
    <row r="514" spans="1:27" ht="15.6">
      <c r="A514" s="121"/>
      <c r="B514" s="121"/>
      <c r="C514" s="121"/>
      <c r="D514" s="139"/>
      <c r="E514" s="139"/>
      <c r="F514" s="139"/>
      <c r="G514" s="147"/>
      <c r="H514" s="147"/>
      <c r="I514" s="121"/>
      <c r="J514" s="121"/>
      <c r="K514" s="121"/>
      <c r="L514" s="14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</row>
    <row r="515" spans="1:27" ht="15.6">
      <c r="A515" s="121"/>
      <c r="B515" s="121"/>
      <c r="C515" s="121"/>
      <c r="D515" s="139"/>
      <c r="E515" s="139"/>
      <c r="F515" s="139"/>
      <c r="G515" s="147"/>
      <c r="H515" s="147"/>
      <c r="I515" s="121"/>
      <c r="J515" s="121"/>
      <c r="K515" s="121"/>
      <c r="L515" s="14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</row>
    <row r="516" spans="1:27" ht="15.6">
      <c r="A516" s="121"/>
      <c r="B516" s="121"/>
      <c r="C516" s="121"/>
      <c r="D516" s="139"/>
      <c r="E516" s="139"/>
      <c r="F516" s="139"/>
      <c r="G516" s="147"/>
      <c r="H516" s="147"/>
      <c r="I516" s="121"/>
      <c r="J516" s="121"/>
      <c r="K516" s="121"/>
      <c r="L516" s="14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</row>
    <row r="517" spans="1:27" ht="15.6">
      <c r="A517" s="121"/>
      <c r="B517" s="121"/>
      <c r="C517" s="121"/>
      <c r="D517" s="139"/>
      <c r="E517" s="139"/>
      <c r="F517" s="139"/>
      <c r="G517" s="147"/>
      <c r="H517" s="147"/>
      <c r="I517" s="121"/>
      <c r="J517" s="121"/>
      <c r="K517" s="121"/>
      <c r="L517" s="14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</row>
    <row r="518" spans="1:27" ht="15.6">
      <c r="A518" s="121"/>
      <c r="B518" s="121"/>
      <c r="C518" s="121"/>
      <c r="D518" s="139"/>
      <c r="E518" s="139"/>
      <c r="F518" s="139"/>
      <c r="G518" s="147"/>
      <c r="H518" s="147"/>
      <c r="I518" s="121"/>
      <c r="J518" s="121"/>
      <c r="K518" s="121"/>
      <c r="L518" s="14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</row>
    <row r="519" spans="1:27" ht="15.6">
      <c r="A519" s="121"/>
      <c r="B519" s="121"/>
      <c r="C519" s="121"/>
      <c r="D519" s="139"/>
      <c r="E519" s="139"/>
      <c r="F519" s="139"/>
      <c r="G519" s="147"/>
      <c r="H519" s="147"/>
      <c r="I519" s="121"/>
      <c r="J519" s="121"/>
      <c r="K519" s="121"/>
      <c r="L519" s="14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</row>
    <row r="520" spans="1:27" ht="15.6">
      <c r="A520" s="121"/>
      <c r="B520" s="121"/>
      <c r="C520" s="121"/>
      <c r="D520" s="139"/>
      <c r="E520" s="139"/>
      <c r="F520" s="139"/>
      <c r="G520" s="147"/>
      <c r="H520" s="147"/>
      <c r="I520" s="121"/>
      <c r="J520" s="121"/>
      <c r="K520" s="121"/>
      <c r="L520" s="14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</row>
    <row r="521" spans="1:27" ht="15.6">
      <c r="A521" s="121"/>
      <c r="B521" s="121"/>
      <c r="C521" s="121"/>
      <c r="D521" s="139"/>
      <c r="E521" s="139"/>
      <c r="F521" s="139"/>
      <c r="G521" s="147"/>
      <c r="H521" s="147"/>
      <c r="I521" s="121"/>
      <c r="J521" s="121"/>
      <c r="K521" s="121"/>
      <c r="L521" s="14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</row>
    <row r="522" spans="1:27" ht="15.6">
      <c r="A522" s="121"/>
      <c r="B522" s="121"/>
      <c r="C522" s="121"/>
      <c r="D522" s="139"/>
      <c r="E522" s="139"/>
      <c r="F522" s="139"/>
      <c r="G522" s="147"/>
      <c r="H522" s="147"/>
      <c r="I522" s="121"/>
      <c r="J522" s="121"/>
      <c r="K522" s="121"/>
      <c r="L522" s="14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</row>
    <row r="523" spans="1:27" ht="15.6">
      <c r="A523" s="121"/>
      <c r="B523" s="121"/>
      <c r="C523" s="121"/>
      <c r="D523" s="139"/>
      <c r="E523" s="139"/>
      <c r="F523" s="139"/>
      <c r="G523" s="147"/>
      <c r="H523" s="147"/>
      <c r="I523" s="121"/>
      <c r="J523" s="121"/>
      <c r="K523" s="121"/>
      <c r="L523" s="14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</row>
    <row r="524" spans="1:27" ht="15.6">
      <c r="A524" s="121"/>
      <c r="B524" s="121"/>
      <c r="C524" s="121"/>
      <c r="D524" s="139"/>
      <c r="E524" s="139"/>
      <c r="F524" s="139"/>
      <c r="G524" s="147"/>
      <c r="H524" s="147"/>
      <c r="I524" s="121"/>
      <c r="J524" s="121"/>
      <c r="K524" s="121"/>
      <c r="L524" s="14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</row>
    <row r="525" spans="1:27" ht="15.6">
      <c r="A525" s="121"/>
      <c r="B525" s="121"/>
      <c r="C525" s="121"/>
      <c r="D525" s="139"/>
      <c r="E525" s="139"/>
      <c r="F525" s="139"/>
      <c r="G525" s="147"/>
      <c r="H525" s="147"/>
      <c r="I525" s="121"/>
      <c r="J525" s="121"/>
      <c r="K525" s="121"/>
      <c r="L525" s="14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</row>
    <row r="526" spans="1:27" ht="15.6">
      <c r="A526" s="121"/>
      <c r="B526" s="121"/>
      <c r="C526" s="121"/>
      <c r="D526" s="139"/>
      <c r="E526" s="139"/>
      <c r="F526" s="139"/>
      <c r="G526" s="147"/>
      <c r="H526" s="147"/>
      <c r="I526" s="121"/>
      <c r="J526" s="121"/>
      <c r="K526" s="121"/>
      <c r="L526" s="14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</row>
    <row r="527" spans="1:27" ht="15.6">
      <c r="A527" s="121"/>
      <c r="B527" s="121"/>
      <c r="C527" s="121"/>
      <c r="D527" s="139"/>
      <c r="E527" s="139"/>
      <c r="F527" s="139"/>
      <c r="G527" s="147"/>
      <c r="H527" s="147"/>
      <c r="I527" s="121"/>
      <c r="J527" s="121"/>
      <c r="K527" s="121"/>
      <c r="L527" s="14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</row>
    <row r="528" spans="1:27" ht="15.6">
      <c r="A528" s="121"/>
      <c r="B528" s="121"/>
      <c r="C528" s="121"/>
      <c r="D528" s="139"/>
      <c r="E528" s="139"/>
      <c r="F528" s="139"/>
      <c r="G528" s="147"/>
      <c r="H528" s="147"/>
      <c r="I528" s="121"/>
      <c r="J528" s="121"/>
      <c r="K528" s="121"/>
      <c r="L528" s="14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</row>
    <row r="529" spans="1:27" ht="15.6">
      <c r="A529" s="121"/>
      <c r="B529" s="121"/>
      <c r="C529" s="121"/>
      <c r="D529" s="139"/>
      <c r="E529" s="139"/>
      <c r="F529" s="139"/>
      <c r="G529" s="147"/>
      <c r="H529" s="147"/>
      <c r="I529" s="121"/>
      <c r="J529" s="121"/>
      <c r="K529" s="121"/>
      <c r="L529" s="14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</row>
    <row r="530" spans="1:27" ht="15.6">
      <c r="A530" s="121"/>
      <c r="B530" s="121"/>
      <c r="C530" s="121"/>
      <c r="D530" s="139"/>
      <c r="E530" s="139"/>
      <c r="F530" s="139"/>
      <c r="G530" s="147"/>
      <c r="H530" s="147"/>
      <c r="I530" s="121"/>
      <c r="J530" s="121"/>
      <c r="K530" s="121"/>
      <c r="L530" s="14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</row>
    <row r="531" spans="1:27" ht="15.6">
      <c r="A531" s="121"/>
      <c r="B531" s="121"/>
      <c r="C531" s="121"/>
      <c r="D531" s="139"/>
      <c r="E531" s="139"/>
      <c r="F531" s="139"/>
      <c r="G531" s="147"/>
      <c r="H531" s="147"/>
      <c r="I531" s="121"/>
      <c r="J531" s="121"/>
      <c r="K531" s="121"/>
      <c r="L531" s="14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</row>
    <row r="532" spans="1:27" ht="15.6">
      <c r="A532" s="121"/>
      <c r="B532" s="121"/>
      <c r="C532" s="121"/>
      <c r="D532" s="139"/>
      <c r="E532" s="139"/>
      <c r="F532" s="139"/>
      <c r="G532" s="147"/>
      <c r="H532" s="147"/>
      <c r="I532" s="121"/>
      <c r="J532" s="121"/>
      <c r="K532" s="121"/>
      <c r="L532" s="14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</row>
    <row r="533" spans="1:27" ht="15.6">
      <c r="A533" s="121"/>
      <c r="B533" s="121"/>
      <c r="C533" s="121"/>
      <c r="D533" s="139"/>
      <c r="E533" s="139"/>
      <c r="F533" s="139"/>
      <c r="G533" s="147"/>
      <c r="H533" s="147"/>
      <c r="I533" s="121"/>
      <c r="J533" s="121"/>
      <c r="K533" s="121"/>
      <c r="L533" s="14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</row>
    <row r="534" spans="1:27" ht="15.6">
      <c r="A534" s="121"/>
      <c r="B534" s="121"/>
      <c r="C534" s="121"/>
      <c r="D534" s="139"/>
      <c r="E534" s="139"/>
      <c r="F534" s="139"/>
      <c r="G534" s="147"/>
      <c r="H534" s="147"/>
      <c r="I534" s="121"/>
      <c r="J534" s="121"/>
      <c r="K534" s="121"/>
      <c r="L534" s="14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</row>
    <row r="535" spans="1:27" ht="15.6">
      <c r="A535" s="121"/>
      <c r="B535" s="121"/>
      <c r="C535" s="121"/>
      <c r="D535" s="139"/>
      <c r="E535" s="139"/>
      <c r="F535" s="139"/>
      <c r="G535" s="147"/>
      <c r="H535" s="147"/>
      <c r="I535" s="121"/>
      <c r="J535" s="121"/>
      <c r="K535" s="121"/>
      <c r="L535" s="14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</row>
    <row r="536" spans="1:27" ht="15.6">
      <c r="A536" s="121"/>
      <c r="B536" s="121"/>
      <c r="C536" s="121"/>
      <c r="D536" s="139"/>
      <c r="E536" s="139"/>
      <c r="F536" s="139"/>
      <c r="G536" s="147"/>
      <c r="H536" s="147"/>
      <c r="I536" s="121"/>
      <c r="J536" s="121"/>
      <c r="K536" s="121"/>
      <c r="L536" s="14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</row>
    <row r="537" spans="1:27" ht="15.6">
      <c r="A537" s="121"/>
      <c r="B537" s="121"/>
      <c r="C537" s="121"/>
      <c r="D537" s="139"/>
      <c r="E537" s="139"/>
      <c r="F537" s="139"/>
      <c r="G537" s="147"/>
      <c r="H537" s="147"/>
      <c r="I537" s="121"/>
      <c r="J537" s="121"/>
      <c r="K537" s="121"/>
      <c r="L537" s="14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</row>
    <row r="538" spans="1:27" ht="15.6">
      <c r="A538" s="121"/>
      <c r="B538" s="121"/>
      <c r="C538" s="121"/>
      <c r="D538" s="139"/>
      <c r="E538" s="139"/>
      <c r="F538" s="139"/>
      <c r="G538" s="147"/>
      <c r="H538" s="147"/>
      <c r="I538" s="121"/>
      <c r="J538" s="121"/>
      <c r="K538" s="121"/>
      <c r="L538" s="14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</row>
    <row r="539" spans="1:27" ht="15.6">
      <c r="A539" s="121"/>
      <c r="B539" s="121"/>
      <c r="C539" s="121"/>
      <c r="D539" s="139"/>
      <c r="E539" s="139"/>
      <c r="F539" s="139"/>
      <c r="G539" s="147"/>
      <c r="H539" s="147"/>
      <c r="I539" s="121"/>
      <c r="J539" s="121"/>
      <c r="K539" s="121"/>
      <c r="L539" s="14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</row>
    <row r="540" spans="1:27" ht="15.6">
      <c r="A540" s="121"/>
      <c r="B540" s="121"/>
      <c r="C540" s="121"/>
      <c r="D540" s="139"/>
      <c r="E540" s="139"/>
      <c r="F540" s="139"/>
      <c r="G540" s="147"/>
      <c r="H540" s="147"/>
      <c r="I540" s="121"/>
      <c r="J540" s="121"/>
      <c r="K540" s="121"/>
      <c r="L540" s="14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</row>
    <row r="541" spans="1:27" ht="15.6">
      <c r="A541" s="121"/>
      <c r="B541" s="121"/>
      <c r="C541" s="121"/>
      <c r="D541" s="139"/>
      <c r="E541" s="139"/>
      <c r="F541" s="139"/>
      <c r="G541" s="147"/>
      <c r="H541" s="147"/>
      <c r="I541" s="121"/>
      <c r="J541" s="121"/>
      <c r="K541" s="121"/>
      <c r="L541" s="14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</row>
    <row r="542" spans="1:27" ht="15.6">
      <c r="A542" s="121"/>
      <c r="B542" s="121"/>
      <c r="C542" s="121"/>
      <c r="D542" s="139"/>
      <c r="E542" s="139"/>
      <c r="F542" s="139"/>
      <c r="G542" s="147"/>
      <c r="H542" s="147"/>
      <c r="I542" s="121"/>
      <c r="J542" s="121"/>
      <c r="K542" s="121"/>
      <c r="L542" s="14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</row>
    <row r="543" spans="1:27" ht="15.6">
      <c r="A543" s="121"/>
      <c r="B543" s="121"/>
      <c r="C543" s="121"/>
      <c r="D543" s="139"/>
      <c r="E543" s="139"/>
      <c r="F543" s="139"/>
      <c r="G543" s="147"/>
      <c r="H543" s="147"/>
      <c r="I543" s="121"/>
      <c r="J543" s="121"/>
      <c r="K543" s="121"/>
      <c r="L543" s="14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</row>
    <row r="544" spans="1:27" ht="15.6">
      <c r="A544" s="121"/>
      <c r="B544" s="121"/>
      <c r="C544" s="121"/>
      <c r="D544" s="139"/>
      <c r="E544" s="139"/>
      <c r="F544" s="139"/>
      <c r="G544" s="147"/>
      <c r="H544" s="147"/>
      <c r="I544" s="121"/>
      <c r="J544" s="121"/>
      <c r="K544" s="121"/>
      <c r="L544" s="14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</row>
    <row r="545" spans="1:27" ht="15.6">
      <c r="A545" s="121"/>
      <c r="B545" s="121"/>
      <c r="C545" s="121"/>
      <c r="D545" s="139"/>
      <c r="E545" s="139"/>
      <c r="F545" s="139"/>
      <c r="G545" s="147"/>
      <c r="H545" s="147"/>
      <c r="I545" s="121"/>
      <c r="J545" s="121"/>
      <c r="K545" s="121"/>
      <c r="L545" s="14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</row>
    <row r="546" spans="1:27" ht="15.6">
      <c r="A546" s="121"/>
      <c r="B546" s="121"/>
      <c r="C546" s="121"/>
      <c r="D546" s="139"/>
      <c r="E546" s="139"/>
      <c r="F546" s="139"/>
      <c r="G546" s="147"/>
      <c r="H546" s="147"/>
      <c r="I546" s="121"/>
      <c r="J546" s="121"/>
      <c r="K546" s="121"/>
      <c r="L546" s="14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</row>
    <row r="547" spans="1:27" ht="15.6">
      <c r="A547" s="121"/>
      <c r="B547" s="121"/>
      <c r="C547" s="121"/>
      <c r="D547" s="139"/>
      <c r="E547" s="139"/>
      <c r="F547" s="139"/>
      <c r="G547" s="147"/>
      <c r="H547" s="147"/>
      <c r="I547" s="121"/>
      <c r="J547" s="121"/>
      <c r="K547" s="121"/>
      <c r="L547" s="14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</row>
    <row r="548" spans="1:27" ht="15.6">
      <c r="A548" s="121"/>
      <c r="B548" s="121"/>
      <c r="C548" s="121"/>
      <c r="D548" s="139"/>
      <c r="E548" s="139"/>
      <c r="F548" s="139"/>
      <c r="G548" s="147"/>
      <c r="H548" s="147"/>
      <c r="I548" s="121"/>
      <c r="J548" s="121"/>
      <c r="K548" s="121"/>
      <c r="L548" s="14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</row>
    <row r="549" spans="1:27" ht="15.6">
      <c r="A549" s="121"/>
      <c r="B549" s="121"/>
      <c r="C549" s="121"/>
      <c r="D549" s="139"/>
      <c r="E549" s="139"/>
      <c r="F549" s="139"/>
      <c r="G549" s="147"/>
      <c r="H549" s="147"/>
      <c r="I549" s="121"/>
      <c r="J549" s="121"/>
      <c r="K549" s="121"/>
      <c r="L549" s="14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</row>
    <row r="550" spans="1:27" ht="15.6">
      <c r="A550" s="121"/>
      <c r="B550" s="121"/>
      <c r="C550" s="121"/>
      <c r="D550" s="139"/>
      <c r="E550" s="139"/>
      <c r="F550" s="139"/>
      <c r="G550" s="147"/>
      <c r="H550" s="147"/>
      <c r="I550" s="121"/>
      <c r="J550" s="121"/>
      <c r="K550" s="121"/>
      <c r="L550" s="14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</row>
    <row r="551" spans="1:27" ht="15.6">
      <c r="A551" s="121"/>
      <c r="B551" s="121"/>
      <c r="C551" s="121"/>
      <c r="D551" s="139"/>
      <c r="E551" s="139"/>
      <c r="F551" s="139"/>
      <c r="G551" s="147"/>
      <c r="H551" s="147"/>
      <c r="I551" s="121"/>
      <c r="J551" s="121"/>
      <c r="K551" s="121"/>
      <c r="L551" s="14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</row>
    <row r="552" spans="1:27" ht="15.6">
      <c r="A552" s="121"/>
      <c r="B552" s="121"/>
      <c r="C552" s="121"/>
      <c r="D552" s="139"/>
      <c r="E552" s="139"/>
      <c r="F552" s="139"/>
      <c r="G552" s="147"/>
      <c r="H552" s="147"/>
      <c r="I552" s="121"/>
      <c r="J552" s="121"/>
      <c r="K552" s="121"/>
      <c r="L552" s="14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</row>
    <row r="553" spans="1:27" ht="15.6">
      <c r="A553" s="121"/>
      <c r="B553" s="121"/>
      <c r="C553" s="121"/>
      <c r="D553" s="139"/>
      <c r="E553" s="139"/>
      <c r="F553" s="139"/>
      <c r="G553" s="147"/>
      <c r="H553" s="147"/>
      <c r="I553" s="121"/>
      <c r="J553" s="121"/>
      <c r="K553" s="121"/>
      <c r="L553" s="14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</row>
    <row r="554" spans="1:27" ht="15.6">
      <c r="A554" s="121"/>
      <c r="B554" s="121"/>
      <c r="C554" s="121"/>
      <c r="D554" s="139"/>
      <c r="E554" s="139"/>
      <c r="F554" s="139"/>
      <c r="G554" s="147"/>
      <c r="H554" s="147"/>
      <c r="I554" s="121"/>
      <c r="J554" s="121"/>
      <c r="K554" s="121"/>
      <c r="L554" s="14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</row>
    <row r="555" spans="1:27" ht="15.6">
      <c r="A555" s="121"/>
      <c r="B555" s="121"/>
      <c r="C555" s="121"/>
      <c r="D555" s="139"/>
      <c r="E555" s="139"/>
      <c r="F555" s="139"/>
      <c r="G555" s="147"/>
      <c r="H555" s="147"/>
      <c r="I555" s="121"/>
      <c r="J555" s="121"/>
      <c r="K555" s="121"/>
      <c r="L555" s="14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</row>
    <row r="556" spans="1:27" ht="15.6">
      <c r="A556" s="121"/>
      <c r="B556" s="121"/>
      <c r="C556" s="121"/>
      <c r="D556" s="139"/>
      <c r="E556" s="139"/>
      <c r="F556" s="139"/>
      <c r="G556" s="147"/>
      <c r="H556" s="147"/>
      <c r="I556" s="121"/>
      <c r="J556" s="121"/>
      <c r="K556" s="121"/>
      <c r="L556" s="14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</row>
    <row r="557" spans="1:27" ht="15.6">
      <c r="A557" s="121"/>
      <c r="B557" s="121"/>
      <c r="C557" s="121"/>
      <c r="D557" s="139"/>
      <c r="E557" s="139"/>
      <c r="F557" s="139"/>
      <c r="G557" s="147"/>
      <c r="H557" s="147"/>
      <c r="I557" s="121"/>
      <c r="J557" s="121"/>
      <c r="K557" s="121"/>
      <c r="L557" s="14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</row>
    <row r="558" spans="1:27" ht="15.6">
      <c r="A558" s="121"/>
      <c r="B558" s="121"/>
      <c r="C558" s="121"/>
      <c r="D558" s="139"/>
      <c r="E558" s="139"/>
      <c r="F558" s="139"/>
      <c r="G558" s="147"/>
      <c r="H558" s="147"/>
      <c r="I558" s="121"/>
      <c r="J558" s="121"/>
      <c r="K558" s="121"/>
      <c r="L558" s="14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</row>
    <row r="559" spans="1:27" ht="15.6">
      <c r="A559" s="121"/>
      <c r="B559" s="121"/>
      <c r="C559" s="121"/>
      <c r="D559" s="139"/>
      <c r="E559" s="139"/>
      <c r="F559" s="139"/>
      <c r="G559" s="147"/>
      <c r="H559" s="147"/>
      <c r="I559" s="121"/>
      <c r="J559" s="121"/>
      <c r="K559" s="121"/>
      <c r="L559" s="14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</row>
    <row r="560" spans="1:27" ht="15.6">
      <c r="A560" s="121"/>
      <c r="B560" s="121"/>
      <c r="C560" s="121"/>
      <c r="D560" s="139"/>
      <c r="E560" s="139"/>
      <c r="F560" s="139"/>
      <c r="G560" s="147"/>
      <c r="H560" s="147"/>
      <c r="I560" s="121"/>
      <c r="J560" s="121"/>
      <c r="K560" s="121"/>
      <c r="L560" s="14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</row>
    <row r="561" spans="1:27" ht="15.6">
      <c r="A561" s="121"/>
      <c r="B561" s="121"/>
      <c r="C561" s="121"/>
      <c r="D561" s="139"/>
      <c r="E561" s="139"/>
      <c r="F561" s="139"/>
      <c r="G561" s="147"/>
      <c r="H561" s="147"/>
      <c r="I561" s="121"/>
      <c r="J561" s="121"/>
      <c r="K561" s="121"/>
      <c r="L561" s="14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</row>
    <row r="562" spans="1:27" ht="15.6">
      <c r="A562" s="121"/>
      <c r="B562" s="121"/>
      <c r="C562" s="121"/>
      <c r="D562" s="139"/>
      <c r="E562" s="139"/>
      <c r="F562" s="139"/>
      <c r="G562" s="147"/>
      <c r="H562" s="147"/>
      <c r="I562" s="121"/>
      <c r="J562" s="121"/>
      <c r="K562" s="121"/>
      <c r="L562" s="14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</row>
    <row r="563" spans="1:27" ht="15.6">
      <c r="A563" s="121"/>
      <c r="B563" s="121"/>
      <c r="C563" s="121"/>
      <c r="D563" s="139"/>
      <c r="E563" s="139"/>
      <c r="F563" s="139"/>
      <c r="G563" s="147"/>
      <c r="H563" s="147"/>
      <c r="I563" s="121"/>
      <c r="J563" s="121"/>
      <c r="K563" s="121"/>
      <c r="L563" s="14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</row>
    <row r="564" spans="1:27" ht="15.6">
      <c r="A564" s="121"/>
      <c r="B564" s="121"/>
      <c r="C564" s="121"/>
      <c r="D564" s="139"/>
      <c r="E564" s="139"/>
      <c r="F564" s="139"/>
      <c r="G564" s="147"/>
      <c r="H564" s="147"/>
      <c r="I564" s="121"/>
      <c r="J564" s="121"/>
      <c r="K564" s="121"/>
      <c r="L564" s="14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</row>
    <row r="565" spans="1:27" ht="15.6">
      <c r="A565" s="121"/>
      <c r="B565" s="121"/>
      <c r="C565" s="121"/>
      <c r="D565" s="139"/>
      <c r="E565" s="139"/>
      <c r="F565" s="139"/>
      <c r="G565" s="147"/>
      <c r="H565" s="147"/>
      <c r="I565" s="121"/>
      <c r="J565" s="121"/>
      <c r="K565" s="121"/>
      <c r="L565" s="14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</row>
    <row r="566" spans="1:27" ht="15.6">
      <c r="A566" s="121"/>
      <c r="B566" s="121"/>
      <c r="C566" s="121"/>
      <c r="D566" s="139"/>
      <c r="E566" s="139"/>
      <c r="F566" s="139"/>
      <c r="G566" s="147"/>
      <c r="H566" s="147"/>
      <c r="I566" s="121"/>
      <c r="J566" s="121"/>
      <c r="K566" s="121"/>
      <c r="L566" s="14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</row>
    <row r="567" spans="1:27" ht="15.6">
      <c r="A567" s="121"/>
      <c r="B567" s="121"/>
      <c r="C567" s="121"/>
      <c r="D567" s="139"/>
      <c r="E567" s="139"/>
      <c r="F567" s="139"/>
      <c r="G567" s="147"/>
      <c r="H567" s="147"/>
      <c r="I567" s="121"/>
      <c r="J567" s="121"/>
      <c r="K567" s="121"/>
      <c r="L567" s="14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</row>
    <row r="568" spans="1:27" ht="15.6">
      <c r="A568" s="121"/>
      <c r="B568" s="121"/>
      <c r="C568" s="121"/>
      <c r="D568" s="139"/>
      <c r="E568" s="139"/>
      <c r="F568" s="139"/>
      <c r="G568" s="147"/>
      <c r="H568" s="147"/>
      <c r="I568" s="121"/>
      <c r="J568" s="121"/>
      <c r="K568" s="121"/>
      <c r="L568" s="14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</row>
    <row r="569" spans="1:27" ht="15.6">
      <c r="A569" s="121"/>
      <c r="B569" s="121"/>
      <c r="C569" s="121"/>
      <c r="D569" s="139"/>
      <c r="E569" s="139"/>
      <c r="F569" s="139"/>
      <c r="G569" s="147"/>
      <c r="H569" s="147"/>
      <c r="I569" s="121"/>
      <c r="J569" s="121"/>
      <c r="K569" s="121"/>
      <c r="L569" s="14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</row>
    <row r="570" spans="1:27" ht="15.6">
      <c r="A570" s="121"/>
      <c r="B570" s="121"/>
      <c r="C570" s="121"/>
      <c r="D570" s="139"/>
      <c r="E570" s="139"/>
      <c r="F570" s="139"/>
      <c r="G570" s="147"/>
      <c r="H570" s="147"/>
      <c r="I570" s="121"/>
      <c r="J570" s="121"/>
      <c r="K570" s="121"/>
      <c r="L570" s="14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</row>
    <row r="571" spans="1:27" ht="15.6">
      <c r="A571" s="121"/>
      <c r="B571" s="121"/>
      <c r="C571" s="121"/>
      <c r="D571" s="139"/>
      <c r="E571" s="139"/>
      <c r="F571" s="139"/>
      <c r="G571" s="147"/>
      <c r="H571" s="147"/>
      <c r="I571" s="121"/>
      <c r="J571" s="121"/>
      <c r="K571" s="121"/>
      <c r="L571" s="14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</row>
    <row r="572" spans="1:27" ht="15.6">
      <c r="A572" s="121"/>
      <c r="B572" s="121"/>
      <c r="C572" s="121"/>
      <c r="D572" s="139"/>
      <c r="E572" s="139"/>
      <c r="F572" s="139"/>
      <c r="G572" s="147"/>
      <c r="H572" s="147"/>
      <c r="I572" s="121"/>
      <c r="J572" s="121"/>
      <c r="K572" s="121"/>
      <c r="L572" s="14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</row>
    <row r="573" spans="1:27" ht="15.6">
      <c r="A573" s="121"/>
      <c r="B573" s="121"/>
      <c r="C573" s="121"/>
      <c r="D573" s="139"/>
      <c r="E573" s="139"/>
      <c r="F573" s="139"/>
      <c r="G573" s="147"/>
      <c r="H573" s="147"/>
      <c r="I573" s="121"/>
      <c r="J573" s="121"/>
      <c r="K573" s="121"/>
      <c r="L573" s="14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</row>
    <row r="574" spans="1:27" ht="15.6">
      <c r="A574" s="121"/>
      <c r="B574" s="121"/>
      <c r="C574" s="121"/>
      <c r="D574" s="139"/>
      <c r="E574" s="139"/>
      <c r="F574" s="139"/>
      <c r="G574" s="147"/>
      <c r="H574" s="147"/>
      <c r="I574" s="121"/>
      <c r="J574" s="121"/>
      <c r="K574" s="121"/>
      <c r="L574" s="14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</row>
    <row r="575" spans="1:27" ht="15.6">
      <c r="A575" s="121"/>
      <c r="B575" s="121"/>
      <c r="C575" s="121"/>
      <c r="D575" s="139"/>
      <c r="E575" s="139"/>
      <c r="F575" s="139"/>
      <c r="G575" s="147"/>
      <c r="H575" s="147"/>
      <c r="I575" s="121"/>
      <c r="J575" s="121"/>
      <c r="K575" s="121"/>
      <c r="L575" s="14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</row>
    <row r="576" spans="1:27" ht="15.6">
      <c r="A576" s="121"/>
      <c r="B576" s="121"/>
      <c r="C576" s="121"/>
      <c r="D576" s="139"/>
      <c r="E576" s="139"/>
      <c r="F576" s="139"/>
      <c r="G576" s="147"/>
      <c r="H576" s="147"/>
      <c r="I576" s="121"/>
      <c r="J576" s="121"/>
      <c r="K576" s="121"/>
      <c r="L576" s="14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</row>
    <row r="577" spans="1:27" ht="15.6">
      <c r="A577" s="121"/>
      <c r="B577" s="121"/>
      <c r="C577" s="121"/>
      <c r="D577" s="139"/>
      <c r="E577" s="139"/>
      <c r="F577" s="139"/>
      <c r="G577" s="147"/>
      <c r="H577" s="147"/>
      <c r="I577" s="121"/>
      <c r="J577" s="121"/>
      <c r="K577" s="121"/>
      <c r="L577" s="14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</row>
    <row r="578" spans="1:27" ht="15.6">
      <c r="A578" s="121"/>
      <c r="B578" s="121"/>
      <c r="C578" s="121"/>
      <c r="D578" s="139"/>
      <c r="E578" s="139"/>
      <c r="F578" s="139"/>
      <c r="G578" s="147"/>
      <c r="H578" s="147"/>
      <c r="I578" s="121"/>
      <c r="J578" s="121"/>
      <c r="K578" s="121"/>
      <c r="L578" s="14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</row>
    <row r="579" spans="1:27" ht="15.6">
      <c r="A579" s="121"/>
      <c r="B579" s="121"/>
      <c r="C579" s="121"/>
      <c r="D579" s="139"/>
      <c r="E579" s="139"/>
      <c r="F579" s="139"/>
      <c r="G579" s="147"/>
      <c r="H579" s="147"/>
      <c r="I579" s="121"/>
      <c r="J579" s="121"/>
      <c r="K579" s="121"/>
      <c r="L579" s="14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</row>
    <row r="580" spans="1:27" ht="15.6">
      <c r="A580" s="121"/>
      <c r="B580" s="121"/>
      <c r="C580" s="121"/>
      <c r="D580" s="139"/>
      <c r="E580" s="139"/>
      <c r="F580" s="139"/>
      <c r="G580" s="147"/>
      <c r="H580" s="147"/>
      <c r="I580" s="121"/>
      <c r="J580" s="121"/>
      <c r="K580" s="121"/>
      <c r="L580" s="14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</row>
    <row r="581" spans="1:27" ht="15.6">
      <c r="A581" s="121"/>
      <c r="B581" s="121"/>
      <c r="C581" s="121"/>
      <c r="D581" s="139"/>
      <c r="E581" s="139"/>
      <c r="F581" s="139"/>
      <c r="G581" s="147"/>
      <c r="H581" s="147"/>
      <c r="I581" s="121"/>
      <c r="J581" s="121"/>
      <c r="K581" s="121"/>
      <c r="L581" s="14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</row>
    <row r="582" spans="1:27" ht="15.6">
      <c r="A582" s="121"/>
      <c r="B582" s="121"/>
      <c r="C582" s="121"/>
      <c r="D582" s="139"/>
      <c r="E582" s="139"/>
      <c r="F582" s="139"/>
      <c r="G582" s="147"/>
      <c r="H582" s="147"/>
      <c r="I582" s="121"/>
      <c r="J582" s="121"/>
      <c r="K582" s="121"/>
      <c r="L582" s="14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</row>
    <row r="583" spans="1:27" ht="15.6">
      <c r="A583" s="121"/>
      <c r="B583" s="121"/>
      <c r="C583" s="121"/>
      <c r="D583" s="139"/>
      <c r="E583" s="139"/>
      <c r="F583" s="139"/>
      <c r="G583" s="147"/>
      <c r="H583" s="147"/>
      <c r="I583" s="121"/>
      <c r="J583" s="121"/>
      <c r="K583" s="121"/>
      <c r="L583" s="14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</row>
    <row r="584" spans="1:27" ht="15.6">
      <c r="A584" s="121"/>
      <c r="B584" s="121"/>
      <c r="C584" s="121"/>
      <c r="D584" s="139"/>
      <c r="E584" s="139"/>
      <c r="F584" s="139"/>
      <c r="G584" s="147"/>
      <c r="H584" s="147"/>
      <c r="I584" s="121"/>
      <c r="J584" s="121"/>
      <c r="K584" s="121"/>
      <c r="L584" s="14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</row>
    <row r="585" spans="1:27" ht="15.6">
      <c r="A585" s="121"/>
      <c r="B585" s="121"/>
      <c r="C585" s="121"/>
      <c r="D585" s="139"/>
      <c r="E585" s="139"/>
      <c r="F585" s="139"/>
      <c r="G585" s="147"/>
      <c r="H585" s="147"/>
      <c r="I585" s="121"/>
      <c r="J585" s="121"/>
      <c r="K585" s="121"/>
      <c r="L585" s="14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</row>
    <row r="586" spans="1:27" ht="15.6">
      <c r="A586" s="121"/>
      <c r="B586" s="121"/>
      <c r="C586" s="121"/>
      <c r="D586" s="139"/>
      <c r="E586" s="139"/>
      <c r="F586" s="139"/>
      <c r="G586" s="147"/>
      <c r="H586" s="147"/>
      <c r="I586" s="121"/>
      <c r="J586" s="121"/>
      <c r="K586" s="121"/>
      <c r="L586" s="14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</row>
    <row r="587" spans="1:27" ht="15.6">
      <c r="A587" s="121"/>
      <c r="B587" s="121"/>
      <c r="C587" s="121"/>
      <c r="D587" s="139"/>
      <c r="E587" s="139"/>
      <c r="F587" s="139"/>
      <c r="G587" s="147"/>
      <c r="H587" s="147"/>
      <c r="I587" s="121"/>
      <c r="J587" s="121"/>
      <c r="K587" s="121"/>
      <c r="L587" s="14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</row>
    <row r="588" spans="1:27" ht="15.6">
      <c r="A588" s="121"/>
      <c r="B588" s="121"/>
      <c r="C588" s="121"/>
      <c r="D588" s="139"/>
      <c r="E588" s="139"/>
      <c r="F588" s="139"/>
      <c r="G588" s="147"/>
      <c r="H588" s="147"/>
      <c r="I588" s="121"/>
      <c r="J588" s="121"/>
      <c r="K588" s="121"/>
      <c r="L588" s="14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</row>
    <row r="589" spans="1:27" ht="15.6">
      <c r="A589" s="121"/>
      <c r="B589" s="121"/>
      <c r="C589" s="121"/>
      <c r="D589" s="139"/>
      <c r="E589" s="139"/>
      <c r="F589" s="139"/>
      <c r="G589" s="147"/>
      <c r="H589" s="147"/>
      <c r="I589" s="121"/>
      <c r="J589" s="121"/>
      <c r="K589" s="121"/>
      <c r="L589" s="14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</row>
    <row r="590" spans="1:27" ht="15.6">
      <c r="A590" s="121"/>
      <c r="B590" s="121"/>
      <c r="C590" s="121"/>
      <c r="D590" s="139"/>
      <c r="E590" s="139"/>
      <c r="F590" s="139"/>
      <c r="G590" s="147"/>
      <c r="H590" s="147"/>
      <c r="I590" s="121"/>
      <c r="J590" s="121"/>
      <c r="K590" s="121"/>
      <c r="L590" s="14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</row>
    <row r="591" spans="1:27" ht="15.6">
      <c r="A591" s="121"/>
      <c r="B591" s="121"/>
      <c r="C591" s="121"/>
      <c r="D591" s="139"/>
      <c r="E591" s="139"/>
      <c r="F591" s="139"/>
      <c r="G591" s="147"/>
      <c r="H591" s="147"/>
      <c r="I591" s="121"/>
      <c r="J591" s="121"/>
      <c r="K591" s="121"/>
      <c r="L591" s="14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</row>
    <row r="592" spans="1:27" ht="15.6">
      <c r="A592" s="121"/>
      <c r="B592" s="121"/>
      <c r="C592" s="121"/>
      <c r="D592" s="139"/>
      <c r="E592" s="139"/>
      <c r="F592" s="139"/>
      <c r="G592" s="147"/>
      <c r="H592" s="147"/>
      <c r="I592" s="121"/>
      <c r="J592" s="121"/>
      <c r="K592" s="121"/>
      <c r="L592" s="14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</row>
    <row r="593" spans="1:27" ht="15.6">
      <c r="A593" s="121"/>
      <c r="B593" s="121"/>
      <c r="C593" s="121"/>
      <c r="D593" s="139"/>
      <c r="E593" s="139"/>
      <c r="F593" s="139"/>
      <c r="G593" s="147"/>
      <c r="H593" s="147"/>
      <c r="I593" s="121"/>
      <c r="J593" s="121"/>
      <c r="K593" s="121"/>
      <c r="L593" s="14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</row>
    <row r="594" spans="1:27" ht="15.6">
      <c r="A594" s="121"/>
      <c r="B594" s="121"/>
      <c r="C594" s="121"/>
      <c r="D594" s="139"/>
      <c r="E594" s="139"/>
      <c r="F594" s="139"/>
      <c r="G594" s="147"/>
      <c r="H594" s="147"/>
      <c r="I594" s="121"/>
      <c r="J594" s="121"/>
      <c r="K594" s="121"/>
      <c r="L594" s="14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</row>
    <row r="595" spans="1:27" ht="15.6">
      <c r="A595" s="121"/>
      <c r="B595" s="121"/>
      <c r="C595" s="121"/>
      <c r="D595" s="139"/>
      <c r="E595" s="139"/>
      <c r="F595" s="139"/>
      <c r="G595" s="147"/>
      <c r="H595" s="147"/>
      <c r="I595" s="121"/>
      <c r="J595" s="121"/>
      <c r="K595" s="121"/>
      <c r="L595" s="14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</row>
    <row r="596" spans="1:27" ht="15.6">
      <c r="A596" s="121"/>
      <c r="B596" s="121"/>
      <c r="C596" s="121"/>
      <c r="D596" s="139"/>
      <c r="E596" s="139"/>
      <c r="F596" s="139"/>
      <c r="G596" s="147"/>
      <c r="H596" s="147"/>
      <c r="I596" s="121"/>
      <c r="J596" s="121"/>
      <c r="K596" s="121"/>
      <c r="L596" s="14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</row>
    <row r="597" spans="1:27" ht="15.6">
      <c r="A597" s="121"/>
      <c r="B597" s="121"/>
      <c r="C597" s="121"/>
      <c r="D597" s="139"/>
      <c r="E597" s="139"/>
      <c r="F597" s="139"/>
      <c r="G597" s="147"/>
      <c r="H597" s="147"/>
      <c r="I597" s="121"/>
      <c r="J597" s="121"/>
      <c r="K597" s="121"/>
      <c r="L597" s="14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</row>
    <row r="598" spans="1:27" ht="15.6">
      <c r="A598" s="121"/>
      <c r="B598" s="121"/>
      <c r="C598" s="121"/>
      <c r="D598" s="139"/>
      <c r="E598" s="139"/>
      <c r="F598" s="139"/>
      <c r="G598" s="147"/>
      <c r="H598" s="147"/>
      <c r="I598" s="121"/>
      <c r="J598" s="121"/>
      <c r="K598" s="121"/>
      <c r="L598" s="14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</row>
    <row r="599" spans="1:27" ht="15.6">
      <c r="A599" s="121"/>
      <c r="B599" s="121"/>
      <c r="C599" s="121"/>
      <c r="D599" s="139"/>
      <c r="E599" s="139"/>
      <c r="F599" s="139"/>
      <c r="G599" s="147"/>
      <c r="H599" s="147"/>
      <c r="I599" s="121"/>
      <c r="J599" s="121"/>
      <c r="K599" s="121"/>
      <c r="L599" s="14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</row>
    <row r="600" spans="1:27" ht="15.6">
      <c r="A600" s="121"/>
      <c r="B600" s="121"/>
      <c r="C600" s="121"/>
      <c r="D600" s="139"/>
      <c r="E600" s="139"/>
      <c r="F600" s="139"/>
      <c r="G600" s="147"/>
      <c r="H600" s="147"/>
      <c r="I600" s="121"/>
      <c r="J600" s="121"/>
      <c r="K600" s="121"/>
      <c r="L600" s="14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</row>
    <row r="601" spans="1:27" ht="15.6">
      <c r="A601" s="121"/>
      <c r="B601" s="121"/>
      <c r="C601" s="121"/>
      <c r="D601" s="139"/>
      <c r="E601" s="139"/>
      <c r="F601" s="139"/>
      <c r="G601" s="147"/>
      <c r="H601" s="147"/>
      <c r="I601" s="121"/>
      <c r="J601" s="121"/>
      <c r="K601" s="121"/>
      <c r="L601" s="14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</row>
    <row r="602" spans="1:27" ht="15.6">
      <c r="A602" s="121"/>
      <c r="B602" s="121"/>
      <c r="C602" s="121"/>
      <c r="D602" s="139"/>
      <c r="E602" s="139"/>
      <c r="F602" s="139"/>
      <c r="G602" s="147"/>
      <c r="H602" s="147"/>
      <c r="I602" s="121"/>
      <c r="J602" s="121"/>
      <c r="K602" s="121"/>
      <c r="L602" s="14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</row>
    <row r="603" spans="1:27" ht="15.6">
      <c r="A603" s="121"/>
      <c r="B603" s="121"/>
      <c r="C603" s="121"/>
      <c r="D603" s="139"/>
      <c r="E603" s="139"/>
      <c r="F603" s="139"/>
      <c r="G603" s="147"/>
      <c r="H603" s="147"/>
      <c r="I603" s="121"/>
      <c r="J603" s="121"/>
      <c r="K603" s="121"/>
      <c r="L603" s="14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</row>
    <row r="604" spans="1:27" ht="15.6">
      <c r="A604" s="121"/>
      <c r="B604" s="121"/>
      <c r="C604" s="121"/>
      <c r="D604" s="139"/>
      <c r="E604" s="139"/>
      <c r="F604" s="139"/>
      <c r="G604" s="147"/>
      <c r="H604" s="147"/>
      <c r="I604" s="121"/>
      <c r="J604" s="121"/>
      <c r="K604" s="121"/>
      <c r="L604" s="14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</row>
    <row r="605" spans="1:27" ht="15.6">
      <c r="A605" s="121"/>
      <c r="B605" s="121"/>
      <c r="C605" s="121"/>
      <c r="D605" s="139"/>
      <c r="E605" s="139"/>
      <c r="F605" s="139"/>
      <c r="G605" s="147"/>
      <c r="H605" s="147"/>
      <c r="I605" s="121"/>
      <c r="J605" s="121"/>
      <c r="K605" s="121"/>
      <c r="L605" s="14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</row>
    <row r="606" spans="1:27" ht="15.6">
      <c r="A606" s="121"/>
      <c r="B606" s="121"/>
      <c r="C606" s="121"/>
      <c r="D606" s="139"/>
      <c r="E606" s="139"/>
      <c r="F606" s="139"/>
      <c r="G606" s="147"/>
      <c r="H606" s="147"/>
      <c r="I606" s="121"/>
      <c r="J606" s="121"/>
      <c r="K606" s="121"/>
      <c r="L606" s="14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</row>
    <row r="607" spans="1:27" ht="15.6">
      <c r="A607" s="121"/>
      <c r="B607" s="121"/>
      <c r="C607" s="121"/>
      <c r="D607" s="139"/>
      <c r="E607" s="139"/>
      <c r="F607" s="139"/>
      <c r="G607" s="147"/>
      <c r="H607" s="147"/>
      <c r="I607" s="121"/>
      <c r="J607" s="121"/>
      <c r="K607" s="121"/>
      <c r="L607" s="14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</row>
    <row r="608" spans="1:27" ht="15.6">
      <c r="A608" s="121"/>
      <c r="B608" s="121"/>
      <c r="C608" s="121"/>
      <c r="D608" s="139"/>
      <c r="E608" s="139"/>
      <c r="F608" s="139"/>
      <c r="G608" s="147"/>
      <c r="H608" s="147"/>
      <c r="I608" s="121"/>
      <c r="J608" s="121"/>
      <c r="K608" s="121"/>
      <c r="L608" s="14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</row>
    <row r="609" spans="1:27" ht="15.6">
      <c r="A609" s="121"/>
      <c r="B609" s="121"/>
      <c r="C609" s="121"/>
      <c r="D609" s="139"/>
      <c r="E609" s="139"/>
      <c r="F609" s="139"/>
      <c r="G609" s="147"/>
      <c r="H609" s="147"/>
      <c r="I609" s="121"/>
      <c r="J609" s="121"/>
      <c r="K609" s="121"/>
      <c r="L609" s="14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</row>
    <row r="610" spans="1:27" ht="15.6">
      <c r="A610" s="121"/>
      <c r="B610" s="121"/>
      <c r="C610" s="121"/>
      <c r="D610" s="139"/>
      <c r="E610" s="139"/>
      <c r="F610" s="139"/>
      <c r="G610" s="147"/>
      <c r="H610" s="147"/>
      <c r="I610" s="121"/>
      <c r="J610" s="121"/>
      <c r="K610" s="121"/>
      <c r="L610" s="14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</row>
    <row r="611" spans="1:27" ht="15.6">
      <c r="A611" s="121"/>
      <c r="B611" s="121"/>
      <c r="C611" s="121"/>
      <c r="D611" s="139"/>
      <c r="E611" s="139"/>
      <c r="F611" s="139"/>
      <c r="G611" s="147"/>
      <c r="H611" s="147"/>
      <c r="I611" s="121"/>
      <c r="J611" s="121"/>
      <c r="K611" s="121"/>
      <c r="L611" s="14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</row>
    <row r="612" spans="1:27" ht="15.6">
      <c r="A612" s="121"/>
      <c r="B612" s="121"/>
      <c r="C612" s="121"/>
      <c r="D612" s="139"/>
      <c r="E612" s="139"/>
      <c r="F612" s="139"/>
      <c r="G612" s="147"/>
      <c r="H612" s="147"/>
      <c r="I612" s="121"/>
      <c r="J612" s="121"/>
      <c r="K612" s="121"/>
      <c r="L612" s="14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</row>
    <row r="613" spans="1:27" ht="15.6">
      <c r="A613" s="121"/>
      <c r="B613" s="121"/>
      <c r="C613" s="121"/>
      <c r="D613" s="139"/>
      <c r="E613" s="139"/>
      <c r="F613" s="139"/>
      <c r="G613" s="147"/>
      <c r="H613" s="147"/>
      <c r="I613" s="121"/>
      <c r="J613" s="121"/>
      <c r="K613" s="121"/>
      <c r="L613" s="14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</row>
    <row r="614" spans="1:27" ht="15.6">
      <c r="A614" s="121"/>
      <c r="B614" s="121"/>
      <c r="C614" s="121"/>
      <c r="D614" s="139"/>
      <c r="E614" s="139"/>
      <c r="F614" s="139"/>
      <c r="G614" s="147"/>
      <c r="H614" s="147"/>
      <c r="I614" s="121"/>
      <c r="J614" s="121"/>
      <c r="K614" s="121"/>
      <c r="L614" s="14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</row>
    <row r="615" spans="1:27" ht="15.6">
      <c r="A615" s="121"/>
      <c r="B615" s="121"/>
      <c r="C615" s="121"/>
      <c r="D615" s="139"/>
      <c r="E615" s="139"/>
      <c r="F615" s="139"/>
      <c r="G615" s="147"/>
      <c r="H615" s="147"/>
      <c r="I615" s="121"/>
      <c r="J615" s="121"/>
      <c r="K615" s="121"/>
      <c r="L615" s="14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</row>
    <row r="616" spans="1:27" ht="15.6">
      <c r="A616" s="121"/>
      <c r="B616" s="121"/>
      <c r="C616" s="121"/>
      <c r="D616" s="139"/>
      <c r="E616" s="139"/>
      <c r="F616" s="139"/>
      <c r="G616" s="147"/>
      <c r="H616" s="147"/>
      <c r="I616" s="121"/>
      <c r="J616" s="121"/>
      <c r="K616" s="121"/>
      <c r="L616" s="14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</row>
    <row r="617" spans="1:27" ht="15.6">
      <c r="A617" s="121"/>
      <c r="B617" s="121"/>
      <c r="C617" s="121"/>
      <c r="D617" s="139"/>
      <c r="E617" s="139"/>
      <c r="F617" s="139"/>
      <c r="G617" s="147"/>
      <c r="H617" s="147"/>
      <c r="I617" s="121"/>
      <c r="J617" s="121"/>
      <c r="K617" s="121"/>
      <c r="L617" s="14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</row>
    <row r="618" spans="1:27" ht="15.6">
      <c r="A618" s="121"/>
      <c r="B618" s="121"/>
      <c r="C618" s="121"/>
      <c r="D618" s="139"/>
      <c r="E618" s="139"/>
      <c r="F618" s="139"/>
      <c r="G618" s="147"/>
      <c r="H618" s="147"/>
      <c r="I618" s="121"/>
      <c r="J618" s="121"/>
      <c r="K618" s="121"/>
      <c r="L618" s="14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</row>
    <row r="619" spans="1:27" ht="15.6">
      <c r="A619" s="121"/>
      <c r="B619" s="121"/>
      <c r="C619" s="121"/>
      <c r="D619" s="139"/>
      <c r="E619" s="139"/>
      <c r="F619" s="139"/>
      <c r="G619" s="147"/>
      <c r="H619" s="147"/>
      <c r="I619" s="121"/>
      <c r="J619" s="121"/>
      <c r="K619" s="121"/>
      <c r="L619" s="14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</row>
    <row r="620" spans="1:27" ht="15.6">
      <c r="A620" s="121"/>
      <c r="B620" s="121"/>
      <c r="C620" s="121"/>
      <c r="D620" s="139"/>
      <c r="E620" s="139"/>
      <c r="F620" s="139"/>
      <c r="G620" s="147"/>
      <c r="H620" s="147"/>
      <c r="I620" s="121"/>
      <c r="J620" s="121"/>
      <c r="K620" s="121"/>
      <c r="L620" s="14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</row>
    <row r="621" spans="1:27" ht="15.6">
      <c r="A621" s="121"/>
      <c r="B621" s="121"/>
      <c r="C621" s="121"/>
      <c r="D621" s="139"/>
      <c r="E621" s="139"/>
      <c r="F621" s="139"/>
      <c r="G621" s="147"/>
      <c r="H621" s="147"/>
      <c r="I621" s="121"/>
      <c r="J621" s="121"/>
      <c r="K621" s="121"/>
      <c r="L621" s="14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</row>
    <row r="622" spans="1:27" ht="15.6">
      <c r="A622" s="121"/>
      <c r="B622" s="121"/>
      <c r="C622" s="121"/>
      <c r="D622" s="139"/>
      <c r="E622" s="139"/>
      <c r="F622" s="139"/>
      <c r="G622" s="147"/>
      <c r="H622" s="147"/>
      <c r="I622" s="121"/>
      <c r="J622" s="121"/>
      <c r="K622" s="121"/>
      <c r="L622" s="14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</row>
    <row r="623" spans="1:27" ht="15.6">
      <c r="A623" s="121"/>
      <c r="B623" s="121"/>
      <c r="C623" s="121"/>
      <c r="D623" s="139"/>
      <c r="E623" s="139"/>
      <c r="F623" s="139"/>
      <c r="G623" s="147"/>
      <c r="H623" s="147"/>
      <c r="I623" s="121"/>
      <c r="J623" s="121"/>
      <c r="K623" s="121"/>
      <c r="L623" s="14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</row>
    <row r="624" spans="1:27" ht="15.6">
      <c r="A624" s="121"/>
      <c r="B624" s="121"/>
      <c r="C624" s="121"/>
      <c r="D624" s="139"/>
      <c r="E624" s="139"/>
      <c r="F624" s="139"/>
      <c r="G624" s="147"/>
      <c r="H624" s="147"/>
      <c r="I624" s="121"/>
      <c r="J624" s="121"/>
      <c r="K624" s="121"/>
      <c r="L624" s="14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</row>
    <row r="625" spans="1:27" ht="15.6">
      <c r="A625" s="121"/>
      <c r="B625" s="121"/>
      <c r="C625" s="121"/>
      <c r="D625" s="139"/>
      <c r="E625" s="139"/>
      <c r="F625" s="139"/>
      <c r="G625" s="147"/>
      <c r="H625" s="147"/>
      <c r="I625" s="121"/>
      <c r="J625" s="121"/>
      <c r="K625" s="121"/>
      <c r="L625" s="14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</row>
    <row r="626" spans="1:27" ht="15.6">
      <c r="A626" s="121"/>
      <c r="B626" s="121"/>
      <c r="C626" s="121"/>
      <c r="D626" s="139"/>
      <c r="E626" s="139"/>
      <c r="F626" s="139"/>
      <c r="G626" s="147"/>
      <c r="H626" s="147"/>
      <c r="I626" s="121"/>
      <c r="J626" s="121"/>
      <c r="K626" s="121"/>
      <c r="L626" s="14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</row>
    <row r="627" spans="1:27" ht="15.6">
      <c r="A627" s="121"/>
      <c r="B627" s="121"/>
      <c r="C627" s="121"/>
      <c r="D627" s="139"/>
      <c r="E627" s="139"/>
      <c r="F627" s="139"/>
      <c r="G627" s="147"/>
      <c r="H627" s="147"/>
      <c r="I627" s="121"/>
      <c r="J627" s="121"/>
      <c r="K627" s="121"/>
      <c r="L627" s="14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</row>
    <row r="628" spans="1:27" ht="15.6">
      <c r="A628" s="121"/>
      <c r="B628" s="121"/>
      <c r="C628" s="121"/>
      <c r="D628" s="139"/>
      <c r="E628" s="139"/>
      <c r="F628" s="139"/>
      <c r="G628" s="147"/>
      <c r="H628" s="147"/>
      <c r="I628" s="121"/>
      <c r="J628" s="121"/>
      <c r="K628" s="121"/>
      <c r="L628" s="14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</row>
    <row r="629" spans="1:27" ht="15.6">
      <c r="A629" s="121"/>
      <c r="B629" s="121"/>
      <c r="C629" s="121"/>
      <c r="D629" s="139"/>
      <c r="E629" s="139"/>
      <c r="F629" s="139"/>
      <c r="G629" s="147"/>
      <c r="H629" s="147"/>
      <c r="I629" s="121"/>
      <c r="J629" s="121"/>
      <c r="K629" s="121"/>
      <c r="L629" s="14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</row>
    <row r="630" spans="1:27" ht="15.6">
      <c r="A630" s="121"/>
      <c r="B630" s="121"/>
      <c r="C630" s="121"/>
      <c r="D630" s="139"/>
      <c r="E630" s="139"/>
      <c r="F630" s="139"/>
      <c r="G630" s="147"/>
      <c r="H630" s="147"/>
      <c r="I630" s="121"/>
      <c r="J630" s="121"/>
      <c r="K630" s="121"/>
      <c r="L630" s="14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</row>
    <row r="631" spans="1:27" ht="15.6">
      <c r="A631" s="121"/>
      <c r="B631" s="121"/>
      <c r="C631" s="121"/>
      <c r="D631" s="139"/>
      <c r="E631" s="139"/>
      <c r="F631" s="139"/>
      <c r="G631" s="147"/>
      <c r="H631" s="147"/>
      <c r="I631" s="121"/>
      <c r="J631" s="121"/>
      <c r="K631" s="121"/>
      <c r="L631" s="14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</row>
    <row r="632" spans="1:27" ht="15.6">
      <c r="A632" s="121"/>
      <c r="B632" s="121"/>
      <c r="C632" s="121"/>
      <c r="D632" s="139"/>
      <c r="E632" s="139"/>
      <c r="F632" s="139"/>
      <c r="G632" s="147"/>
      <c r="H632" s="147"/>
      <c r="I632" s="121"/>
      <c r="J632" s="121"/>
      <c r="K632" s="121"/>
      <c r="L632" s="14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</row>
    <row r="633" spans="1:27" ht="15.6">
      <c r="A633" s="121"/>
      <c r="B633" s="121"/>
      <c r="C633" s="121"/>
      <c r="D633" s="139"/>
      <c r="E633" s="139"/>
      <c r="F633" s="139"/>
      <c r="G633" s="147"/>
      <c r="H633" s="147"/>
      <c r="I633" s="121"/>
      <c r="J633" s="121"/>
      <c r="K633" s="121"/>
      <c r="L633" s="14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</row>
    <row r="634" spans="1:27" ht="15.6">
      <c r="A634" s="121"/>
      <c r="B634" s="121"/>
      <c r="C634" s="121"/>
      <c r="D634" s="139"/>
      <c r="E634" s="139"/>
      <c r="F634" s="139"/>
      <c r="G634" s="147"/>
      <c r="H634" s="147"/>
      <c r="I634" s="121"/>
      <c r="J634" s="121"/>
      <c r="K634" s="121"/>
      <c r="L634" s="14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</row>
    <row r="635" spans="1:27" ht="15.6">
      <c r="A635" s="121"/>
      <c r="B635" s="121"/>
      <c r="C635" s="121"/>
      <c r="D635" s="139"/>
      <c r="E635" s="139"/>
      <c r="F635" s="139"/>
      <c r="G635" s="147"/>
      <c r="H635" s="147"/>
      <c r="I635" s="121"/>
      <c r="J635" s="121"/>
      <c r="K635" s="121"/>
      <c r="L635" s="14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</row>
    <row r="636" spans="1:27" ht="15.6">
      <c r="A636" s="121"/>
      <c r="B636" s="121"/>
      <c r="C636" s="121"/>
      <c r="D636" s="139"/>
      <c r="E636" s="139"/>
      <c r="F636" s="139"/>
      <c r="G636" s="147"/>
      <c r="H636" s="147"/>
      <c r="I636" s="121"/>
      <c r="J636" s="121"/>
      <c r="K636" s="121"/>
      <c r="L636" s="14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</row>
    <row r="637" spans="1:27" ht="15.6">
      <c r="A637" s="121"/>
      <c r="B637" s="121"/>
      <c r="C637" s="121"/>
      <c r="D637" s="139"/>
      <c r="E637" s="139"/>
      <c r="F637" s="139"/>
      <c r="G637" s="147"/>
      <c r="H637" s="147"/>
      <c r="I637" s="121"/>
      <c r="J637" s="121"/>
      <c r="K637" s="121"/>
      <c r="L637" s="14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</row>
    <row r="638" spans="1:27" ht="15.6">
      <c r="A638" s="121"/>
      <c r="B638" s="121"/>
      <c r="C638" s="121"/>
      <c r="D638" s="139"/>
      <c r="E638" s="139"/>
      <c r="F638" s="139"/>
      <c r="G638" s="147"/>
      <c r="H638" s="147"/>
      <c r="I638" s="121"/>
      <c r="J638" s="121"/>
      <c r="K638" s="121"/>
      <c r="L638" s="14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</row>
    <row r="639" spans="1:27" ht="15.6">
      <c r="A639" s="121"/>
      <c r="B639" s="121"/>
      <c r="C639" s="121"/>
      <c r="D639" s="139"/>
      <c r="E639" s="139"/>
      <c r="F639" s="139"/>
      <c r="G639" s="147"/>
      <c r="H639" s="147"/>
      <c r="I639" s="121"/>
      <c r="J639" s="121"/>
      <c r="K639" s="121"/>
      <c r="L639" s="14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</row>
    <row r="640" spans="1:27" ht="15.6">
      <c r="A640" s="121"/>
      <c r="B640" s="121"/>
      <c r="C640" s="121"/>
      <c r="D640" s="139"/>
      <c r="E640" s="139"/>
      <c r="F640" s="139"/>
      <c r="G640" s="147"/>
      <c r="H640" s="147"/>
      <c r="I640" s="121"/>
      <c r="J640" s="121"/>
      <c r="K640" s="121"/>
      <c r="L640" s="14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</row>
    <row r="641" spans="1:27" ht="15.6">
      <c r="A641" s="121"/>
      <c r="B641" s="121"/>
      <c r="C641" s="121"/>
      <c r="D641" s="139"/>
      <c r="E641" s="139"/>
      <c r="F641" s="139"/>
      <c r="G641" s="147"/>
      <c r="H641" s="147"/>
      <c r="I641" s="121"/>
      <c r="J641" s="121"/>
      <c r="K641" s="121"/>
      <c r="L641" s="14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</row>
    <row r="642" spans="1:27" ht="15.6">
      <c r="A642" s="121"/>
      <c r="B642" s="121"/>
      <c r="C642" s="121"/>
      <c r="D642" s="139"/>
      <c r="E642" s="139"/>
      <c r="F642" s="139"/>
      <c r="G642" s="147"/>
      <c r="H642" s="147"/>
      <c r="I642" s="121"/>
      <c r="J642" s="121"/>
      <c r="K642" s="121"/>
      <c r="L642" s="14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</row>
    <row r="643" spans="1:27" ht="15.6">
      <c r="A643" s="121"/>
      <c r="B643" s="121"/>
      <c r="C643" s="121"/>
      <c r="D643" s="139"/>
      <c r="E643" s="139"/>
      <c r="F643" s="139"/>
      <c r="G643" s="147"/>
      <c r="H643" s="147"/>
      <c r="I643" s="121"/>
      <c r="J643" s="121"/>
      <c r="K643" s="121"/>
      <c r="L643" s="14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</row>
    <row r="644" spans="1:27" ht="15.6">
      <c r="A644" s="121"/>
      <c r="B644" s="121"/>
      <c r="C644" s="121"/>
      <c r="D644" s="139"/>
      <c r="E644" s="139"/>
      <c r="F644" s="139"/>
      <c r="G644" s="147"/>
      <c r="H644" s="147"/>
      <c r="I644" s="121"/>
      <c r="J644" s="121"/>
      <c r="K644" s="121"/>
      <c r="L644" s="14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</row>
    <row r="645" spans="1:27" ht="15.6">
      <c r="A645" s="121"/>
      <c r="B645" s="121"/>
      <c r="C645" s="121"/>
      <c r="D645" s="139"/>
      <c r="E645" s="139"/>
      <c r="F645" s="139"/>
      <c r="G645" s="147"/>
      <c r="H645" s="147"/>
      <c r="I645" s="121"/>
      <c r="J645" s="121"/>
      <c r="K645" s="121"/>
      <c r="L645" s="14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</row>
    <row r="646" spans="1:27" ht="15.6">
      <c r="A646" s="121"/>
      <c r="B646" s="121"/>
      <c r="C646" s="121"/>
      <c r="D646" s="139"/>
      <c r="E646" s="139"/>
      <c r="F646" s="139"/>
      <c r="G646" s="147"/>
      <c r="H646" s="147"/>
      <c r="I646" s="121"/>
      <c r="J646" s="121"/>
      <c r="K646" s="121"/>
      <c r="L646" s="14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</row>
    <row r="647" spans="1:27" ht="15.6">
      <c r="A647" s="121"/>
      <c r="B647" s="121"/>
      <c r="C647" s="121"/>
      <c r="D647" s="139"/>
      <c r="E647" s="139"/>
      <c r="F647" s="139"/>
      <c r="G647" s="147"/>
      <c r="H647" s="147"/>
      <c r="I647" s="121"/>
      <c r="J647" s="121"/>
      <c r="K647" s="121"/>
      <c r="L647" s="14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</row>
    <row r="648" spans="1:27" ht="15.6">
      <c r="A648" s="121"/>
      <c r="B648" s="121"/>
      <c r="C648" s="121"/>
      <c r="D648" s="139"/>
      <c r="E648" s="139"/>
      <c r="F648" s="139"/>
      <c r="G648" s="147"/>
      <c r="H648" s="147"/>
      <c r="I648" s="121"/>
      <c r="J648" s="121"/>
      <c r="K648" s="121"/>
      <c r="L648" s="14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</row>
    <row r="649" spans="1:27" ht="15.6">
      <c r="A649" s="121"/>
      <c r="B649" s="121"/>
      <c r="C649" s="121"/>
      <c r="D649" s="139"/>
      <c r="E649" s="139"/>
      <c r="F649" s="139"/>
      <c r="G649" s="147"/>
      <c r="H649" s="147"/>
      <c r="I649" s="121"/>
      <c r="J649" s="121"/>
      <c r="K649" s="121"/>
      <c r="L649" s="14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</row>
    <row r="650" spans="1:27" ht="15.6">
      <c r="A650" s="121"/>
      <c r="B650" s="121"/>
      <c r="C650" s="121"/>
      <c r="D650" s="139"/>
      <c r="E650" s="139"/>
      <c r="F650" s="139"/>
      <c r="G650" s="147"/>
      <c r="H650" s="147"/>
      <c r="I650" s="121"/>
      <c r="J650" s="121"/>
      <c r="K650" s="121"/>
      <c r="L650" s="14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</row>
    <row r="651" spans="1:27" ht="15.6">
      <c r="A651" s="121"/>
      <c r="B651" s="121"/>
      <c r="C651" s="121"/>
      <c r="D651" s="139"/>
      <c r="E651" s="139"/>
      <c r="F651" s="139"/>
      <c r="G651" s="147"/>
      <c r="H651" s="147"/>
      <c r="I651" s="121"/>
      <c r="J651" s="121"/>
      <c r="K651" s="121"/>
      <c r="L651" s="14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</row>
    <row r="652" spans="1:27" ht="15.6">
      <c r="A652" s="121"/>
      <c r="B652" s="121"/>
      <c r="C652" s="121"/>
      <c r="D652" s="139"/>
      <c r="E652" s="139"/>
      <c r="F652" s="139"/>
      <c r="G652" s="147"/>
      <c r="H652" s="147"/>
      <c r="I652" s="121"/>
      <c r="J652" s="121"/>
      <c r="K652" s="121"/>
      <c r="L652" s="14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</row>
    <row r="653" spans="1:27" ht="15.6">
      <c r="A653" s="121"/>
      <c r="B653" s="121"/>
      <c r="C653" s="121"/>
      <c r="D653" s="139"/>
      <c r="E653" s="139"/>
      <c r="F653" s="139"/>
      <c r="G653" s="147"/>
      <c r="H653" s="147"/>
      <c r="I653" s="121"/>
      <c r="J653" s="121"/>
      <c r="K653" s="121"/>
      <c r="L653" s="14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</row>
    <row r="654" spans="1:27" ht="15.6">
      <c r="A654" s="121"/>
      <c r="B654" s="121"/>
      <c r="C654" s="121"/>
      <c r="D654" s="139"/>
      <c r="E654" s="139"/>
      <c r="F654" s="139"/>
      <c r="G654" s="147"/>
      <c r="H654" s="147"/>
      <c r="I654" s="121"/>
      <c r="J654" s="121"/>
      <c r="K654" s="121"/>
      <c r="L654" s="14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</row>
    <row r="655" spans="1:27" ht="15.6">
      <c r="A655" s="121"/>
      <c r="B655" s="121"/>
      <c r="C655" s="121"/>
      <c r="D655" s="139"/>
      <c r="E655" s="139"/>
      <c r="F655" s="139"/>
      <c r="G655" s="147"/>
      <c r="H655" s="147"/>
      <c r="I655" s="121"/>
      <c r="J655" s="121"/>
      <c r="K655" s="121"/>
      <c r="L655" s="14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</row>
    <row r="656" spans="1:27" ht="15.6">
      <c r="A656" s="121"/>
      <c r="B656" s="121"/>
      <c r="C656" s="121"/>
      <c r="D656" s="139"/>
      <c r="E656" s="139"/>
      <c r="F656" s="139"/>
      <c r="G656" s="147"/>
      <c r="H656" s="147"/>
      <c r="I656" s="121"/>
      <c r="J656" s="121"/>
      <c r="K656" s="121"/>
      <c r="L656" s="14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</row>
    <row r="657" spans="1:27" ht="15.6">
      <c r="A657" s="121"/>
      <c r="B657" s="121"/>
      <c r="C657" s="121"/>
      <c r="D657" s="139"/>
      <c r="E657" s="139"/>
      <c r="F657" s="139"/>
      <c r="G657" s="147"/>
      <c r="H657" s="147"/>
      <c r="I657" s="121"/>
      <c r="J657" s="121"/>
      <c r="K657" s="121"/>
      <c r="L657" s="14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</row>
    <row r="658" spans="1:27" ht="15.6">
      <c r="A658" s="121"/>
      <c r="B658" s="121"/>
      <c r="C658" s="121"/>
      <c r="D658" s="139"/>
      <c r="E658" s="139"/>
      <c r="F658" s="139"/>
      <c r="G658" s="147"/>
      <c r="H658" s="147"/>
      <c r="I658" s="121"/>
      <c r="J658" s="121"/>
      <c r="K658" s="121"/>
      <c r="L658" s="14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</row>
    <row r="659" spans="1:27" ht="15.6">
      <c r="A659" s="121"/>
      <c r="B659" s="121"/>
      <c r="C659" s="121"/>
      <c r="D659" s="139"/>
      <c r="E659" s="139"/>
      <c r="F659" s="139"/>
      <c r="G659" s="147"/>
      <c r="H659" s="147"/>
      <c r="I659" s="121"/>
      <c r="J659" s="121"/>
      <c r="K659" s="121"/>
      <c r="L659" s="14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</row>
    <row r="660" spans="1:27" ht="15.6">
      <c r="A660" s="121"/>
      <c r="B660" s="121"/>
      <c r="C660" s="121"/>
      <c r="D660" s="139"/>
      <c r="E660" s="139"/>
      <c r="F660" s="139"/>
      <c r="G660" s="147"/>
      <c r="H660" s="147"/>
      <c r="I660" s="121"/>
      <c r="J660" s="121"/>
      <c r="K660" s="121"/>
      <c r="L660" s="14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</row>
    <row r="661" spans="1:27" ht="15.6">
      <c r="A661" s="121"/>
      <c r="B661" s="121"/>
      <c r="C661" s="121"/>
      <c r="D661" s="139"/>
      <c r="E661" s="139"/>
      <c r="F661" s="139"/>
      <c r="G661" s="147"/>
      <c r="H661" s="147"/>
      <c r="I661" s="121"/>
      <c r="J661" s="121"/>
      <c r="K661" s="121"/>
      <c r="L661" s="14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</row>
    <row r="662" spans="1:27" ht="15.6">
      <c r="A662" s="121"/>
      <c r="B662" s="121"/>
      <c r="C662" s="121"/>
      <c r="D662" s="139"/>
      <c r="E662" s="139"/>
      <c r="F662" s="139"/>
      <c r="G662" s="147"/>
      <c r="H662" s="147"/>
      <c r="I662" s="121"/>
      <c r="J662" s="121"/>
      <c r="K662" s="121"/>
      <c r="L662" s="14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</row>
    <row r="663" spans="1:27" ht="15.6">
      <c r="A663" s="121"/>
      <c r="B663" s="121"/>
      <c r="C663" s="121"/>
      <c r="D663" s="139"/>
      <c r="E663" s="139"/>
      <c r="F663" s="139"/>
      <c r="G663" s="147"/>
      <c r="H663" s="147"/>
      <c r="I663" s="121"/>
      <c r="J663" s="121"/>
      <c r="K663" s="121"/>
      <c r="L663" s="14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</row>
    <row r="664" spans="1:27" ht="15.6">
      <c r="A664" s="121"/>
      <c r="B664" s="121"/>
      <c r="C664" s="121"/>
      <c r="D664" s="139"/>
      <c r="E664" s="139"/>
      <c r="F664" s="139"/>
      <c r="G664" s="147"/>
      <c r="H664" s="147"/>
      <c r="I664" s="121"/>
      <c r="J664" s="121"/>
      <c r="K664" s="121"/>
      <c r="L664" s="14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</row>
    <row r="665" spans="1:27" ht="15.6">
      <c r="A665" s="121"/>
      <c r="B665" s="121"/>
      <c r="C665" s="121"/>
      <c r="D665" s="139"/>
      <c r="E665" s="139"/>
      <c r="F665" s="139"/>
      <c r="G665" s="147"/>
      <c r="H665" s="147"/>
      <c r="I665" s="121"/>
      <c r="J665" s="121"/>
      <c r="K665" s="121"/>
      <c r="L665" s="14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</row>
    <row r="666" spans="1:27" ht="15.6">
      <c r="A666" s="121"/>
      <c r="B666" s="121"/>
      <c r="C666" s="121"/>
      <c r="D666" s="139"/>
      <c r="E666" s="139"/>
      <c r="F666" s="139"/>
      <c r="G666" s="147"/>
      <c r="H666" s="147"/>
      <c r="I666" s="121"/>
      <c r="J666" s="121"/>
      <c r="K666" s="121"/>
      <c r="L666" s="14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</row>
    <row r="667" spans="1:27" ht="15.6">
      <c r="A667" s="121"/>
      <c r="B667" s="121"/>
      <c r="C667" s="121"/>
      <c r="D667" s="139"/>
      <c r="E667" s="139"/>
      <c r="F667" s="139"/>
      <c r="G667" s="147"/>
      <c r="H667" s="147"/>
      <c r="I667" s="121"/>
      <c r="J667" s="121"/>
      <c r="K667" s="121"/>
      <c r="L667" s="14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</row>
    <row r="668" spans="1:27" ht="15.6">
      <c r="A668" s="121"/>
      <c r="B668" s="121"/>
      <c r="C668" s="121"/>
      <c r="D668" s="139"/>
      <c r="E668" s="139"/>
      <c r="F668" s="139"/>
      <c r="G668" s="147"/>
      <c r="H668" s="147"/>
      <c r="I668" s="121"/>
      <c r="J668" s="121"/>
      <c r="K668" s="121"/>
      <c r="L668" s="14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</row>
    <row r="669" spans="1:27" ht="15.6">
      <c r="A669" s="121"/>
      <c r="B669" s="121"/>
      <c r="C669" s="121"/>
      <c r="D669" s="139"/>
      <c r="E669" s="139"/>
      <c r="F669" s="139"/>
      <c r="G669" s="147"/>
      <c r="H669" s="147"/>
      <c r="I669" s="121"/>
      <c r="J669" s="121"/>
      <c r="K669" s="121"/>
      <c r="L669" s="14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</row>
    <row r="670" spans="1:27" ht="15.6">
      <c r="A670" s="121"/>
      <c r="B670" s="121"/>
      <c r="C670" s="121"/>
      <c r="D670" s="139"/>
      <c r="E670" s="139"/>
      <c r="F670" s="139"/>
      <c r="G670" s="147"/>
      <c r="H670" s="147"/>
      <c r="I670" s="121"/>
      <c r="J670" s="121"/>
      <c r="K670" s="121"/>
      <c r="L670" s="14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</row>
    <row r="671" spans="1:27" ht="15.6">
      <c r="A671" s="121"/>
      <c r="B671" s="121"/>
      <c r="C671" s="121"/>
      <c r="D671" s="139"/>
      <c r="E671" s="139"/>
      <c r="F671" s="139"/>
      <c r="G671" s="147"/>
      <c r="H671" s="147"/>
      <c r="I671" s="121"/>
      <c r="J671" s="121"/>
      <c r="K671" s="121"/>
      <c r="L671" s="14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</row>
    <row r="672" spans="1:27" ht="15.6">
      <c r="A672" s="121"/>
      <c r="B672" s="121"/>
      <c r="C672" s="121"/>
      <c r="D672" s="139"/>
      <c r="E672" s="139"/>
      <c r="F672" s="139"/>
      <c r="G672" s="147"/>
      <c r="H672" s="147"/>
      <c r="I672" s="121"/>
      <c r="J672" s="121"/>
      <c r="K672" s="121"/>
      <c r="L672" s="14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</row>
    <row r="673" spans="1:27" ht="15.6">
      <c r="A673" s="121"/>
      <c r="B673" s="121"/>
      <c r="C673" s="121"/>
      <c r="D673" s="139"/>
      <c r="E673" s="139"/>
      <c r="F673" s="139"/>
      <c r="G673" s="147"/>
      <c r="H673" s="147"/>
      <c r="I673" s="121"/>
      <c r="J673" s="121"/>
      <c r="K673" s="121"/>
      <c r="L673" s="14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</row>
    <row r="674" spans="1:27" ht="15.6">
      <c r="A674" s="121"/>
      <c r="B674" s="121"/>
      <c r="C674" s="121"/>
      <c r="D674" s="139"/>
      <c r="E674" s="139"/>
      <c r="F674" s="139"/>
      <c r="G674" s="147"/>
      <c r="H674" s="147"/>
      <c r="I674" s="121"/>
      <c r="J674" s="121"/>
      <c r="K674" s="121"/>
      <c r="L674" s="14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</row>
    <row r="675" spans="1:27" ht="15.6">
      <c r="A675" s="121"/>
      <c r="B675" s="121"/>
      <c r="C675" s="121"/>
      <c r="D675" s="139"/>
      <c r="E675" s="139"/>
      <c r="F675" s="139"/>
      <c r="G675" s="147"/>
      <c r="H675" s="147"/>
      <c r="I675" s="121"/>
      <c r="J675" s="121"/>
      <c r="K675" s="121"/>
      <c r="L675" s="14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</row>
    <row r="676" spans="1:27" ht="15.6">
      <c r="A676" s="121"/>
      <c r="B676" s="121"/>
      <c r="C676" s="121"/>
      <c r="D676" s="139"/>
      <c r="E676" s="139"/>
      <c r="F676" s="139"/>
      <c r="G676" s="147"/>
      <c r="H676" s="147"/>
      <c r="I676" s="121"/>
      <c r="J676" s="121"/>
      <c r="K676" s="121"/>
      <c r="L676" s="14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</row>
    <row r="677" spans="1:27" ht="15.6">
      <c r="A677" s="121"/>
      <c r="B677" s="121"/>
      <c r="C677" s="121"/>
      <c r="D677" s="139"/>
      <c r="E677" s="139"/>
      <c r="F677" s="139"/>
      <c r="G677" s="147"/>
      <c r="H677" s="147"/>
      <c r="I677" s="121"/>
      <c r="J677" s="121"/>
      <c r="K677" s="121"/>
      <c r="L677" s="14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</row>
    <row r="678" spans="1:27" ht="15.6">
      <c r="A678" s="121"/>
      <c r="B678" s="121"/>
      <c r="C678" s="121"/>
      <c r="D678" s="139"/>
      <c r="E678" s="139"/>
      <c r="F678" s="139"/>
      <c r="G678" s="147"/>
      <c r="H678" s="147"/>
      <c r="I678" s="121"/>
      <c r="J678" s="121"/>
      <c r="K678" s="121"/>
      <c r="L678" s="14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</row>
    <row r="679" spans="1:27" ht="15.6">
      <c r="A679" s="121"/>
      <c r="B679" s="121"/>
      <c r="C679" s="121"/>
      <c r="D679" s="139"/>
      <c r="E679" s="139"/>
      <c r="F679" s="139"/>
      <c r="G679" s="147"/>
      <c r="H679" s="147"/>
      <c r="I679" s="121"/>
      <c r="J679" s="121"/>
      <c r="K679" s="121"/>
      <c r="L679" s="14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</row>
    <row r="680" spans="1:27" ht="15.6">
      <c r="A680" s="121"/>
      <c r="B680" s="121"/>
      <c r="C680" s="121"/>
      <c r="D680" s="139"/>
      <c r="E680" s="139"/>
      <c r="F680" s="139"/>
      <c r="G680" s="147"/>
      <c r="H680" s="147"/>
      <c r="I680" s="121"/>
      <c r="J680" s="121"/>
      <c r="K680" s="121"/>
      <c r="L680" s="14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</row>
    <row r="681" spans="1:27" ht="15.6">
      <c r="A681" s="121"/>
      <c r="B681" s="121"/>
      <c r="C681" s="121"/>
      <c r="D681" s="139"/>
      <c r="E681" s="139"/>
      <c r="F681" s="139"/>
      <c r="G681" s="147"/>
      <c r="H681" s="147"/>
      <c r="I681" s="121"/>
      <c r="J681" s="121"/>
      <c r="K681" s="121"/>
      <c r="L681" s="14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</row>
    <row r="682" spans="1:27" ht="15.6">
      <c r="A682" s="121"/>
      <c r="B682" s="121"/>
      <c r="C682" s="121"/>
      <c r="D682" s="139"/>
      <c r="E682" s="139"/>
      <c r="F682" s="139"/>
      <c r="G682" s="147"/>
      <c r="H682" s="147"/>
      <c r="I682" s="121"/>
      <c r="J682" s="121"/>
      <c r="K682" s="121"/>
      <c r="L682" s="14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</row>
    <row r="683" spans="1:27" ht="15.6">
      <c r="A683" s="121"/>
      <c r="B683" s="121"/>
      <c r="C683" s="121"/>
      <c r="D683" s="139"/>
      <c r="E683" s="139"/>
      <c r="F683" s="139"/>
      <c r="G683" s="147"/>
      <c r="H683" s="147"/>
      <c r="I683" s="121"/>
      <c r="J683" s="121"/>
      <c r="K683" s="121"/>
      <c r="L683" s="14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</row>
    <row r="684" spans="1:27" ht="15.6">
      <c r="A684" s="121"/>
      <c r="B684" s="121"/>
      <c r="C684" s="121"/>
      <c r="D684" s="139"/>
      <c r="E684" s="139"/>
      <c r="F684" s="139"/>
      <c r="G684" s="147"/>
      <c r="H684" s="147"/>
      <c r="I684" s="121"/>
      <c r="J684" s="121"/>
      <c r="K684" s="121"/>
      <c r="L684" s="14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</row>
    <row r="685" spans="1:27" ht="15.6">
      <c r="A685" s="121"/>
      <c r="B685" s="121"/>
      <c r="C685" s="121"/>
      <c r="D685" s="139"/>
      <c r="E685" s="139"/>
      <c r="F685" s="139"/>
      <c r="G685" s="147"/>
      <c r="H685" s="147"/>
      <c r="I685" s="121"/>
      <c r="J685" s="121"/>
      <c r="K685" s="121"/>
      <c r="L685" s="14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</row>
    <row r="686" spans="1:27" ht="15.6">
      <c r="A686" s="121"/>
      <c r="B686" s="121"/>
      <c r="C686" s="121"/>
      <c r="D686" s="139"/>
      <c r="E686" s="139"/>
      <c r="F686" s="139"/>
      <c r="G686" s="147"/>
      <c r="H686" s="147"/>
      <c r="I686" s="121"/>
      <c r="J686" s="121"/>
      <c r="K686" s="121"/>
      <c r="L686" s="14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</row>
    <row r="687" spans="1:27" ht="15.6">
      <c r="A687" s="121"/>
      <c r="B687" s="121"/>
      <c r="C687" s="121"/>
      <c r="D687" s="139"/>
      <c r="E687" s="139"/>
      <c r="F687" s="139"/>
      <c r="G687" s="147"/>
      <c r="H687" s="147"/>
      <c r="I687" s="121"/>
      <c r="J687" s="121"/>
      <c r="K687" s="121"/>
      <c r="L687" s="14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</row>
    <row r="688" spans="1:27" ht="15.6">
      <c r="A688" s="121"/>
      <c r="B688" s="121"/>
      <c r="C688" s="121"/>
      <c r="D688" s="139"/>
      <c r="E688" s="139"/>
      <c r="F688" s="139"/>
      <c r="G688" s="147"/>
      <c r="H688" s="147"/>
      <c r="I688" s="121"/>
      <c r="J688" s="121"/>
      <c r="K688" s="121"/>
      <c r="L688" s="14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</row>
    <row r="689" spans="1:27" ht="15.6">
      <c r="A689" s="121"/>
      <c r="B689" s="121"/>
      <c r="C689" s="121"/>
      <c r="D689" s="139"/>
      <c r="E689" s="139"/>
      <c r="F689" s="139"/>
      <c r="G689" s="147"/>
      <c r="H689" s="147"/>
      <c r="I689" s="121"/>
      <c r="J689" s="121"/>
      <c r="K689" s="121"/>
      <c r="L689" s="14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</row>
    <row r="690" spans="1:27" ht="15.6">
      <c r="A690" s="121"/>
      <c r="B690" s="121"/>
      <c r="C690" s="121"/>
      <c r="D690" s="139"/>
      <c r="E690" s="139"/>
      <c r="F690" s="139"/>
      <c r="G690" s="147"/>
      <c r="H690" s="147"/>
      <c r="I690" s="121"/>
      <c r="J690" s="121"/>
      <c r="K690" s="121"/>
      <c r="L690" s="14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</row>
    <row r="691" spans="1:27" ht="15.6">
      <c r="A691" s="121"/>
      <c r="B691" s="121"/>
      <c r="C691" s="121"/>
      <c r="D691" s="139"/>
      <c r="E691" s="139"/>
      <c r="F691" s="139"/>
      <c r="G691" s="147"/>
      <c r="H691" s="147"/>
      <c r="I691" s="121"/>
      <c r="J691" s="121"/>
      <c r="K691" s="121"/>
      <c r="L691" s="14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</row>
    <row r="692" spans="1:27" ht="15.6">
      <c r="A692" s="121"/>
      <c r="B692" s="121"/>
      <c r="C692" s="121"/>
      <c r="D692" s="139"/>
      <c r="E692" s="139"/>
      <c r="F692" s="139"/>
      <c r="G692" s="147"/>
      <c r="H692" s="147"/>
      <c r="I692" s="121"/>
      <c r="J692" s="121"/>
      <c r="K692" s="121"/>
      <c r="L692" s="14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</row>
    <row r="693" spans="1:27" ht="15.6">
      <c r="A693" s="121"/>
      <c r="B693" s="121"/>
      <c r="C693" s="121"/>
      <c r="D693" s="139"/>
      <c r="E693" s="139"/>
      <c r="F693" s="139"/>
      <c r="G693" s="147"/>
      <c r="H693" s="147"/>
      <c r="I693" s="121"/>
      <c r="J693" s="121"/>
      <c r="K693" s="121"/>
      <c r="L693" s="14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</row>
    <row r="694" spans="1:27" ht="15.6">
      <c r="A694" s="121"/>
      <c r="B694" s="121"/>
      <c r="C694" s="121"/>
      <c r="D694" s="139"/>
      <c r="E694" s="139"/>
      <c r="F694" s="139"/>
      <c r="G694" s="147"/>
      <c r="H694" s="147"/>
      <c r="I694" s="121"/>
      <c r="J694" s="121"/>
      <c r="K694" s="121"/>
      <c r="L694" s="14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</row>
    <row r="695" spans="1:27" ht="15.6">
      <c r="A695" s="121"/>
      <c r="B695" s="121"/>
      <c r="C695" s="121"/>
      <c r="D695" s="139"/>
      <c r="E695" s="139"/>
      <c r="F695" s="139"/>
      <c r="G695" s="147"/>
      <c r="H695" s="147"/>
      <c r="I695" s="121"/>
      <c r="J695" s="121"/>
      <c r="K695" s="121"/>
      <c r="L695" s="14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</row>
    <row r="696" spans="1:27" ht="15.6">
      <c r="A696" s="121"/>
      <c r="B696" s="121"/>
      <c r="C696" s="121"/>
      <c r="D696" s="139"/>
      <c r="E696" s="139"/>
      <c r="F696" s="139"/>
      <c r="G696" s="147"/>
      <c r="H696" s="147"/>
      <c r="I696" s="121"/>
      <c r="J696" s="121"/>
      <c r="K696" s="121"/>
      <c r="L696" s="14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</row>
    <row r="697" spans="1:27" ht="15.6">
      <c r="A697" s="121"/>
      <c r="B697" s="121"/>
      <c r="C697" s="121"/>
      <c r="D697" s="139"/>
      <c r="E697" s="139"/>
      <c r="F697" s="139"/>
      <c r="G697" s="147"/>
      <c r="H697" s="147"/>
      <c r="I697" s="121"/>
      <c r="J697" s="121"/>
      <c r="K697" s="121"/>
      <c r="L697" s="14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</row>
    <row r="698" spans="1:27" ht="15.6">
      <c r="A698" s="121"/>
      <c r="B698" s="121"/>
      <c r="C698" s="121"/>
      <c r="D698" s="139"/>
      <c r="E698" s="139"/>
      <c r="F698" s="139"/>
      <c r="G698" s="147"/>
      <c r="H698" s="147"/>
      <c r="I698" s="121"/>
      <c r="J698" s="121"/>
      <c r="K698" s="121"/>
      <c r="L698" s="14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</row>
    <row r="699" spans="1:27" ht="15.6">
      <c r="A699" s="121"/>
      <c r="B699" s="121"/>
      <c r="C699" s="121"/>
      <c r="D699" s="139"/>
      <c r="E699" s="139"/>
      <c r="F699" s="139"/>
      <c r="G699" s="147"/>
      <c r="H699" s="147"/>
      <c r="I699" s="121"/>
      <c r="J699" s="121"/>
      <c r="K699" s="121"/>
      <c r="L699" s="14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</row>
    <row r="700" spans="1:27" ht="15.6">
      <c r="A700" s="121"/>
      <c r="B700" s="121"/>
      <c r="C700" s="121"/>
      <c r="D700" s="139"/>
      <c r="E700" s="139"/>
      <c r="F700" s="139"/>
      <c r="G700" s="147"/>
      <c r="H700" s="147"/>
      <c r="I700" s="121"/>
      <c r="J700" s="121"/>
      <c r="K700" s="121"/>
      <c r="L700" s="14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</row>
    <row r="701" spans="1:27" ht="15.6">
      <c r="A701" s="121"/>
      <c r="B701" s="121"/>
      <c r="C701" s="121"/>
      <c r="D701" s="139"/>
      <c r="E701" s="139"/>
      <c r="F701" s="139"/>
      <c r="G701" s="147"/>
      <c r="H701" s="147"/>
      <c r="I701" s="121"/>
      <c r="J701" s="121"/>
      <c r="K701" s="121"/>
      <c r="L701" s="14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</row>
    <row r="702" spans="1:27" ht="15.6">
      <c r="A702" s="121"/>
      <c r="B702" s="121"/>
      <c r="C702" s="121"/>
      <c r="D702" s="139"/>
      <c r="E702" s="139"/>
      <c r="F702" s="139"/>
      <c r="G702" s="147"/>
      <c r="H702" s="147"/>
      <c r="I702" s="121"/>
      <c r="J702" s="121"/>
      <c r="K702" s="121"/>
      <c r="L702" s="14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</row>
    <row r="703" spans="1:27" ht="15.6">
      <c r="A703" s="121"/>
      <c r="B703" s="121"/>
      <c r="C703" s="121"/>
      <c r="D703" s="139"/>
      <c r="E703" s="139"/>
      <c r="F703" s="139"/>
      <c r="G703" s="147"/>
      <c r="H703" s="147"/>
      <c r="I703" s="121"/>
      <c r="J703" s="121"/>
      <c r="K703" s="121"/>
      <c r="L703" s="14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</row>
    <row r="704" spans="1:27" ht="15.6">
      <c r="A704" s="121"/>
      <c r="B704" s="121"/>
      <c r="C704" s="121"/>
      <c r="D704" s="139"/>
      <c r="E704" s="139"/>
      <c r="F704" s="139"/>
      <c r="G704" s="147"/>
      <c r="H704" s="147"/>
      <c r="I704" s="121"/>
      <c r="J704" s="121"/>
      <c r="K704" s="121"/>
      <c r="L704" s="14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</row>
    <row r="705" spans="1:27" ht="15.6">
      <c r="A705" s="121"/>
      <c r="B705" s="121"/>
      <c r="C705" s="121"/>
      <c r="D705" s="139"/>
      <c r="E705" s="139"/>
      <c r="F705" s="139"/>
      <c r="G705" s="147"/>
      <c r="H705" s="147"/>
      <c r="I705" s="121"/>
      <c r="J705" s="121"/>
      <c r="K705" s="121"/>
      <c r="L705" s="14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</row>
    <row r="706" spans="1:27" ht="15.6">
      <c r="A706" s="121"/>
      <c r="B706" s="121"/>
      <c r="C706" s="121"/>
      <c r="D706" s="139"/>
      <c r="E706" s="139"/>
      <c r="F706" s="139"/>
      <c r="G706" s="147"/>
      <c r="H706" s="147"/>
      <c r="I706" s="121"/>
      <c r="J706" s="121"/>
      <c r="K706" s="121"/>
      <c r="L706" s="14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</row>
    <row r="707" spans="1:27" ht="15.6">
      <c r="A707" s="121"/>
      <c r="B707" s="121"/>
      <c r="C707" s="121"/>
      <c r="D707" s="139"/>
      <c r="E707" s="139"/>
      <c r="F707" s="139"/>
      <c r="G707" s="147"/>
      <c r="H707" s="147"/>
      <c r="I707" s="121"/>
      <c r="J707" s="121"/>
      <c r="K707" s="121"/>
      <c r="L707" s="14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</row>
    <row r="708" spans="1:27" ht="15.6">
      <c r="A708" s="121"/>
      <c r="B708" s="121"/>
      <c r="C708" s="121"/>
      <c r="D708" s="139"/>
      <c r="E708" s="139"/>
      <c r="F708" s="139"/>
      <c r="G708" s="147"/>
      <c r="H708" s="147"/>
      <c r="I708" s="121"/>
      <c r="J708" s="121"/>
      <c r="K708" s="121"/>
      <c r="L708" s="14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</row>
    <row r="709" spans="1:27" ht="15.6">
      <c r="A709" s="121"/>
      <c r="B709" s="121"/>
      <c r="C709" s="121"/>
      <c r="D709" s="139"/>
      <c r="E709" s="139"/>
      <c r="F709" s="139"/>
      <c r="G709" s="147"/>
      <c r="H709" s="147"/>
      <c r="I709" s="121"/>
      <c r="J709" s="121"/>
      <c r="K709" s="121"/>
      <c r="L709" s="14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</row>
    <row r="710" spans="1:27" ht="15.6">
      <c r="A710" s="121"/>
      <c r="B710" s="121"/>
      <c r="C710" s="121"/>
      <c r="D710" s="139"/>
      <c r="E710" s="139"/>
      <c r="F710" s="139"/>
      <c r="G710" s="147"/>
      <c r="H710" s="147"/>
      <c r="I710" s="121"/>
      <c r="J710" s="121"/>
      <c r="K710" s="121"/>
      <c r="L710" s="14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</row>
    <row r="711" spans="1:27" ht="15.6">
      <c r="A711" s="121"/>
      <c r="B711" s="121"/>
      <c r="C711" s="121"/>
      <c r="D711" s="139"/>
      <c r="E711" s="139"/>
      <c r="F711" s="139"/>
      <c r="G711" s="147"/>
      <c r="H711" s="147"/>
      <c r="I711" s="121"/>
      <c r="J711" s="121"/>
      <c r="K711" s="121"/>
      <c r="L711" s="14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</row>
    <row r="712" spans="1:27" ht="15.6">
      <c r="A712" s="121"/>
      <c r="B712" s="121"/>
      <c r="C712" s="121"/>
      <c r="D712" s="139"/>
      <c r="E712" s="139"/>
      <c r="F712" s="139"/>
      <c r="G712" s="147"/>
      <c r="H712" s="147"/>
      <c r="I712" s="121"/>
      <c r="J712" s="121"/>
      <c r="K712" s="121"/>
      <c r="L712" s="14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</row>
    <row r="713" spans="1:27" ht="15.6">
      <c r="A713" s="121"/>
      <c r="B713" s="121"/>
      <c r="C713" s="121"/>
      <c r="D713" s="139"/>
      <c r="E713" s="139"/>
      <c r="F713" s="139"/>
      <c r="G713" s="147"/>
      <c r="H713" s="147"/>
      <c r="I713" s="121"/>
      <c r="J713" s="121"/>
      <c r="K713" s="121"/>
      <c r="L713" s="14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</row>
    <row r="714" spans="1:27" ht="15.6">
      <c r="A714" s="121"/>
      <c r="B714" s="121"/>
      <c r="C714" s="121"/>
      <c r="D714" s="139"/>
      <c r="E714" s="139"/>
      <c r="F714" s="139"/>
      <c r="G714" s="147"/>
      <c r="H714" s="147"/>
      <c r="I714" s="121"/>
      <c r="J714" s="121"/>
      <c r="K714" s="121"/>
      <c r="L714" s="14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</row>
    <row r="715" spans="1:27" ht="15.6">
      <c r="A715" s="121"/>
      <c r="B715" s="121"/>
      <c r="C715" s="121"/>
      <c r="D715" s="139"/>
      <c r="E715" s="139"/>
      <c r="F715" s="139"/>
      <c r="G715" s="147"/>
      <c r="H715" s="147"/>
      <c r="I715" s="121"/>
      <c r="J715" s="121"/>
      <c r="K715" s="121"/>
      <c r="L715" s="14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</row>
    <row r="716" spans="1:27" ht="15.6">
      <c r="A716" s="121"/>
      <c r="B716" s="121"/>
      <c r="C716" s="121"/>
      <c r="D716" s="139"/>
      <c r="E716" s="139"/>
      <c r="F716" s="139"/>
      <c r="G716" s="147"/>
      <c r="H716" s="147"/>
      <c r="I716" s="121"/>
      <c r="J716" s="121"/>
      <c r="K716" s="121"/>
      <c r="L716" s="14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</row>
    <row r="717" spans="1:27" ht="15.6">
      <c r="A717" s="121"/>
      <c r="B717" s="121"/>
      <c r="C717" s="121"/>
      <c r="D717" s="139"/>
      <c r="E717" s="139"/>
      <c r="F717" s="139"/>
      <c r="G717" s="147"/>
      <c r="H717" s="147"/>
      <c r="I717" s="121"/>
      <c r="J717" s="121"/>
      <c r="K717" s="121"/>
      <c r="L717" s="14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</row>
    <row r="718" spans="1:27" ht="15.6">
      <c r="A718" s="121"/>
      <c r="B718" s="121"/>
      <c r="C718" s="121"/>
      <c r="D718" s="139"/>
      <c r="E718" s="139"/>
      <c r="F718" s="139"/>
      <c r="G718" s="147"/>
      <c r="H718" s="147"/>
      <c r="I718" s="121"/>
      <c r="J718" s="121"/>
      <c r="K718" s="121"/>
      <c r="L718" s="14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</row>
    <row r="719" spans="1:27" ht="15.6">
      <c r="A719" s="121"/>
      <c r="B719" s="121"/>
      <c r="C719" s="121"/>
      <c r="D719" s="139"/>
      <c r="E719" s="139"/>
      <c r="F719" s="139"/>
      <c r="G719" s="147"/>
      <c r="H719" s="147"/>
      <c r="I719" s="121"/>
      <c r="J719" s="121"/>
      <c r="K719" s="121"/>
      <c r="L719" s="14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</row>
    <row r="720" spans="1:27" ht="15.6">
      <c r="A720" s="121"/>
      <c r="B720" s="121"/>
      <c r="C720" s="121"/>
      <c r="D720" s="139"/>
      <c r="E720" s="139"/>
      <c r="F720" s="139"/>
      <c r="G720" s="147"/>
      <c r="H720" s="147"/>
      <c r="I720" s="121"/>
      <c r="J720" s="121"/>
      <c r="K720" s="121"/>
      <c r="L720" s="14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</row>
    <row r="721" spans="1:27" ht="15.6">
      <c r="A721" s="121"/>
      <c r="B721" s="121"/>
      <c r="C721" s="121"/>
      <c r="D721" s="139"/>
      <c r="E721" s="139"/>
      <c r="F721" s="139"/>
      <c r="G721" s="147"/>
      <c r="H721" s="147"/>
      <c r="I721" s="121"/>
      <c r="J721" s="121"/>
      <c r="K721" s="121"/>
      <c r="L721" s="14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</row>
    <row r="722" spans="1:27" ht="15.6">
      <c r="A722" s="121"/>
      <c r="B722" s="121"/>
      <c r="C722" s="121"/>
      <c r="D722" s="139"/>
      <c r="E722" s="139"/>
      <c r="F722" s="139"/>
      <c r="G722" s="147"/>
      <c r="H722" s="147"/>
      <c r="I722" s="121"/>
      <c r="J722" s="121"/>
      <c r="K722" s="121"/>
      <c r="L722" s="14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</row>
    <row r="723" spans="1:27" ht="15.6">
      <c r="A723" s="121"/>
      <c r="B723" s="121"/>
      <c r="C723" s="121"/>
      <c r="D723" s="139"/>
      <c r="E723" s="139"/>
      <c r="F723" s="139"/>
      <c r="G723" s="147"/>
      <c r="H723" s="147"/>
      <c r="I723" s="121"/>
      <c r="J723" s="121"/>
      <c r="K723" s="121"/>
      <c r="L723" s="14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</row>
    <row r="724" spans="1:27" ht="15.6">
      <c r="A724" s="121"/>
      <c r="B724" s="121"/>
      <c r="C724" s="121"/>
      <c r="D724" s="139"/>
      <c r="E724" s="139"/>
      <c r="F724" s="139"/>
      <c r="G724" s="147"/>
      <c r="H724" s="147"/>
      <c r="I724" s="121"/>
      <c r="J724" s="121"/>
      <c r="K724" s="121"/>
      <c r="L724" s="14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</row>
    <row r="725" spans="1:27" ht="15.6">
      <c r="A725" s="121"/>
      <c r="B725" s="121"/>
      <c r="C725" s="121"/>
      <c r="D725" s="139"/>
      <c r="E725" s="139"/>
      <c r="F725" s="139"/>
      <c r="G725" s="147"/>
      <c r="H725" s="147"/>
      <c r="I725" s="121"/>
      <c r="J725" s="121"/>
      <c r="K725" s="121"/>
      <c r="L725" s="14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</row>
    <row r="726" spans="1:27" ht="15.6">
      <c r="A726" s="121"/>
      <c r="B726" s="121"/>
      <c r="C726" s="121"/>
      <c r="D726" s="139"/>
      <c r="E726" s="139"/>
      <c r="F726" s="139"/>
      <c r="G726" s="147"/>
      <c r="H726" s="147"/>
      <c r="I726" s="121"/>
      <c r="J726" s="121"/>
      <c r="K726" s="121"/>
      <c r="L726" s="14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</row>
    <row r="727" spans="1:27" ht="15.6">
      <c r="A727" s="121"/>
      <c r="B727" s="121"/>
      <c r="C727" s="121"/>
      <c r="D727" s="139"/>
      <c r="E727" s="139"/>
      <c r="F727" s="139"/>
      <c r="G727" s="147"/>
      <c r="H727" s="147"/>
      <c r="I727" s="121"/>
      <c r="J727" s="121"/>
      <c r="K727" s="121"/>
      <c r="L727" s="14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</row>
    <row r="728" spans="1:27" ht="15.6">
      <c r="A728" s="121"/>
      <c r="B728" s="121"/>
      <c r="C728" s="121"/>
      <c r="D728" s="139"/>
      <c r="E728" s="139"/>
      <c r="F728" s="139"/>
      <c r="G728" s="147"/>
      <c r="H728" s="147"/>
      <c r="I728" s="121"/>
      <c r="J728" s="121"/>
      <c r="K728" s="121"/>
      <c r="L728" s="14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</row>
    <row r="729" spans="1:27" ht="15.6">
      <c r="A729" s="121"/>
      <c r="B729" s="121"/>
      <c r="C729" s="121"/>
      <c r="D729" s="139"/>
      <c r="E729" s="139"/>
      <c r="F729" s="139"/>
      <c r="G729" s="147"/>
      <c r="H729" s="147"/>
      <c r="I729" s="121"/>
      <c r="J729" s="121"/>
      <c r="K729" s="121"/>
      <c r="L729" s="14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</row>
    <row r="730" spans="1:27" ht="15.6">
      <c r="A730" s="121"/>
      <c r="B730" s="121"/>
      <c r="C730" s="121"/>
      <c r="D730" s="139"/>
      <c r="E730" s="139"/>
      <c r="F730" s="139"/>
      <c r="G730" s="147"/>
      <c r="H730" s="147"/>
      <c r="I730" s="121"/>
      <c r="J730" s="121"/>
      <c r="K730" s="121"/>
      <c r="L730" s="14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</row>
    <row r="731" spans="1:27" ht="15.6">
      <c r="A731" s="121"/>
      <c r="B731" s="121"/>
      <c r="C731" s="121"/>
      <c r="D731" s="139"/>
      <c r="E731" s="139"/>
      <c r="F731" s="139"/>
      <c r="G731" s="147"/>
      <c r="H731" s="147"/>
      <c r="I731" s="121"/>
      <c r="J731" s="121"/>
      <c r="K731" s="121"/>
      <c r="L731" s="14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</row>
    <row r="732" spans="1:27" ht="15.6">
      <c r="A732" s="121"/>
      <c r="B732" s="121"/>
      <c r="C732" s="121"/>
      <c r="D732" s="139"/>
      <c r="E732" s="139"/>
      <c r="F732" s="139"/>
      <c r="G732" s="147"/>
      <c r="H732" s="147"/>
      <c r="I732" s="121"/>
      <c r="J732" s="121"/>
      <c r="K732" s="121"/>
      <c r="L732" s="14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</row>
    <row r="733" spans="1:27" ht="15.6">
      <c r="A733" s="121"/>
      <c r="B733" s="121"/>
      <c r="C733" s="121"/>
      <c r="D733" s="139"/>
      <c r="E733" s="139"/>
      <c r="F733" s="139"/>
      <c r="G733" s="147"/>
      <c r="H733" s="147"/>
      <c r="I733" s="121"/>
      <c r="J733" s="121"/>
      <c r="K733" s="121"/>
      <c r="L733" s="14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</row>
    <row r="734" spans="1:27" ht="15.6">
      <c r="A734" s="121"/>
      <c r="B734" s="121"/>
      <c r="C734" s="121"/>
      <c r="D734" s="139"/>
      <c r="E734" s="139"/>
      <c r="F734" s="139"/>
      <c r="G734" s="147"/>
      <c r="H734" s="147"/>
      <c r="I734" s="121"/>
      <c r="J734" s="121"/>
      <c r="K734" s="121"/>
      <c r="L734" s="14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</row>
    <row r="735" spans="1:27" ht="15.6">
      <c r="A735" s="121"/>
      <c r="B735" s="121"/>
      <c r="C735" s="121"/>
      <c r="D735" s="139"/>
      <c r="E735" s="139"/>
      <c r="F735" s="139"/>
      <c r="G735" s="147"/>
      <c r="H735" s="147"/>
      <c r="I735" s="121"/>
      <c r="J735" s="121"/>
      <c r="K735" s="121"/>
      <c r="L735" s="14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</row>
    <row r="736" spans="1:27" ht="15.6">
      <c r="A736" s="121"/>
      <c r="B736" s="121"/>
      <c r="C736" s="121"/>
      <c r="D736" s="139"/>
      <c r="E736" s="139"/>
      <c r="F736" s="139"/>
      <c r="G736" s="147"/>
      <c r="H736" s="147"/>
      <c r="I736" s="121"/>
      <c r="J736" s="121"/>
      <c r="K736" s="121"/>
      <c r="L736" s="14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</row>
    <row r="737" spans="1:27" ht="15.6">
      <c r="A737" s="121"/>
      <c r="B737" s="121"/>
      <c r="C737" s="121"/>
      <c r="D737" s="139"/>
      <c r="E737" s="139"/>
      <c r="F737" s="139"/>
      <c r="G737" s="147"/>
      <c r="H737" s="147"/>
      <c r="I737" s="121"/>
      <c r="J737" s="121"/>
      <c r="K737" s="121"/>
      <c r="L737" s="14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</row>
    <row r="738" spans="1:27" ht="15.6">
      <c r="A738" s="121"/>
      <c r="B738" s="121"/>
      <c r="C738" s="121"/>
      <c r="D738" s="139"/>
      <c r="E738" s="139"/>
      <c r="F738" s="139"/>
      <c r="G738" s="147"/>
      <c r="H738" s="147"/>
      <c r="I738" s="121"/>
      <c r="J738" s="121"/>
      <c r="K738" s="121"/>
      <c r="L738" s="14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</row>
    <row r="739" spans="1:27" ht="15.6">
      <c r="A739" s="121"/>
      <c r="B739" s="121"/>
      <c r="C739" s="121"/>
      <c r="D739" s="139"/>
      <c r="E739" s="139"/>
      <c r="F739" s="139"/>
      <c r="G739" s="147"/>
      <c r="H739" s="147"/>
      <c r="I739" s="121"/>
      <c r="J739" s="121"/>
      <c r="K739" s="121"/>
      <c r="L739" s="14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</row>
    <row r="740" spans="1:27" ht="15.6">
      <c r="A740" s="121"/>
      <c r="B740" s="121"/>
      <c r="C740" s="121"/>
      <c r="D740" s="139"/>
      <c r="E740" s="139"/>
      <c r="F740" s="139"/>
      <c r="G740" s="147"/>
      <c r="H740" s="147"/>
      <c r="I740" s="121"/>
      <c r="J740" s="121"/>
      <c r="K740" s="121"/>
      <c r="L740" s="14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</row>
    <row r="741" spans="1:27" ht="15.6">
      <c r="A741" s="121"/>
      <c r="B741" s="121"/>
      <c r="C741" s="121"/>
      <c r="D741" s="139"/>
      <c r="E741" s="139"/>
      <c r="F741" s="139"/>
      <c r="G741" s="147"/>
      <c r="H741" s="147"/>
      <c r="I741" s="121"/>
      <c r="J741" s="121"/>
      <c r="K741" s="121"/>
      <c r="L741" s="14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</row>
    <row r="742" spans="1:27" ht="15.6">
      <c r="A742" s="121"/>
      <c r="B742" s="121"/>
      <c r="C742" s="121"/>
      <c r="D742" s="139"/>
      <c r="E742" s="139"/>
      <c r="F742" s="139"/>
      <c r="G742" s="147"/>
      <c r="H742" s="147"/>
      <c r="I742" s="121"/>
      <c r="J742" s="121"/>
      <c r="K742" s="121"/>
      <c r="L742" s="14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</row>
    <row r="743" spans="1:27" ht="15.6">
      <c r="A743" s="121"/>
      <c r="B743" s="121"/>
      <c r="C743" s="121"/>
      <c r="D743" s="139"/>
      <c r="E743" s="139"/>
      <c r="F743" s="139"/>
      <c r="G743" s="147"/>
      <c r="H743" s="147"/>
      <c r="I743" s="121"/>
      <c r="J743" s="121"/>
      <c r="K743" s="121"/>
      <c r="L743" s="14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</row>
    <row r="744" spans="1:27" ht="15.6">
      <c r="A744" s="121"/>
      <c r="B744" s="121"/>
      <c r="C744" s="121"/>
      <c r="D744" s="139"/>
      <c r="E744" s="139"/>
      <c r="F744" s="139"/>
      <c r="G744" s="147"/>
      <c r="H744" s="147"/>
      <c r="I744" s="121"/>
      <c r="J744" s="121"/>
      <c r="K744" s="121"/>
      <c r="L744" s="14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</row>
    <row r="745" spans="1:27" ht="15.6">
      <c r="A745" s="121"/>
      <c r="B745" s="121"/>
      <c r="C745" s="121"/>
      <c r="D745" s="139"/>
      <c r="E745" s="139"/>
      <c r="F745" s="139"/>
      <c r="G745" s="147"/>
      <c r="H745" s="147"/>
      <c r="I745" s="121"/>
      <c r="J745" s="121"/>
      <c r="K745" s="121"/>
      <c r="L745" s="14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</row>
    <row r="746" spans="1:27" ht="15.6">
      <c r="A746" s="121"/>
      <c r="B746" s="121"/>
      <c r="C746" s="121"/>
      <c r="D746" s="139"/>
      <c r="E746" s="139"/>
      <c r="F746" s="139"/>
      <c r="G746" s="147"/>
      <c r="H746" s="147"/>
      <c r="I746" s="121"/>
      <c r="J746" s="121"/>
      <c r="K746" s="121"/>
      <c r="L746" s="14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</row>
    <row r="747" spans="1:27" ht="15.6">
      <c r="A747" s="121"/>
      <c r="B747" s="121"/>
      <c r="C747" s="121"/>
      <c r="D747" s="139"/>
      <c r="E747" s="139"/>
      <c r="F747" s="139"/>
      <c r="G747" s="147"/>
      <c r="H747" s="147"/>
      <c r="I747" s="121"/>
      <c r="J747" s="121"/>
      <c r="K747" s="121"/>
      <c r="L747" s="14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</row>
    <row r="748" spans="1:27" ht="15.6">
      <c r="A748" s="121"/>
      <c r="B748" s="121"/>
      <c r="C748" s="121"/>
      <c r="D748" s="139"/>
      <c r="E748" s="139"/>
      <c r="F748" s="139"/>
      <c r="G748" s="147"/>
      <c r="H748" s="147"/>
      <c r="I748" s="121"/>
      <c r="J748" s="121"/>
      <c r="K748" s="121"/>
      <c r="L748" s="14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</row>
    <row r="749" spans="1:27" ht="15.6">
      <c r="A749" s="121"/>
      <c r="B749" s="121"/>
      <c r="C749" s="121"/>
      <c r="D749" s="139"/>
      <c r="E749" s="139"/>
      <c r="F749" s="139"/>
      <c r="G749" s="147"/>
      <c r="H749" s="147"/>
      <c r="I749" s="121"/>
      <c r="J749" s="121"/>
      <c r="K749" s="121"/>
      <c r="L749" s="14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</row>
    <row r="750" spans="1:27" ht="15.6">
      <c r="A750" s="121"/>
      <c r="B750" s="121"/>
      <c r="C750" s="121"/>
      <c r="D750" s="139"/>
      <c r="E750" s="139"/>
      <c r="F750" s="139"/>
      <c r="G750" s="147"/>
      <c r="H750" s="147"/>
      <c r="I750" s="121"/>
      <c r="J750" s="121"/>
      <c r="K750" s="121"/>
      <c r="L750" s="14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</row>
    <row r="751" spans="1:27" ht="15.6">
      <c r="A751" s="121"/>
      <c r="B751" s="121"/>
      <c r="C751" s="121"/>
      <c r="D751" s="139"/>
      <c r="E751" s="139"/>
      <c r="F751" s="139"/>
      <c r="G751" s="147"/>
      <c r="H751" s="147"/>
      <c r="I751" s="121"/>
      <c r="J751" s="121"/>
      <c r="K751" s="121"/>
      <c r="L751" s="14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</row>
    <row r="752" spans="1:27" ht="15.6">
      <c r="A752" s="121"/>
      <c r="B752" s="121"/>
      <c r="C752" s="121"/>
      <c r="D752" s="139"/>
      <c r="E752" s="139"/>
      <c r="F752" s="139"/>
      <c r="G752" s="147"/>
      <c r="H752" s="147"/>
      <c r="I752" s="121"/>
      <c r="J752" s="121"/>
      <c r="K752" s="121"/>
      <c r="L752" s="14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</row>
    <row r="753" spans="1:27" ht="15.6">
      <c r="A753" s="121"/>
      <c r="B753" s="121"/>
      <c r="C753" s="121"/>
      <c r="D753" s="139"/>
      <c r="E753" s="139"/>
      <c r="F753" s="139"/>
      <c r="G753" s="147"/>
      <c r="H753" s="147"/>
      <c r="I753" s="121"/>
      <c r="J753" s="121"/>
      <c r="K753" s="121"/>
      <c r="L753" s="14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</row>
    <row r="754" spans="1:27" ht="15.6">
      <c r="A754" s="121"/>
      <c r="B754" s="121"/>
      <c r="C754" s="121"/>
      <c r="D754" s="139"/>
      <c r="E754" s="139"/>
      <c r="F754" s="139"/>
      <c r="G754" s="147"/>
      <c r="H754" s="147"/>
      <c r="I754" s="121"/>
      <c r="J754" s="121"/>
      <c r="K754" s="121"/>
      <c r="L754" s="14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</row>
    <row r="755" spans="1:27" ht="15.6">
      <c r="A755" s="121"/>
      <c r="B755" s="121"/>
      <c r="C755" s="121"/>
      <c r="D755" s="139"/>
      <c r="E755" s="139"/>
      <c r="F755" s="139"/>
      <c r="G755" s="147"/>
      <c r="H755" s="147"/>
      <c r="I755" s="121"/>
      <c r="J755" s="121"/>
      <c r="K755" s="121"/>
      <c r="L755" s="14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</row>
    <row r="756" spans="1:27" ht="15.6">
      <c r="A756" s="121"/>
      <c r="B756" s="121"/>
      <c r="C756" s="121"/>
      <c r="D756" s="139"/>
      <c r="E756" s="139"/>
      <c r="F756" s="139"/>
      <c r="G756" s="147"/>
      <c r="H756" s="147"/>
      <c r="I756" s="121"/>
      <c r="J756" s="121"/>
      <c r="K756" s="121"/>
      <c r="L756" s="14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</row>
    <row r="757" spans="1:27" ht="15.6">
      <c r="A757" s="121"/>
      <c r="B757" s="121"/>
      <c r="C757" s="121"/>
      <c r="D757" s="139"/>
      <c r="E757" s="139"/>
      <c r="F757" s="139"/>
      <c r="G757" s="147"/>
      <c r="H757" s="147"/>
      <c r="I757" s="121"/>
      <c r="J757" s="121"/>
      <c r="K757" s="121"/>
      <c r="L757" s="14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</row>
    <row r="758" spans="1:27" ht="15.6">
      <c r="A758" s="121"/>
      <c r="B758" s="121"/>
      <c r="C758" s="121"/>
      <c r="D758" s="139"/>
      <c r="E758" s="139"/>
      <c r="F758" s="139"/>
      <c r="G758" s="147"/>
      <c r="H758" s="147"/>
      <c r="I758" s="121"/>
      <c r="J758" s="121"/>
      <c r="K758" s="121"/>
      <c r="L758" s="14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</row>
    <row r="759" spans="1:27" ht="15.6">
      <c r="A759" s="121"/>
      <c r="B759" s="121"/>
      <c r="C759" s="121"/>
      <c r="D759" s="139"/>
      <c r="E759" s="139"/>
      <c r="F759" s="139"/>
      <c r="G759" s="147"/>
      <c r="H759" s="147"/>
      <c r="I759" s="121"/>
      <c r="J759" s="121"/>
      <c r="K759" s="121"/>
      <c r="L759" s="14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</row>
    <row r="760" spans="1:27" ht="15.6">
      <c r="A760" s="121"/>
      <c r="B760" s="121"/>
      <c r="C760" s="121"/>
      <c r="D760" s="139"/>
      <c r="E760" s="139"/>
      <c r="F760" s="139"/>
      <c r="G760" s="147"/>
      <c r="H760" s="147"/>
      <c r="I760" s="121"/>
      <c r="J760" s="121"/>
      <c r="K760" s="121"/>
      <c r="L760" s="14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</row>
    <row r="761" spans="1:27" ht="15.6">
      <c r="A761" s="121"/>
      <c r="B761" s="121"/>
      <c r="C761" s="121"/>
      <c r="D761" s="139"/>
      <c r="E761" s="139"/>
      <c r="F761" s="139"/>
      <c r="G761" s="147"/>
      <c r="H761" s="147"/>
      <c r="I761" s="121"/>
      <c r="J761" s="121"/>
      <c r="K761" s="121"/>
      <c r="L761" s="14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</row>
    <row r="762" spans="1:27" ht="15.6">
      <c r="A762" s="121"/>
      <c r="B762" s="121"/>
      <c r="C762" s="121"/>
      <c r="D762" s="139"/>
      <c r="E762" s="139"/>
      <c r="F762" s="139"/>
      <c r="G762" s="147"/>
      <c r="H762" s="147"/>
      <c r="I762" s="121"/>
      <c r="J762" s="121"/>
      <c r="K762" s="121"/>
      <c r="L762" s="14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</row>
    <row r="763" spans="1:27" ht="15.6">
      <c r="A763" s="121"/>
      <c r="B763" s="121"/>
      <c r="C763" s="121"/>
      <c r="D763" s="139"/>
      <c r="E763" s="139"/>
      <c r="F763" s="139"/>
      <c r="G763" s="147"/>
      <c r="H763" s="147"/>
      <c r="I763" s="121"/>
      <c r="J763" s="121"/>
      <c r="K763" s="121"/>
      <c r="L763" s="14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</row>
    <row r="764" spans="1:27" ht="15.6">
      <c r="A764" s="121"/>
      <c r="B764" s="121"/>
      <c r="C764" s="121"/>
      <c r="D764" s="139"/>
      <c r="E764" s="139"/>
      <c r="F764" s="139"/>
      <c r="G764" s="147"/>
      <c r="H764" s="147"/>
      <c r="I764" s="121"/>
      <c r="J764" s="121"/>
      <c r="K764" s="121"/>
      <c r="L764" s="14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</row>
    <row r="765" spans="1:27" ht="15.6">
      <c r="A765" s="121"/>
      <c r="B765" s="121"/>
      <c r="C765" s="121"/>
      <c r="D765" s="139"/>
      <c r="E765" s="139"/>
      <c r="F765" s="139"/>
      <c r="G765" s="147"/>
      <c r="H765" s="147"/>
      <c r="I765" s="121"/>
      <c r="J765" s="121"/>
      <c r="K765" s="121"/>
      <c r="L765" s="14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</row>
    <row r="766" spans="1:27" ht="15.6">
      <c r="A766" s="121"/>
      <c r="B766" s="121"/>
      <c r="C766" s="121"/>
      <c r="D766" s="139"/>
      <c r="E766" s="139"/>
      <c r="F766" s="139"/>
      <c r="G766" s="147"/>
      <c r="H766" s="147"/>
      <c r="I766" s="121"/>
      <c r="J766" s="121"/>
      <c r="K766" s="121"/>
      <c r="L766" s="14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</row>
    <row r="767" spans="1:27" ht="15.6">
      <c r="A767" s="121"/>
      <c r="B767" s="121"/>
      <c r="C767" s="121"/>
      <c r="D767" s="139"/>
      <c r="E767" s="139"/>
      <c r="F767" s="139"/>
      <c r="G767" s="147"/>
      <c r="H767" s="147"/>
      <c r="I767" s="121"/>
      <c r="J767" s="121"/>
      <c r="K767" s="121"/>
      <c r="L767" s="14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</row>
    <row r="768" spans="1:27" ht="15.6">
      <c r="A768" s="121"/>
      <c r="B768" s="121"/>
      <c r="C768" s="121"/>
      <c r="D768" s="139"/>
      <c r="E768" s="139"/>
      <c r="F768" s="139"/>
      <c r="G768" s="147"/>
      <c r="H768" s="147"/>
      <c r="I768" s="121"/>
      <c r="J768" s="121"/>
      <c r="K768" s="121"/>
      <c r="L768" s="14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</row>
    <row r="769" spans="1:27" ht="15.6">
      <c r="A769" s="121"/>
      <c r="B769" s="121"/>
      <c r="C769" s="121"/>
      <c r="D769" s="139"/>
      <c r="E769" s="139"/>
      <c r="F769" s="139"/>
      <c r="G769" s="147"/>
      <c r="H769" s="147"/>
      <c r="I769" s="121"/>
      <c r="J769" s="121"/>
      <c r="K769" s="121"/>
      <c r="L769" s="14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</row>
    <row r="770" spans="1:27" ht="15.6">
      <c r="A770" s="121"/>
      <c r="B770" s="121"/>
      <c r="C770" s="121"/>
      <c r="D770" s="139"/>
      <c r="E770" s="139"/>
      <c r="F770" s="139"/>
      <c r="G770" s="147"/>
      <c r="H770" s="147"/>
      <c r="I770" s="121"/>
      <c r="J770" s="121"/>
      <c r="K770" s="121"/>
      <c r="L770" s="14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</row>
    <row r="771" spans="1:27" ht="15.6">
      <c r="A771" s="121"/>
      <c r="B771" s="121"/>
      <c r="C771" s="121"/>
      <c r="D771" s="139"/>
      <c r="E771" s="139"/>
      <c r="F771" s="139"/>
      <c r="G771" s="147"/>
      <c r="H771" s="147"/>
      <c r="I771" s="121"/>
      <c r="J771" s="121"/>
      <c r="K771" s="121"/>
      <c r="L771" s="14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</row>
    <row r="772" spans="1:27" ht="15.6">
      <c r="A772" s="121"/>
      <c r="B772" s="121"/>
      <c r="C772" s="121"/>
      <c r="D772" s="139"/>
      <c r="E772" s="139"/>
      <c r="F772" s="139"/>
      <c r="G772" s="147"/>
      <c r="H772" s="147"/>
      <c r="I772" s="121"/>
      <c r="J772" s="121"/>
      <c r="K772" s="121"/>
      <c r="L772" s="14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</row>
    <row r="773" spans="1:27" ht="15.6">
      <c r="A773" s="121"/>
      <c r="B773" s="121"/>
      <c r="C773" s="121"/>
      <c r="D773" s="139"/>
      <c r="E773" s="139"/>
      <c r="F773" s="139"/>
      <c r="G773" s="147"/>
      <c r="H773" s="147"/>
      <c r="I773" s="121"/>
      <c r="J773" s="121"/>
      <c r="K773" s="121"/>
      <c r="L773" s="14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</row>
    <row r="774" spans="1:27" ht="15.6">
      <c r="A774" s="121"/>
      <c r="B774" s="121"/>
      <c r="C774" s="121"/>
      <c r="D774" s="139"/>
      <c r="E774" s="139"/>
      <c r="F774" s="139"/>
      <c r="G774" s="147"/>
      <c r="H774" s="147"/>
      <c r="I774" s="121"/>
      <c r="J774" s="121"/>
      <c r="K774" s="121"/>
      <c r="L774" s="14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</row>
    <row r="775" spans="1:27" ht="15.6">
      <c r="A775" s="121"/>
      <c r="B775" s="121"/>
      <c r="C775" s="121"/>
      <c r="D775" s="139"/>
      <c r="E775" s="139"/>
      <c r="F775" s="139"/>
      <c r="G775" s="147"/>
      <c r="H775" s="147"/>
      <c r="I775" s="121"/>
      <c r="J775" s="121"/>
      <c r="K775" s="121"/>
      <c r="L775" s="14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</row>
    <row r="776" spans="1:27" ht="15.6">
      <c r="A776" s="121"/>
      <c r="B776" s="121"/>
      <c r="C776" s="121"/>
      <c r="D776" s="139"/>
      <c r="E776" s="139"/>
      <c r="F776" s="139"/>
      <c r="G776" s="147"/>
      <c r="H776" s="147"/>
      <c r="I776" s="121"/>
      <c r="J776" s="121"/>
      <c r="K776" s="121"/>
      <c r="L776" s="14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</row>
    <row r="777" spans="1:27" ht="15.6">
      <c r="A777" s="121"/>
      <c r="B777" s="121"/>
      <c r="C777" s="121"/>
      <c r="D777" s="139"/>
      <c r="E777" s="139"/>
      <c r="F777" s="139"/>
      <c r="G777" s="147"/>
      <c r="H777" s="147"/>
      <c r="I777" s="121"/>
      <c r="J777" s="121"/>
      <c r="K777" s="121"/>
      <c r="L777" s="14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</row>
    <row r="778" spans="1:27" ht="15.6">
      <c r="A778" s="121"/>
      <c r="B778" s="121"/>
      <c r="C778" s="121"/>
      <c r="D778" s="139"/>
      <c r="E778" s="139"/>
      <c r="F778" s="139"/>
      <c r="G778" s="147"/>
      <c r="H778" s="147"/>
      <c r="I778" s="121"/>
      <c r="J778" s="121"/>
      <c r="K778" s="121"/>
      <c r="L778" s="14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</row>
    <row r="779" spans="1:27" ht="15.6">
      <c r="A779" s="121"/>
      <c r="B779" s="121"/>
      <c r="C779" s="121"/>
      <c r="D779" s="139"/>
      <c r="E779" s="139"/>
      <c r="F779" s="139"/>
      <c r="G779" s="147"/>
      <c r="H779" s="147"/>
      <c r="I779" s="121"/>
      <c r="J779" s="121"/>
      <c r="K779" s="121"/>
      <c r="L779" s="14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</row>
    <row r="780" spans="1:27" ht="15.6">
      <c r="A780" s="121"/>
      <c r="B780" s="121"/>
      <c r="C780" s="121"/>
      <c r="D780" s="139"/>
      <c r="E780" s="139"/>
      <c r="F780" s="139"/>
      <c r="G780" s="147"/>
      <c r="H780" s="147"/>
      <c r="I780" s="121"/>
      <c r="J780" s="121"/>
      <c r="K780" s="121"/>
      <c r="L780" s="14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</row>
    <row r="781" spans="1:27" ht="15.6">
      <c r="A781" s="121"/>
      <c r="B781" s="121"/>
      <c r="C781" s="121"/>
      <c r="D781" s="139"/>
      <c r="E781" s="139"/>
      <c r="F781" s="139"/>
      <c r="G781" s="147"/>
      <c r="H781" s="147"/>
      <c r="I781" s="121"/>
      <c r="J781" s="121"/>
      <c r="K781" s="121"/>
      <c r="L781" s="14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</row>
    <row r="782" spans="1:27" ht="15.6">
      <c r="A782" s="121"/>
      <c r="B782" s="121"/>
      <c r="C782" s="121"/>
      <c r="D782" s="139"/>
      <c r="E782" s="139"/>
      <c r="F782" s="139"/>
      <c r="G782" s="147"/>
      <c r="H782" s="147"/>
      <c r="I782" s="121"/>
      <c r="J782" s="121"/>
      <c r="K782" s="121"/>
      <c r="L782" s="14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</row>
    <row r="783" spans="1:27" ht="15.6">
      <c r="A783" s="121"/>
      <c r="B783" s="121"/>
      <c r="C783" s="121"/>
      <c r="D783" s="139"/>
      <c r="E783" s="139"/>
      <c r="F783" s="139"/>
      <c r="G783" s="147"/>
      <c r="H783" s="147"/>
      <c r="I783" s="121"/>
      <c r="J783" s="121"/>
      <c r="K783" s="121"/>
      <c r="L783" s="14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</row>
    <row r="784" spans="1:27" ht="15.6">
      <c r="A784" s="121"/>
      <c r="B784" s="121"/>
      <c r="C784" s="121"/>
      <c r="D784" s="139"/>
      <c r="E784" s="139"/>
      <c r="F784" s="139"/>
      <c r="G784" s="147"/>
      <c r="H784" s="147"/>
      <c r="I784" s="121"/>
      <c r="J784" s="121"/>
      <c r="K784" s="121"/>
      <c r="L784" s="14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</row>
    <row r="785" spans="1:27" ht="15.6">
      <c r="A785" s="121"/>
      <c r="B785" s="121"/>
      <c r="C785" s="121"/>
      <c r="D785" s="139"/>
      <c r="E785" s="139"/>
      <c r="F785" s="139"/>
      <c r="G785" s="147"/>
      <c r="H785" s="147"/>
      <c r="I785" s="121"/>
      <c r="J785" s="121"/>
      <c r="K785" s="121"/>
      <c r="L785" s="14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</row>
    <row r="786" spans="1:27" ht="15.6">
      <c r="A786" s="121"/>
      <c r="B786" s="121"/>
      <c r="C786" s="121"/>
      <c r="D786" s="139"/>
      <c r="E786" s="139"/>
      <c r="F786" s="139"/>
      <c r="G786" s="147"/>
      <c r="H786" s="147"/>
      <c r="I786" s="121"/>
      <c r="J786" s="121"/>
      <c r="K786" s="121"/>
      <c r="L786" s="14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</row>
    <row r="787" spans="1:27" ht="15.6">
      <c r="A787" s="121"/>
      <c r="B787" s="121"/>
      <c r="C787" s="121"/>
      <c r="D787" s="139"/>
      <c r="E787" s="139"/>
      <c r="F787" s="139"/>
      <c r="G787" s="147"/>
      <c r="H787" s="147"/>
      <c r="I787" s="121"/>
      <c r="J787" s="121"/>
      <c r="K787" s="121"/>
      <c r="L787" s="14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</row>
    <row r="788" spans="1:27" ht="15.6">
      <c r="A788" s="121"/>
      <c r="B788" s="121"/>
      <c r="C788" s="121"/>
      <c r="D788" s="139"/>
      <c r="E788" s="139"/>
      <c r="F788" s="139"/>
      <c r="G788" s="147"/>
      <c r="H788" s="147"/>
      <c r="I788" s="121"/>
      <c r="J788" s="121"/>
      <c r="K788" s="121"/>
      <c r="L788" s="14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</row>
    <row r="789" spans="1:27" ht="15.6">
      <c r="A789" s="121"/>
      <c r="B789" s="121"/>
      <c r="C789" s="121"/>
      <c r="D789" s="139"/>
      <c r="E789" s="139"/>
      <c r="F789" s="139"/>
      <c r="G789" s="147"/>
      <c r="H789" s="147"/>
      <c r="I789" s="121"/>
      <c r="J789" s="121"/>
      <c r="K789" s="121"/>
      <c r="L789" s="14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</row>
    <row r="790" spans="1:27" ht="15.6">
      <c r="A790" s="121"/>
      <c r="B790" s="121"/>
      <c r="C790" s="121"/>
      <c r="D790" s="139"/>
      <c r="E790" s="139"/>
      <c r="F790" s="139"/>
      <c r="G790" s="147"/>
      <c r="H790" s="147"/>
      <c r="I790" s="121"/>
      <c r="J790" s="121"/>
      <c r="K790" s="121"/>
      <c r="L790" s="14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</row>
    <row r="791" spans="1:27" ht="15.6">
      <c r="A791" s="121"/>
      <c r="B791" s="121"/>
      <c r="C791" s="121"/>
      <c r="D791" s="139"/>
      <c r="E791" s="139"/>
      <c r="F791" s="139"/>
      <c r="G791" s="147"/>
      <c r="H791" s="147"/>
      <c r="I791" s="121"/>
      <c r="J791" s="121"/>
      <c r="K791" s="121"/>
      <c r="L791" s="14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</row>
    <row r="792" spans="1:27" ht="15.6">
      <c r="A792" s="121"/>
      <c r="B792" s="121"/>
      <c r="C792" s="121"/>
      <c r="D792" s="139"/>
      <c r="E792" s="139"/>
      <c r="F792" s="139"/>
      <c r="G792" s="147"/>
      <c r="H792" s="147"/>
      <c r="I792" s="121"/>
      <c r="J792" s="121"/>
      <c r="K792" s="121"/>
      <c r="L792" s="14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</row>
    <row r="793" spans="1:27" ht="15.6">
      <c r="A793" s="121"/>
      <c r="B793" s="121"/>
      <c r="C793" s="121"/>
      <c r="D793" s="139"/>
      <c r="E793" s="139"/>
      <c r="F793" s="139"/>
      <c r="G793" s="147"/>
      <c r="H793" s="147"/>
      <c r="I793" s="121"/>
      <c r="J793" s="121"/>
      <c r="K793" s="121"/>
      <c r="L793" s="14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</row>
    <row r="794" spans="1:27" ht="15.6">
      <c r="A794" s="121"/>
      <c r="B794" s="121"/>
      <c r="C794" s="121"/>
      <c r="D794" s="139"/>
      <c r="E794" s="139"/>
      <c r="F794" s="139"/>
      <c r="G794" s="147"/>
      <c r="H794" s="147"/>
      <c r="I794" s="121"/>
      <c r="J794" s="121"/>
      <c r="K794" s="121"/>
      <c r="L794" s="14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</row>
    <row r="795" spans="1:27" ht="15.6">
      <c r="A795" s="121"/>
      <c r="B795" s="121"/>
      <c r="C795" s="121"/>
      <c r="D795" s="139"/>
      <c r="E795" s="139"/>
      <c r="F795" s="139"/>
      <c r="G795" s="147"/>
      <c r="H795" s="147"/>
      <c r="I795" s="121"/>
      <c r="J795" s="121"/>
      <c r="K795" s="121"/>
      <c r="L795" s="14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</row>
    <row r="796" spans="1:27" ht="15.6">
      <c r="A796" s="121"/>
      <c r="B796" s="121"/>
      <c r="C796" s="121"/>
      <c r="D796" s="139"/>
      <c r="E796" s="139"/>
      <c r="F796" s="139"/>
      <c r="G796" s="147"/>
      <c r="H796" s="147"/>
      <c r="I796" s="121"/>
      <c r="J796" s="121"/>
      <c r="K796" s="121"/>
      <c r="L796" s="14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</row>
    <row r="797" spans="1:27" ht="15.6">
      <c r="A797" s="121"/>
      <c r="B797" s="121"/>
      <c r="C797" s="121"/>
      <c r="D797" s="139"/>
      <c r="E797" s="139"/>
      <c r="F797" s="139"/>
      <c r="G797" s="147"/>
      <c r="H797" s="147"/>
      <c r="I797" s="121"/>
      <c r="J797" s="121"/>
      <c r="K797" s="121"/>
      <c r="L797" s="14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</row>
    <row r="798" spans="1:27" ht="15.6">
      <c r="A798" s="121"/>
      <c r="B798" s="121"/>
      <c r="C798" s="121"/>
      <c r="D798" s="139"/>
      <c r="E798" s="139"/>
      <c r="F798" s="139"/>
      <c r="G798" s="147"/>
      <c r="H798" s="147"/>
      <c r="I798" s="121"/>
      <c r="J798" s="121"/>
      <c r="K798" s="121"/>
      <c r="L798" s="14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</row>
    <row r="799" spans="1:27" ht="15.6">
      <c r="A799" s="121"/>
      <c r="B799" s="121"/>
      <c r="C799" s="121"/>
      <c r="D799" s="139"/>
      <c r="E799" s="139"/>
      <c r="F799" s="139"/>
      <c r="G799" s="147"/>
      <c r="H799" s="147"/>
      <c r="I799" s="121"/>
      <c r="J799" s="121"/>
      <c r="K799" s="121"/>
      <c r="L799" s="14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</row>
    <row r="800" spans="1:27" ht="15.6">
      <c r="A800" s="121"/>
      <c r="B800" s="121"/>
      <c r="C800" s="121"/>
      <c r="D800" s="139"/>
      <c r="E800" s="139"/>
      <c r="F800" s="139"/>
      <c r="G800" s="147"/>
      <c r="H800" s="147"/>
      <c r="I800" s="121"/>
      <c r="J800" s="121"/>
      <c r="K800" s="121"/>
      <c r="L800" s="14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</row>
    <row r="801" spans="1:27" ht="15.6">
      <c r="A801" s="121"/>
      <c r="B801" s="121"/>
      <c r="C801" s="121"/>
      <c r="D801" s="139"/>
      <c r="E801" s="139"/>
      <c r="F801" s="139"/>
      <c r="G801" s="147"/>
      <c r="H801" s="147"/>
      <c r="I801" s="121"/>
      <c r="J801" s="121"/>
      <c r="K801" s="121"/>
      <c r="L801" s="14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</row>
    <row r="802" spans="1:27" ht="15.6">
      <c r="A802" s="121"/>
      <c r="B802" s="121"/>
      <c r="C802" s="121"/>
      <c r="D802" s="139"/>
      <c r="E802" s="139"/>
      <c r="F802" s="139"/>
      <c r="G802" s="147"/>
      <c r="H802" s="147"/>
      <c r="I802" s="121"/>
      <c r="J802" s="121"/>
      <c r="K802" s="121"/>
      <c r="L802" s="14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</row>
    <row r="803" spans="1:27" ht="15.6">
      <c r="A803" s="121"/>
      <c r="B803" s="121"/>
      <c r="C803" s="121"/>
      <c r="D803" s="139"/>
      <c r="E803" s="139"/>
      <c r="F803" s="139"/>
      <c r="G803" s="147"/>
      <c r="H803" s="147"/>
      <c r="I803" s="121"/>
      <c r="J803" s="121"/>
      <c r="K803" s="121"/>
      <c r="L803" s="14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</row>
    <row r="804" spans="1:27" ht="15.6">
      <c r="A804" s="121"/>
      <c r="B804" s="121"/>
      <c r="C804" s="121"/>
      <c r="D804" s="139"/>
      <c r="E804" s="139"/>
      <c r="F804" s="139"/>
      <c r="G804" s="147"/>
      <c r="H804" s="147"/>
      <c r="I804" s="121"/>
      <c r="J804" s="121"/>
      <c r="K804" s="121"/>
      <c r="L804" s="14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</row>
    <row r="805" spans="1:27" ht="15.6">
      <c r="A805" s="121"/>
      <c r="B805" s="121"/>
      <c r="C805" s="121"/>
      <c r="D805" s="139"/>
      <c r="E805" s="139"/>
      <c r="F805" s="139"/>
      <c r="G805" s="147"/>
      <c r="H805" s="147"/>
      <c r="I805" s="121"/>
      <c r="J805" s="121"/>
      <c r="K805" s="121"/>
      <c r="L805" s="14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</row>
    <row r="806" spans="1:27" ht="15.6">
      <c r="A806" s="121"/>
      <c r="B806" s="121"/>
      <c r="C806" s="121"/>
      <c r="D806" s="139"/>
      <c r="E806" s="139"/>
      <c r="F806" s="139"/>
      <c r="G806" s="147"/>
      <c r="H806" s="147"/>
      <c r="I806" s="121"/>
      <c r="J806" s="121"/>
      <c r="K806" s="121"/>
      <c r="L806" s="14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</row>
    <row r="807" spans="1:27" ht="15.6">
      <c r="A807" s="121"/>
      <c r="B807" s="121"/>
      <c r="C807" s="121"/>
      <c r="D807" s="139"/>
      <c r="E807" s="139"/>
      <c r="F807" s="139"/>
      <c r="G807" s="147"/>
      <c r="H807" s="147"/>
      <c r="I807" s="121"/>
      <c r="J807" s="121"/>
      <c r="K807" s="121"/>
      <c r="L807" s="14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</row>
    <row r="808" spans="1:27" ht="15.6">
      <c r="A808" s="121"/>
      <c r="B808" s="121"/>
      <c r="C808" s="121"/>
      <c r="D808" s="139"/>
      <c r="E808" s="139"/>
      <c r="F808" s="139"/>
      <c r="G808" s="147"/>
      <c r="H808" s="147"/>
      <c r="I808" s="121"/>
      <c r="J808" s="121"/>
      <c r="K808" s="121"/>
      <c r="L808" s="14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</row>
    <row r="809" spans="1:27" ht="15.6">
      <c r="A809" s="121"/>
      <c r="B809" s="121"/>
      <c r="C809" s="121"/>
      <c r="D809" s="139"/>
      <c r="E809" s="139"/>
      <c r="F809" s="139"/>
      <c r="G809" s="147"/>
      <c r="H809" s="147"/>
      <c r="I809" s="121"/>
      <c r="J809" s="121"/>
      <c r="K809" s="121"/>
      <c r="L809" s="14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</row>
    <row r="810" spans="1:27" ht="15.6">
      <c r="A810" s="121"/>
      <c r="B810" s="121"/>
      <c r="C810" s="121"/>
      <c r="D810" s="139"/>
      <c r="E810" s="139"/>
      <c r="F810" s="139"/>
      <c r="G810" s="147"/>
      <c r="H810" s="147"/>
      <c r="I810" s="121"/>
      <c r="J810" s="121"/>
      <c r="K810" s="121"/>
      <c r="L810" s="14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</row>
    <row r="811" spans="1:27" ht="15.6">
      <c r="A811" s="121"/>
      <c r="B811" s="121"/>
      <c r="C811" s="121"/>
      <c r="D811" s="139"/>
      <c r="E811" s="139"/>
      <c r="F811" s="139"/>
      <c r="G811" s="147"/>
      <c r="H811" s="147"/>
      <c r="I811" s="121"/>
      <c r="J811" s="121"/>
      <c r="K811" s="121"/>
      <c r="L811" s="14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</row>
    <row r="812" spans="1:27" ht="15.6">
      <c r="A812" s="121"/>
      <c r="B812" s="121"/>
      <c r="C812" s="121"/>
      <c r="D812" s="139"/>
      <c r="E812" s="139"/>
      <c r="F812" s="139"/>
      <c r="G812" s="147"/>
      <c r="H812" s="147"/>
      <c r="I812" s="121"/>
      <c r="J812" s="121"/>
      <c r="K812" s="121"/>
      <c r="L812" s="14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</row>
    <row r="813" spans="1:27" ht="15.6">
      <c r="A813" s="121"/>
      <c r="B813" s="121"/>
      <c r="C813" s="121"/>
      <c r="D813" s="139"/>
      <c r="E813" s="139"/>
      <c r="F813" s="139"/>
      <c r="G813" s="147"/>
      <c r="H813" s="147"/>
      <c r="I813" s="121"/>
      <c r="J813" s="121"/>
      <c r="K813" s="121"/>
      <c r="L813" s="14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</row>
    <row r="814" spans="1:27" ht="15.6">
      <c r="A814" s="121"/>
      <c r="B814" s="121"/>
      <c r="C814" s="121"/>
      <c r="D814" s="139"/>
      <c r="E814" s="139"/>
      <c r="F814" s="139"/>
      <c r="G814" s="147"/>
      <c r="H814" s="147"/>
      <c r="I814" s="121"/>
      <c r="J814" s="121"/>
      <c r="K814" s="121"/>
      <c r="L814" s="14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</row>
    <row r="815" spans="1:27" ht="15.6">
      <c r="A815" s="121"/>
      <c r="B815" s="121"/>
      <c r="C815" s="121"/>
      <c r="D815" s="139"/>
      <c r="E815" s="139"/>
      <c r="F815" s="139"/>
      <c r="G815" s="147"/>
      <c r="H815" s="147"/>
      <c r="I815" s="121"/>
      <c r="J815" s="121"/>
      <c r="K815" s="121"/>
      <c r="L815" s="14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</row>
    <row r="816" spans="1:27" ht="15.6">
      <c r="A816" s="121"/>
      <c r="B816" s="121"/>
      <c r="C816" s="121"/>
      <c r="D816" s="139"/>
      <c r="E816" s="139"/>
      <c r="F816" s="139"/>
      <c r="G816" s="147"/>
      <c r="H816" s="147"/>
      <c r="I816" s="121"/>
      <c r="J816" s="121"/>
      <c r="K816" s="121"/>
      <c r="L816" s="14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</row>
    <row r="817" spans="1:27" ht="15.6">
      <c r="A817" s="121"/>
      <c r="B817" s="121"/>
      <c r="C817" s="121"/>
      <c r="D817" s="139"/>
      <c r="E817" s="139"/>
      <c r="F817" s="139"/>
      <c r="G817" s="147"/>
      <c r="H817" s="147"/>
      <c r="I817" s="121"/>
      <c r="J817" s="121"/>
      <c r="K817" s="121"/>
      <c r="L817" s="14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</row>
    <row r="818" spans="1:27" ht="15.6">
      <c r="A818" s="121"/>
      <c r="B818" s="121"/>
      <c r="C818" s="121"/>
      <c r="D818" s="139"/>
      <c r="E818" s="139"/>
      <c r="F818" s="139"/>
      <c r="G818" s="147"/>
      <c r="H818" s="147"/>
      <c r="I818" s="121"/>
      <c r="J818" s="121"/>
      <c r="K818" s="121"/>
      <c r="L818" s="14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</row>
    <row r="819" spans="1:27" ht="15.6">
      <c r="A819" s="121"/>
      <c r="B819" s="121"/>
      <c r="C819" s="121"/>
      <c r="D819" s="139"/>
      <c r="E819" s="139"/>
      <c r="F819" s="139"/>
      <c r="G819" s="147"/>
      <c r="H819" s="147"/>
      <c r="I819" s="121"/>
      <c r="J819" s="121"/>
      <c r="K819" s="121"/>
      <c r="L819" s="14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</row>
    <row r="820" spans="1:27" ht="15.6">
      <c r="A820" s="121"/>
      <c r="B820" s="121"/>
      <c r="C820" s="121"/>
      <c r="D820" s="139"/>
      <c r="E820" s="139"/>
      <c r="F820" s="139"/>
      <c r="G820" s="147"/>
      <c r="H820" s="147"/>
      <c r="I820" s="121"/>
      <c r="J820" s="121"/>
      <c r="K820" s="121"/>
      <c r="L820" s="14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</row>
    <row r="821" spans="1:27" ht="15.6">
      <c r="A821" s="121"/>
      <c r="B821" s="121"/>
      <c r="C821" s="121"/>
      <c r="D821" s="139"/>
      <c r="E821" s="139"/>
      <c r="F821" s="139"/>
      <c r="G821" s="147"/>
      <c r="H821" s="147"/>
      <c r="I821" s="121"/>
      <c r="J821" s="121"/>
      <c r="K821" s="121"/>
      <c r="L821" s="14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</row>
    <row r="822" spans="1:27" ht="15.6">
      <c r="A822" s="121"/>
      <c r="B822" s="121"/>
      <c r="C822" s="121"/>
      <c r="D822" s="139"/>
      <c r="E822" s="139"/>
      <c r="F822" s="139"/>
      <c r="G822" s="147"/>
      <c r="H822" s="147"/>
      <c r="I822" s="121"/>
      <c r="J822" s="121"/>
      <c r="K822" s="121"/>
      <c r="L822" s="14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</row>
    <row r="823" spans="1:27" ht="15.6">
      <c r="A823" s="121"/>
      <c r="B823" s="121"/>
      <c r="C823" s="121"/>
      <c r="D823" s="139"/>
      <c r="E823" s="139"/>
      <c r="F823" s="139"/>
      <c r="G823" s="147"/>
      <c r="H823" s="147"/>
      <c r="I823" s="121"/>
      <c r="J823" s="121"/>
      <c r="K823" s="121"/>
      <c r="L823" s="14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</row>
    <row r="824" spans="1:27" ht="15.6">
      <c r="A824" s="121"/>
      <c r="B824" s="121"/>
      <c r="C824" s="121"/>
      <c r="D824" s="139"/>
      <c r="E824" s="139"/>
      <c r="F824" s="139"/>
      <c r="G824" s="147"/>
      <c r="H824" s="147"/>
      <c r="I824" s="121"/>
      <c r="J824" s="121"/>
      <c r="K824" s="121"/>
      <c r="L824" s="14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</row>
    <row r="825" spans="1:27" ht="15.6">
      <c r="A825" s="121"/>
      <c r="B825" s="121"/>
      <c r="C825" s="121"/>
      <c r="D825" s="139"/>
      <c r="E825" s="139"/>
      <c r="F825" s="139"/>
      <c r="G825" s="147"/>
      <c r="H825" s="147"/>
      <c r="I825" s="121"/>
      <c r="J825" s="121"/>
      <c r="K825" s="121"/>
      <c r="L825" s="14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</row>
    <row r="826" spans="1:27" ht="15.6">
      <c r="A826" s="121"/>
      <c r="B826" s="121"/>
      <c r="C826" s="121"/>
      <c r="D826" s="139"/>
      <c r="E826" s="139"/>
      <c r="F826" s="139"/>
      <c r="G826" s="147"/>
      <c r="H826" s="147"/>
      <c r="I826" s="121"/>
      <c r="J826" s="121"/>
      <c r="K826" s="121"/>
      <c r="L826" s="14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</row>
    <row r="827" spans="1:27" ht="15.6">
      <c r="A827" s="121"/>
      <c r="B827" s="121"/>
      <c r="C827" s="121"/>
      <c r="D827" s="139"/>
      <c r="E827" s="139"/>
      <c r="F827" s="139"/>
      <c r="G827" s="147"/>
      <c r="H827" s="147"/>
      <c r="I827" s="121"/>
      <c r="J827" s="121"/>
      <c r="K827" s="121"/>
      <c r="L827" s="14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</row>
    <row r="828" spans="1:27" ht="15.6">
      <c r="A828" s="121"/>
      <c r="B828" s="121"/>
      <c r="C828" s="121"/>
      <c r="D828" s="139"/>
      <c r="E828" s="139"/>
      <c r="F828" s="139"/>
      <c r="G828" s="147"/>
      <c r="H828" s="147"/>
      <c r="I828" s="121"/>
      <c r="J828" s="121"/>
      <c r="K828" s="121"/>
      <c r="L828" s="14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</row>
    <row r="829" spans="1:27" ht="15.6">
      <c r="A829" s="121"/>
      <c r="B829" s="121"/>
      <c r="C829" s="121"/>
      <c r="D829" s="139"/>
      <c r="E829" s="139"/>
      <c r="F829" s="139"/>
      <c r="G829" s="147"/>
      <c r="H829" s="147"/>
      <c r="I829" s="121"/>
      <c r="J829" s="121"/>
      <c r="K829" s="121"/>
      <c r="L829" s="14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</row>
    <row r="830" spans="1:27" ht="15.6">
      <c r="A830" s="121"/>
      <c r="B830" s="121"/>
      <c r="C830" s="121"/>
      <c r="D830" s="139"/>
      <c r="E830" s="139"/>
      <c r="F830" s="139"/>
      <c r="G830" s="147"/>
      <c r="H830" s="147"/>
      <c r="I830" s="121"/>
      <c r="J830" s="121"/>
      <c r="K830" s="121"/>
      <c r="L830" s="14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</row>
    <row r="831" spans="1:27" ht="15.6">
      <c r="A831" s="121"/>
      <c r="B831" s="121"/>
      <c r="C831" s="121"/>
      <c r="D831" s="139"/>
      <c r="E831" s="139"/>
      <c r="F831" s="139"/>
      <c r="G831" s="147"/>
      <c r="H831" s="147"/>
      <c r="I831" s="121"/>
      <c r="J831" s="121"/>
      <c r="K831" s="121"/>
      <c r="L831" s="14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</row>
    <row r="832" spans="1:27" ht="15.6">
      <c r="A832" s="121"/>
      <c r="B832" s="121"/>
      <c r="C832" s="121"/>
      <c r="D832" s="139"/>
      <c r="E832" s="139"/>
      <c r="F832" s="139"/>
      <c r="G832" s="147"/>
      <c r="H832" s="147"/>
      <c r="I832" s="121"/>
      <c r="J832" s="121"/>
      <c r="K832" s="121"/>
      <c r="L832" s="14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</row>
    <row r="833" spans="1:27" ht="15.6">
      <c r="A833" s="121"/>
      <c r="B833" s="121"/>
      <c r="C833" s="121"/>
      <c r="D833" s="139"/>
      <c r="E833" s="139"/>
      <c r="F833" s="139"/>
      <c r="G833" s="147"/>
      <c r="H833" s="147"/>
      <c r="I833" s="121"/>
      <c r="J833" s="121"/>
      <c r="K833" s="121"/>
      <c r="L833" s="14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</row>
    <row r="834" spans="1:27" ht="15.6">
      <c r="A834" s="121"/>
      <c r="B834" s="121"/>
      <c r="C834" s="121"/>
      <c r="D834" s="139"/>
      <c r="E834" s="139"/>
      <c r="F834" s="139"/>
      <c r="G834" s="147"/>
      <c r="H834" s="147"/>
      <c r="I834" s="121"/>
      <c r="J834" s="121"/>
      <c r="K834" s="121"/>
      <c r="L834" s="14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</row>
    <row r="835" spans="1:27" ht="15.6">
      <c r="A835" s="121"/>
      <c r="B835" s="121"/>
      <c r="C835" s="121"/>
      <c r="D835" s="139"/>
      <c r="E835" s="139"/>
      <c r="F835" s="139"/>
      <c r="G835" s="147"/>
      <c r="H835" s="147"/>
      <c r="I835" s="121"/>
      <c r="J835" s="121"/>
      <c r="K835" s="121"/>
      <c r="L835" s="14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</row>
    <row r="836" spans="1:27" ht="15.6">
      <c r="A836" s="121"/>
      <c r="B836" s="121"/>
      <c r="C836" s="121"/>
      <c r="D836" s="139"/>
      <c r="E836" s="139"/>
      <c r="F836" s="139"/>
      <c r="G836" s="147"/>
      <c r="H836" s="147"/>
      <c r="I836" s="121"/>
      <c r="J836" s="121"/>
      <c r="K836" s="121"/>
      <c r="L836" s="14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</row>
    <row r="837" spans="1:27" ht="15.6">
      <c r="A837" s="121"/>
      <c r="B837" s="121"/>
      <c r="C837" s="121"/>
      <c r="D837" s="139"/>
      <c r="E837" s="139"/>
      <c r="F837" s="139"/>
      <c r="G837" s="147"/>
      <c r="H837" s="147"/>
      <c r="I837" s="121"/>
      <c r="J837" s="121"/>
      <c r="K837" s="121"/>
      <c r="L837" s="14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</row>
    <row r="838" spans="1:27" ht="15.6">
      <c r="A838" s="121"/>
      <c r="B838" s="121"/>
      <c r="C838" s="121"/>
      <c r="D838" s="139"/>
      <c r="E838" s="139"/>
      <c r="F838" s="139"/>
      <c r="G838" s="147"/>
      <c r="H838" s="147"/>
      <c r="I838" s="121"/>
      <c r="J838" s="121"/>
      <c r="K838" s="121"/>
      <c r="L838" s="14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</row>
    <row r="839" spans="1:27" ht="15.6">
      <c r="A839" s="121"/>
      <c r="B839" s="121"/>
      <c r="C839" s="121"/>
      <c r="D839" s="139"/>
      <c r="E839" s="139"/>
      <c r="F839" s="139"/>
      <c r="G839" s="147"/>
      <c r="H839" s="147"/>
      <c r="I839" s="121"/>
      <c r="J839" s="121"/>
      <c r="K839" s="121"/>
      <c r="L839" s="14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</row>
    <row r="840" spans="1:27" ht="15.6">
      <c r="A840" s="121"/>
      <c r="B840" s="121"/>
      <c r="C840" s="121"/>
      <c r="D840" s="139"/>
      <c r="E840" s="139"/>
      <c r="F840" s="139"/>
      <c r="G840" s="147"/>
      <c r="H840" s="147"/>
      <c r="I840" s="121"/>
      <c r="J840" s="121"/>
      <c r="K840" s="121"/>
      <c r="L840" s="14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</row>
    <row r="841" spans="1:27" ht="15.6">
      <c r="A841" s="121"/>
      <c r="B841" s="121"/>
      <c r="C841" s="121"/>
      <c r="D841" s="139"/>
      <c r="E841" s="139"/>
      <c r="F841" s="139"/>
      <c r="G841" s="147"/>
      <c r="H841" s="147"/>
      <c r="I841" s="121"/>
      <c r="J841" s="121"/>
      <c r="K841" s="121"/>
      <c r="L841" s="14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</row>
    <row r="842" spans="1:27" ht="15.6">
      <c r="A842" s="121"/>
      <c r="B842" s="121"/>
      <c r="C842" s="121"/>
      <c r="D842" s="139"/>
      <c r="E842" s="139"/>
      <c r="F842" s="139"/>
      <c r="G842" s="147"/>
      <c r="H842" s="147"/>
      <c r="I842" s="121"/>
      <c r="J842" s="121"/>
      <c r="K842" s="121"/>
      <c r="L842" s="14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</row>
    <row r="843" spans="1:27" ht="15.6">
      <c r="A843" s="121"/>
      <c r="B843" s="121"/>
      <c r="C843" s="121"/>
      <c r="D843" s="139"/>
      <c r="E843" s="139"/>
      <c r="F843" s="139"/>
      <c r="G843" s="147"/>
      <c r="H843" s="147"/>
      <c r="I843" s="121"/>
      <c r="J843" s="121"/>
      <c r="K843" s="121"/>
      <c r="L843" s="14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</row>
    <row r="844" spans="1:27" ht="15.6">
      <c r="A844" s="121"/>
      <c r="B844" s="121"/>
      <c r="C844" s="121"/>
      <c r="D844" s="139"/>
      <c r="E844" s="139"/>
      <c r="F844" s="139"/>
      <c r="G844" s="147"/>
      <c r="H844" s="147"/>
      <c r="I844" s="121"/>
      <c r="J844" s="121"/>
      <c r="K844" s="121"/>
      <c r="L844" s="14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</row>
    <row r="845" spans="1:27" ht="15.6">
      <c r="A845" s="121"/>
      <c r="B845" s="121"/>
      <c r="C845" s="121"/>
      <c r="D845" s="139"/>
      <c r="E845" s="139"/>
      <c r="F845" s="139"/>
      <c r="G845" s="147"/>
      <c r="H845" s="147"/>
      <c r="I845" s="121"/>
      <c r="J845" s="121"/>
      <c r="K845" s="121"/>
      <c r="L845" s="14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</row>
    <row r="846" spans="1:27" ht="15.6">
      <c r="A846" s="121"/>
      <c r="B846" s="121"/>
      <c r="C846" s="121"/>
      <c r="D846" s="139"/>
      <c r="E846" s="139"/>
      <c r="F846" s="139"/>
      <c r="G846" s="147"/>
      <c r="H846" s="147"/>
      <c r="I846" s="121"/>
      <c r="J846" s="121"/>
      <c r="K846" s="121"/>
      <c r="L846" s="14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</row>
    <row r="847" spans="1:27" ht="15.6">
      <c r="A847" s="121"/>
      <c r="B847" s="121"/>
      <c r="C847" s="121"/>
      <c r="D847" s="139"/>
      <c r="E847" s="139"/>
      <c r="F847" s="139"/>
      <c r="G847" s="147"/>
      <c r="H847" s="147"/>
      <c r="I847" s="121"/>
      <c r="J847" s="121"/>
      <c r="K847" s="121"/>
      <c r="L847" s="14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</row>
    <row r="848" spans="1:27" ht="15.6">
      <c r="A848" s="121"/>
      <c r="B848" s="121"/>
      <c r="C848" s="121"/>
      <c r="D848" s="139"/>
      <c r="E848" s="139"/>
      <c r="F848" s="139"/>
      <c r="G848" s="147"/>
      <c r="H848" s="147"/>
      <c r="I848" s="121"/>
      <c r="J848" s="121"/>
      <c r="K848" s="121"/>
      <c r="L848" s="14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</row>
    <row r="849" spans="1:27" ht="15.6">
      <c r="A849" s="121"/>
      <c r="B849" s="121"/>
      <c r="C849" s="121"/>
      <c r="D849" s="139"/>
      <c r="E849" s="139"/>
      <c r="F849" s="139"/>
      <c r="G849" s="147"/>
      <c r="H849" s="147"/>
      <c r="I849" s="121"/>
      <c r="J849" s="121"/>
      <c r="K849" s="121"/>
      <c r="L849" s="14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</row>
    <row r="850" spans="1:27" ht="15.6">
      <c r="A850" s="121"/>
      <c r="B850" s="121"/>
      <c r="C850" s="121"/>
      <c r="D850" s="139"/>
      <c r="E850" s="139"/>
      <c r="F850" s="139"/>
      <c r="G850" s="147"/>
      <c r="H850" s="147"/>
      <c r="I850" s="121"/>
      <c r="J850" s="121"/>
      <c r="K850" s="121"/>
      <c r="L850" s="14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</row>
    <row r="851" spans="1:27" ht="15.6">
      <c r="A851" s="121"/>
      <c r="B851" s="121"/>
      <c r="C851" s="121"/>
      <c r="D851" s="139"/>
      <c r="E851" s="139"/>
      <c r="F851" s="139"/>
      <c r="G851" s="147"/>
      <c r="H851" s="147"/>
      <c r="I851" s="121"/>
      <c r="J851" s="121"/>
      <c r="K851" s="121"/>
      <c r="L851" s="14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</row>
    <row r="852" spans="1:27" ht="15.6">
      <c r="A852" s="121"/>
      <c r="B852" s="121"/>
      <c r="C852" s="121"/>
      <c r="D852" s="139"/>
      <c r="E852" s="139"/>
      <c r="F852" s="139"/>
      <c r="G852" s="147"/>
      <c r="H852" s="147"/>
      <c r="I852" s="121"/>
      <c r="J852" s="121"/>
      <c r="K852" s="121"/>
      <c r="L852" s="14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</row>
    <row r="853" spans="1:27" ht="15.6">
      <c r="A853" s="121"/>
      <c r="B853" s="121"/>
      <c r="C853" s="121"/>
      <c r="D853" s="139"/>
      <c r="E853" s="139"/>
      <c r="F853" s="139"/>
      <c r="G853" s="147"/>
      <c r="H853" s="147"/>
      <c r="I853" s="121"/>
      <c r="J853" s="121"/>
      <c r="K853" s="121"/>
      <c r="L853" s="14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</row>
    <row r="854" spans="1:27" ht="15.6">
      <c r="A854" s="121"/>
      <c r="B854" s="121"/>
      <c r="C854" s="121"/>
      <c r="D854" s="139"/>
      <c r="E854" s="139"/>
      <c r="F854" s="139"/>
      <c r="G854" s="147"/>
      <c r="H854" s="147"/>
      <c r="I854" s="121"/>
      <c r="J854" s="121"/>
      <c r="K854" s="121"/>
      <c r="L854" s="14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</row>
    <row r="855" spans="1:27" ht="15.6">
      <c r="A855" s="121"/>
      <c r="B855" s="121"/>
      <c r="C855" s="121"/>
      <c r="D855" s="139"/>
      <c r="E855" s="139"/>
      <c r="F855" s="139"/>
      <c r="G855" s="147"/>
      <c r="H855" s="147"/>
      <c r="I855" s="121"/>
      <c r="J855" s="121"/>
      <c r="K855" s="121"/>
      <c r="L855" s="14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</row>
    <row r="856" spans="1:27" ht="15.6">
      <c r="A856" s="121"/>
      <c r="B856" s="121"/>
      <c r="C856" s="121"/>
      <c r="D856" s="139"/>
      <c r="E856" s="139"/>
      <c r="F856" s="139"/>
      <c r="G856" s="147"/>
      <c r="H856" s="147"/>
      <c r="I856" s="121"/>
      <c r="J856" s="121"/>
      <c r="K856" s="121"/>
      <c r="L856" s="14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</row>
    <row r="857" spans="1:27" ht="15.6">
      <c r="A857" s="121"/>
      <c r="B857" s="121"/>
      <c r="C857" s="121"/>
      <c r="D857" s="139"/>
      <c r="E857" s="139"/>
      <c r="F857" s="139"/>
      <c r="G857" s="147"/>
      <c r="H857" s="147"/>
      <c r="I857" s="121"/>
      <c r="J857" s="121"/>
      <c r="K857" s="121"/>
      <c r="L857" s="14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</row>
    <row r="858" spans="1:27" ht="15.6">
      <c r="A858" s="121"/>
      <c r="B858" s="121"/>
      <c r="C858" s="121"/>
      <c r="D858" s="139"/>
      <c r="E858" s="139"/>
      <c r="F858" s="139"/>
      <c r="G858" s="147"/>
      <c r="H858" s="147"/>
      <c r="I858" s="121"/>
      <c r="J858" s="121"/>
      <c r="K858" s="121"/>
      <c r="L858" s="14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</row>
    <row r="859" spans="1:27" ht="15.6">
      <c r="A859" s="121"/>
      <c r="B859" s="121"/>
      <c r="C859" s="121"/>
      <c r="D859" s="139"/>
      <c r="E859" s="139"/>
      <c r="F859" s="139"/>
      <c r="G859" s="147"/>
      <c r="H859" s="147"/>
      <c r="I859" s="121"/>
      <c r="J859" s="121"/>
      <c r="K859" s="121"/>
      <c r="L859" s="14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</row>
    <row r="860" spans="1:27" ht="15.6">
      <c r="A860" s="121"/>
      <c r="B860" s="121"/>
      <c r="C860" s="121"/>
      <c r="D860" s="139"/>
      <c r="E860" s="139"/>
      <c r="F860" s="139"/>
      <c r="G860" s="147"/>
      <c r="H860" s="147"/>
      <c r="I860" s="121"/>
      <c r="J860" s="121"/>
      <c r="K860" s="121"/>
      <c r="L860" s="14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</row>
    <row r="861" spans="1:27" ht="15.6">
      <c r="A861" s="121"/>
      <c r="B861" s="121"/>
      <c r="C861" s="121"/>
      <c r="D861" s="139"/>
      <c r="E861" s="139"/>
      <c r="F861" s="139"/>
      <c r="G861" s="147"/>
      <c r="H861" s="147"/>
      <c r="I861" s="121"/>
      <c r="J861" s="121"/>
      <c r="K861" s="121"/>
      <c r="L861" s="14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</row>
    <row r="862" spans="1:27" ht="15.6">
      <c r="A862" s="121"/>
      <c r="B862" s="121"/>
      <c r="C862" s="121"/>
      <c r="D862" s="139"/>
      <c r="E862" s="139"/>
      <c r="F862" s="139"/>
      <c r="G862" s="147"/>
      <c r="H862" s="147"/>
      <c r="I862" s="121"/>
      <c r="J862" s="121"/>
      <c r="K862" s="121"/>
      <c r="L862" s="14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</row>
    <row r="863" spans="1:27" ht="15.6">
      <c r="A863" s="121"/>
      <c r="B863" s="121"/>
      <c r="C863" s="121"/>
      <c r="D863" s="139"/>
      <c r="E863" s="139"/>
      <c r="F863" s="139"/>
      <c r="G863" s="147"/>
      <c r="H863" s="147"/>
      <c r="I863" s="121"/>
      <c r="J863" s="121"/>
      <c r="K863" s="121"/>
      <c r="L863" s="14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</row>
    <row r="864" spans="1:27" ht="15.6">
      <c r="A864" s="121"/>
      <c r="B864" s="121"/>
      <c r="C864" s="121"/>
      <c r="D864" s="139"/>
      <c r="E864" s="139"/>
      <c r="F864" s="139"/>
      <c r="G864" s="147"/>
      <c r="H864" s="147"/>
      <c r="I864" s="121"/>
      <c r="J864" s="121"/>
      <c r="K864" s="121"/>
      <c r="L864" s="14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</row>
    <row r="865" spans="1:27" ht="15.6">
      <c r="A865" s="121"/>
      <c r="B865" s="121"/>
      <c r="C865" s="121"/>
      <c r="D865" s="139"/>
      <c r="E865" s="139"/>
      <c r="F865" s="139"/>
      <c r="G865" s="147"/>
      <c r="H865" s="147"/>
      <c r="I865" s="121"/>
      <c r="J865" s="121"/>
      <c r="K865" s="121"/>
      <c r="L865" s="14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</row>
    <row r="866" spans="1:27" ht="15.6">
      <c r="A866" s="121"/>
      <c r="B866" s="121"/>
      <c r="C866" s="121"/>
      <c r="D866" s="139"/>
      <c r="E866" s="139"/>
      <c r="F866" s="139"/>
      <c r="G866" s="147"/>
      <c r="H866" s="147"/>
      <c r="I866" s="121"/>
      <c r="J866" s="121"/>
      <c r="K866" s="121"/>
      <c r="L866" s="14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</row>
    <row r="867" spans="1:27" ht="15.6">
      <c r="A867" s="121"/>
      <c r="B867" s="121"/>
      <c r="C867" s="121"/>
      <c r="D867" s="139"/>
      <c r="E867" s="139"/>
      <c r="F867" s="139"/>
      <c r="G867" s="147"/>
      <c r="H867" s="147"/>
      <c r="I867" s="121"/>
      <c r="J867" s="121"/>
      <c r="K867" s="121"/>
      <c r="L867" s="14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</row>
    <row r="868" spans="1:27" ht="15.6">
      <c r="A868" s="121"/>
      <c r="B868" s="121"/>
      <c r="C868" s="121"/>
      <c r="D868" s="139"/>
      <c r="E868" s="139"/>
      <c r="F868" s="139"/>
      <c r="G868" s="147"/>
      <c r="H868" s="147"/>
      <c r="I868" s="121"/>
      <c r="J868" s="121"/>
      <c r="K868" s="121"/>
      <c r="L868" s="14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</row>
    <row r="869" spans="1:27" ht="15.6">
      <c r="A869" s="121"/>
      <c r="B869" s="121"/>
      <c r="C869" s="121"/>
      <c r="D869" s="139"/>
      <c r="E869" s="139"/>
      <c r="F869" s="139"/>
      <c r="G869" s="147"/>
      <c r="H869" s="147"/>
      <c r="I869" s="121"/>
      <c r="J869" s="121"/>
      <c r="K869" s="121"/>
      <c r="L869" s="14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</row>
    <row r="870" spans="1:27" ht="15.6">
      <c r="A870" s="121"/>
      <c r="B870" s="121"/>
      <c r="C870" s="121"/>
      <c r="D870" s="139"/>
      <c r="E870" s="139"/>
      <c r="F870" s="139"/>
      <c r="G870" s="147"/>
      <c r="H870" s="147"/>
      <c r="I870" s="121"/>
      <c r="J870" s="121"/>
      <c r="K870" s="121"/>
      <c r="L870" s="14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</row>
    <row r="871" spans="1:27" ht="15.6">
      <c r="A871" s="121"/>
      <c r="B871" s="121"/>
      <c r="C871" s="121"/>
      <c r="D871" s="139"/>
      <c r="E871" s="139"/>
      <c r="F871" s="139"/>
      <c r="G871" s="147"/>
      <c r="H871" s="147"/>
      <c r="I871" s="121"/>
      <c r="J871" s="121"/>
      <c r="K871" s="121"/>
      <c r="L871" s="14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</row>
    <row r="872" spans="1:27" ht="15.6">
      <c r="A872" s="121"/>
      <c r="B872" s="121"/>
      <c r="C872" s="121"/>
      <c r="D872" s="139"/>
      <c r="E872" s="139"/>
      <c r="F872" s="139"/>
      <c r="G872" s="147"/>
      <c r="H872" s="147"/>
      <c r="I872" s="121"/>
      <c r="J872" s="121"/>
      <c r="K872" s="121"/>
      <c r="L872" s="14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</row>
    <row r="873" spans="1:27" ht="15.6">
      <c r="A873" s="121"/>
      <c r="B873" s="121"/>
      <c r="C873" s="121"/>
      <c r="D873" s="139"/>
      <c r="E873" s="139"/>
      <c r="F873" s="139"/>
      <c r="G873" s="147"/>
      <c r="H873" s="147"/>
      <c r="I873" s="121"/>
      <c r="J873" s="121"/>
      <c r="K873" s="121"/>
      <c r="L873" s="14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</row>
    <row r="874" spans="1:27" ht="15.6">
      <c r="A874" s="121"/>
      <c r="B874" s="121"/>
      <c r="C874" s="121"/>
      <c r="D874" s="139"/>
      <c r="E874" s="139"/>
      <c r="F874" s="139"/>
      <c r="G874" s="147"/>
      <c r="H874" s="147"/>
      <c r="I874" s="121"/>
      <c r="J874" s="121"/>
      <c r="K874" s="121"/>
      <c r="L874" s="14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</row>
    <row r="875" spans="1:27" ht="15.6">
      <c r="A875" s="121"/>
      <c r="B875" s="121"/>
      <c r="C875" s="121"/>
      <c r="D875" s="139"/>
      <c r="E875" s="139"/>
      <c r="F875" s="139"/>
      <c r="G875" s="147"/>
      <c r="H875" s="147"/>
      <c r="I875" s="121"/>
      <c r="J875" s="121"/>
      <c r="K875" s="121"/>
      <c r="L875" s="14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</row>
    <row r="876" spans="1:27" ht="15.6">
      <c r="A876" s="121"/>
      <c r="B876" s="121"/>
      <c r="C876" s="121"/>
      <c r="D876" s="139"/>
      <c r="E876" s="139"/>
      <c r="F876" s="139"/>
      <c r="G876" s="147"/>
      <c r="H876" s="147"/>
      <c r="I876" s="121"/>
      <c r="J876" s="121"/>
      <c r="K876" s="121"/>
      <c r="L876" s="14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</row>
    <row r="877" spans="1:27" ht="15.6">
      <c r="A877" s="121"/>
      <c r="B877" s="121"/>
      <c r="C877" s="121"/>
      <c r="D877" s="139"/>
      <c r="E877" s="139"/>
      <c r="F877" s="139"/>
      <c r="G877" s="147"/>
      <c r="H877" s="147"/>
      <c r="I877" s="121"/>
      <c r="J877" s="121"/>
      <c r="K877" s="121"/>
      <c r="L877" s="14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</row>
    <row r="878" spans="1:27" ht="15.6">
      <c r="A878" s="121"/>
      <c r="B878" s="121"/>
      <c r="C878" s="121"/>
      <c r="D878" s="139"/>
      <c r="E878" s="139"/>
      <c r="F878" s="139"/>
      <c r="G878" s="147"/>
      <c r="H878" s="147"/>
      <c r="I878" s="121"/>
      <c r="J878" s="121"/>
      <c r="K878" s="121"/>
      <c r="L878" s="14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</row>
    <row r="879" spans="1:27" ht="15.6">
      <c r="A879" s="121"/>
      <c r="B879" s="121"/>
      <c r="C879" s="121"/>
      <c r="D879" s="139"/>
      <c r="E879" s="139"/>
      <c r="F879" s="139"/>
      <c r="G879" s="147"/>
      <c r="H879" s="147"/>
      <c r="I879" s="121"/>
      <c r="J879" s="121"/>
      <c r="K879" s="121"/>
      <c r="L879" s="14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</row>
    <row r="880" spans="1:27" ht="15.6">
      <c r="A880" s="121"/>
      <c r="B880" s="121"/>
      <c r="C880" s="121"/>
      <c r="D880" s="139"/>
      <c r="E880" s="139"/>
      <c r="F880" s="139"/>
      <c r="G880" s="147"/>
      <c r="H880" s="147"/>
      <c r="I880" s="121"/>
      <c r="J880" s="121"/>
      <c r="K880" s="121"/>
      <c r="L880" s="14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</row>
    <row r="881" spans="1:27" ht="15.6">
      <c r="A881" s="121"/>
      <c r="B881" s="121"/>
      <c r="C881" s="121"/>
      <c r="D881" s="139"/>
      <c r="E881" s="139"/>
      <c r="F881" s="139"/>
      <c r="G881" s="147"/>
      <c r="H881" s="147"/>
      <c r="I881" s="121"/>
      <c r="J881" s="121"/>
      <c r="K881" s="121"/>
      <c r="L881" s="14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</row>
    <row r="882" spans="1:27" ht="15.6">
      <c r="A882" s="121"/>
      <c r="B882" s="121"/>
      <c r="C882" s="121"/>
      <c r="D882" s="139"/>
      <c r="E882" s="139"/>
      <c r="F882" s="139"/>
      <c r="G882" s="147"/>
      <c r="H882" s="147"/>
      <c r="I882" s="121"/>
      <c r="J882" s="121"/>
      <c r="K882" s="121"/>
      <c r="L882" s="14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</row>
    <row r="883" spans="1:27" ht="15.6">
      <c r="A883" s="121"/>
      <c r="B883" s="121"/>
      <c r="C883" s="121"/>
      <c r="D883" s="139"/>
      <c r="E883" s="139"/>
      <c r="F883" s="139"/>
      <c r="G883" s="147"/>
      <c r="H883" s="147"/>
      <c r="I883" s="121"/>
      <c r="J883" s="121"/>
      <c r="K883" s="121"/>
      <c r="L883" s="14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</row>
    <row r="884" spans="1:27" ht="15.6">
      <c r="A884" s="121"/>
      <c r="B884" s="121"/>
      <c r="C884" s="121"/>
      <c r="D884" s="139"/>
      <c r="E884" s="139"/>
      <c r="F884" s="139"/>
      <c r="G884" s="147"/>
      <c r="H884" s="147"/>
      <c r="I884" s="121"/>
      <c r="J884" s="121"/>
      <c r="K884" s="121"/>
      <c r="L884" s="14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</row>
    <row r="885" spans="1:27" ht="15.6">
      <c r="A885" s="121"/>
      <c r="B885" s="121"/>
      <c r="C885" s="121"/>
      <c r="D885" s="139"/>
      <c r="E885" s="139"/>
      <c r="F885" s="139"/>
      <c r="G885" s="147"/>
      <c r="H885" s="147"/>
      <c r="I885" s="121"/>
      <c r="J885" s="121"/>
      <c r="K885" s="121"/>
      <c r="L885" s="14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</row>
    <row r="886" spans="1:27" ht="15.6">
      <c r="A886" s="121"/>
      <c r="B886" s="121"/>
      <c r="C886" s="121"/>
      <c r="D886" s="139"/>
      <c r="E886" s="139"/>
      <c r="F886" s="139"/>
      <c r="G886" s="147"/>
      <c r="H886" s="147"/>
      <c r="I886" s="121"/>
      <c r="J886" s="121"/>
      <c r="K886" s="121"/>
      <c r="L886" s="14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</row>
    <row r="887" spans="1:27" ht="15.6">
      <c r="A887" s="121"/>
      <c r="B887" s="121"/>
      <c r="C887" s="121"/>
      <c r="D887" s="139"/>
      <c r="E887" s="139"/>
      <c r="F887" s="139"/>
      <c r="G887" s="147"/>
      <c r="H887" s="147"/>
      <c r="I887" s="121"/>
      <c r="J887" s="121"/>
      <c r="K887" s="121"/>
      <c r="L887" s="14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</row>
    <row r="888" spans="1:27" ht="15.6">
      <c r="A888" s="121"/>
      <c r="B888" s="121"/>
      <c r="C888" s="121"/>
      <c r="D888" s="139"/>
      <c r="E888" s="139"/>
      <c r="F888" s="139"/>
      <c r="G888" s="147"/>
      <c r="H888" s="147"/>
      <c r="I888" s="121"/>
      <c r="J888" s="121"/>
      <c r="K888" s="121"/>
      <c r="L888" s="14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</row>
    <row r="889" spans="1:27" ht="15.6">
      <c r="A889" s="121"/>
      <c r="B889" s="121"/>
      <c r="C889" s="121"/>
      <c r="D889" s="139"/>
      <c r="E889" s="139"/>
      <c r="F889" s="139"/>
      <c r="G889" s="147"/>
      <c r="H889" s="147"/>
      <c r="I889" s="121"/>
      <c r="J889" s="121"/>
      <c r="K889" s="121"/>
      <c r="L889" s="14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</row>
    <row r="890" spans="1:27" ht="15.6">
      <c r="A890" s="121"/>
      <c r="B890" s="121"/>
      <c r="C890" s="121"/>
      <c r="D890" s="139"/>
      <c r="E890" s="139"/>
      <c r="F890" s="139"/>
      <c r="G890" s="147"/>
      <c r="H890" s="147"/>
      <c r="I890" s="121"/>
      <c r="J890" s="121"/>
      <c r="K890" s="121"/>
      <c r="L890" s="14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</row>
    <row r="891" spans="1:27" ht="15.6">
      <c r="A891" s="121"/>
      <c r="B891" s="121"/>
      <c r="C891" s="121"/>
      <c r="D891" s="139"/>
      <c r="E891" s="139"/>
      <c r="F891" s="139"/>
      <c r="G891" s="147"/>
      <c r="H891" s="147"/>
      <c r="I891" s="121"/>
      <c r="J891" s="121"/>
      <c r="K891" s="121"/>
      <c r="L891" s="14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</row>
    <row r="892" spans="1:27" ht="15.6">
      <c r="A892" s="121"/>
      <c r="B892" s="121"/>
      <c r="C892" s="121"/>
      <c r="D892" s="139"/>
      <c r="E892" s="139"/>
      <c r="F892" s="139"/>
      <c r="G892" s="147"/>
      <c r="H892" s="147"/>
      <c r="I892" s="121"/>
      <c r="J892" s="121"/>
      <c r="K892" s="121"/>
      <c r="L892" s="14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</row>
    <row r="893" spans="1:27" ht="15.6">
      <c r="A893" s="121"/>
      <c r="B893" s="121"/>
      <c r="C893" s="121"/>
      <c r="D893" s="139"/>
      <c r="E893" s="139"/>
      <c r="F893" s="139"/>
      <c r="G893" s="147"/>
      <c r="H893" s="147"/>
      <c r="I893" s="121"/>
      <c r="J893" s="121"/>
      <c r="K893" s="121"/>
      <c r="L893" s="14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</row>
    <row r="894" spans="1:27" ht="15.6">
      <c r="A894" s="121"/>
      <c r="B894" s="121"/>
      <c r="C894" s="121"/>
      <c r="D894" s="139"/>
      <c r="E894" s="139"/>
      <c r="F894" s="139"/>
      <c r="G894" s="147"/>
      <c r="H894" s="147"/>
      <c r="I894" s="121"/>
      <c r="J894" s="121"/>
      <c r="K894" s="121"/>
      <c r="L894" s="14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</row>
    <row r="895" spans="1:27" ht="15.6">
      <c r="A895" s="121"/>
      <c r="B895" s="121"/>
      <c r="C895" s="121"/>
      <c r="D895" s="139"/>
      <c r="E895" s="139"/>
      <c r="F895" s="139"/>
      <c r="G895" s="147"/>
      <c r="H895" s="147"/>
      <c r="I895" s="121"/>
      <c r="J895" s="121"/>
      <c r="K895" s="121"/>
      <c r="L895" s="14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</row>
    <row r="896" spans="1:27" ht="15.6">
      <c r="A896" s="121"/>
      <c r="B896" s="121"/>
      <c r="C896" s="121"/>
      <c r="D896" s="139"/>
      <c r="E896" s="139"/>
      <c r="F896" s="139"/>
      <c r="G896" s="147"/>
      <c r="H896" s="147"/>
      <c r="I896" s="121"/>
      <c r="J896" s="121"/>
      <c r="K896" s="121"/>
      <c r="L896" s="14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</row>
    <row r="897" spans="1:27" ht="15.6">
      <c r="A897" s="121"/>
      <c r="B897" s="121"/>
      <c r="C897" s="121"/>
      <c r="D897" s="139"/>
      <c r="E897" s="139"/>
      <c r="F897" s="139"/>
      <c r="G897" s="147"/>
      <c r="H897" s="147"/>
      <c r="I897" s="121"/>
      <c r="J897" s="121"/>
      <c r="K897" s="121"/>
      <c r="L897" s="14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</row>
    <row r="898" spans="1:27" ht="15.6">
      <c r="A898" s="121"/>
      <c r="B898" s="121"/>
      <c r="C898" s="121"/>
      <c r="D898" s="139"/>
      <c r="E898" s="139"/>
      <c r="F898" s="139"/>
      <c r="G898" s="147"/>
      <c r="H898" s="147"/>
      <c r="I898" s="121"/>
      <c r="J898" s="121"/>
      <c r="K898" s="121"/>
      <c r="L898" s="14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</row>
    <row r="899" spans="1:27" ht="15.6">
      <c r="A899" s="121"/>
      <c r="B899" s="121"/>
      <c r="C899" s="121"/>
      <c r="D899" s="139"/>
      <c r="E899" s="139"/>
      <c r="F899" s="139"/>
      <c r="G899" s="147"/>
      <c r="H899" s="147"/>
      <c r="I899" s="121"/>
      <c r="J899" s="121"/>
      <c r="K899" s="121"/>
      <c r="L899" s="14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</row>
    <row r="900" spans="1:27" ht="15.6">
      <c r="A900" s="121"/>
      <c r="B900" s="121"/>
      <c r="C900" s="121"/>
      <c r="D900" s="139"/>
      <c r="E900" s="139"/>
      <c r="F900" s="139"/>
      <c r="G900" s="147"/>
      <c r="H900" s="147"/>
      <c r="I900" s="121"/>
      <c r="J900" s="121"/>
      <c r="K900" s="121"/>
      <c r="L900" s="14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</row>
    <row r="901" spans="1:27" ht="15.6">
      <c r="A901" s="121"/>
      <c r="B901" s="121"/>
      <c r="C901" s="121"/>
      <c r="D901" s="139"/>
      <c r="E901" s="139"/>
      <c r="F901" s="139"/>
      <c r="G901" s="147"/>
      <c r="H901" s="147"/>
      <c r="I901" s="121"/>
      <c r="J901" s="121"/>
      <c r="K901" s="121"/>
      <c r="L901" s="14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</row>
    <row r="902" spans="1:27" ht="15.6">
      <c r="A902" s="121"/>
      <c r="B902" s="121"/>
      <c r="C902" s="121"/>
      <c r="D902" s="139"/>
      <c r="E902" s="139"/>
      <c r="F902" s="139"/>
      <c r="G902" s="147"/>
      <c r="H902" s="147"/>
      <c r="I902" s="121"/>
      <c r="J902" s="121"/>
      <c r="K902" s="121"/>
      <c r="L902" s="14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</row>
    <row r="903" spans="1:27" ht="15.6">
      <c r="A903" s="121"/>
      <c r="B903" s="121"/>
      <c r="C903" s="121"/>
      <c r="D903" s="139"/>
      <c r="E903" s="139"/>
      <c r="F903" s="139"/>
      <c r="G903" s="147"/>
      <c r="H903" s="147"/>
      <c r="I903" s="121"/>
      <c r="J903" s="121"/>
      <c r="K903" s="121"/>
      <c r="L903" s="14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</row>
    <row r="904" spans="1:27" ht="15.6">
      <c r="A904" s="121"/>
      <c r="B904" s="121"/>
      <c r="C904" s="121"/>
      <c r="D904" s="139"/>
      <c r="E904" s="139"/>
      <c r="F904" s="139"/>
      <c r="G904" s="147"/>
      <c r="H904" s="147"/>
      <c r="I904" s="121"/>
      <c r="J904" s="121"/>
      <c r="K904" s="121"/>
      <c r="L904" s="14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</row>
    <row r="905" spans="1:27" ht="15.6">
      <c r="A905" s="121"/>
      <c r="B905" s="121"/>
      <c r="C905" s="121"/>
      <c r="D905" s="139"/>
      <c r="E905" s="139"/>
      <c r="F905" s="139"/>
      <c r="G905" s="147"/>
      <c r="H905" s="147"/>
      <c r="I905" s="121"/>
      <c r="J905" s="121"/>
      <c r="K905" s="121"/>
      <c r="L905" s="14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</row>
    <row r="906" spans="1:27" ht="15.6">
      <c r="A906" s="121"/>
      <c r="B906" s="121"/>
      <c r="C906" s="121"/>
      <c r="D906" s="139"/>
      <c r="E906" s="139"/>
      <c r="F906" s="139"/>
      <c r="G906" s="147"/>
      <c r="H906" s="147"/>
      <c r="I906" s="121"/>
      <c r="J906" s="121"/>
      <c r="K906" s="121"/>
      <c r="L906" s="14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</row>
    <row r="907" spans="1:27" ht="15.6">
      <c r="A907" s="121"/>
      <c r="B907" s="121"/>
      <c r="C907" s="121"/>
      <c r="D907" s="139"/>
      <c r="E907" s="139"/>
      <c r="F907" s="139"/>
      <c r="G907" s="147"/>
      <c r="H907" s="147"/>
      <c r="I907" s="121"/>
      <c r="J907" s="121"/>
      <c r="K907" s="121"/>
      <c r="L907" s="14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</row>
    <row r="908" spans="1:27" ht="15.6">
      <c r="A908" s="121"/>
      <c r="B908" s="121"/>
      <c r="C908" s="121"/>
      <c r="D908" s="139"/>
      <c r="E908" s="139"/>
      <c r="F908" s="139"/>
      <c r="G908" s="147"/>
      <c r="H908" s="147"/>
      <c r="I908" s="121"/>
      <c r="J908" s="121"/>
      <c r="K908" s="121"/>
      <c r="L908" s="14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</row>
    <row r="909" spans="1:27" ht="15.6">
      <c r="A909" s="121"/>
      <c r="B909" s="121"/>
      <c r="C909" s="121"/>
      <c r="D909" s="139"/>
      <c r="E909" s="139"/>
      <c r="F909" s="139"/>
      <c r="G909" s="147"/>
      <c r="H909" s="147"/>
      <c r="I909" s="121"/>
      <c r="J909" s="121"/>
      <c r="K909" s="121"/>
      <c r="L909" s="14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</row>
    <row r="910" spans="1:27" ht="15.6">
      <c r="A910" s="121"/>
      <c r="B910" s="121"/>
      <c r="C910" s="121"/>
      <c r="D910" s="139"/>
      <c r="E910" s="139"/>
      <c r="F910" s="139"/>
      <c r="G910" s="147"/>
      <c r="H910" s="147"/>
      <c r="I910" s="121"/>
      <c r="J910" s="121"/>
      <c r="K910" s="121"/>
      <c r="L910" s="14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</row>
    <row r="911" spans="1:27" ht="15.6">
      <c r="A911" s="121"/>
      <c r="B911" s="121"/>
      <c r="C911" s="121"/>
      <c r="D911" s="139"/>
      <c r="E911" s="139"/>
      <c r="F911" s="139"/>
      <c r="G911" s="147"/>
      <c r="H911" s="147"/>
      <c r="I911" s="121"/>
      <c r="J911" s="121"/>
      <c r="K911" s="121"/>
      <c r="L911" s="14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</row>
    <row r="912" spans="1:27" ht="15.6">
      <c r="A912" s="121"/>
      <c r="B912" s="121"/>
      <c r="C912" s="121"/>
      <c r="D912" s="139"/>
      <c r="E912" s="139"/>
      <c r="F912" s="139"/>
      <c r="G912" s="147"/>
      <c r="H912" s="147"/>
      <c r="I912" s="121"/>
      <c r="J912" s="121"/>
      <c r="K912" s="121"/>
      <c r="L912" s="14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</row>
    <row r="913" spans="1:27" ht="15.6">
      <c r="A913" s="121"/>
      <c r="B913" s="121"/>
      <c r="C913" s="121"/>
      <c r="D913" s="139"/>
      <c r="E913" s="139"/>
      <c r="F913" s="139"/>
      <c r="G913" s="147"/>
      <c r="H913" s="147"/>
      <c r="I913" s="121"/>
      <c r="J913" s="121"/>
      <c r="K913" s="121"/>
      <c r="L913" s="14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</row>
    <row r="914" spans="1:27" ht="15.6">
      <c r="A914" s="121"/>
      <c r="B914" s="121"/>
      <c r="C914" s="121"/>
      <c r="D914" s="139"/>
      <c r="E914" s="139"/>
      <c r="F914" s="139"/>
      <c r="G914" s="147"/>
      <c r="H914" s="147"/>
      <c r="I914" s="121"/>
      <c r="J914" s="121"/>
      <c r="K914" s="121"/>
      <c r="L914" s="14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</row>
    <row r="915" spans="1:27" ht="15.6">
      <c r="A915" s="121"/>
      <c r="B915" s="121"/>
      <c r="C915" s="121"/>
      <c r="D915" s="139"/>
      <c r="E915" s="139"/>
      <c r="F915" s="139"/>
      <c r="G915" s="147"/>
      <c r="H915" s="147"/>
      <c r="I915" s="121"/>
      <c r="J915" s="121"/>
      <c r="K915" s="121"/>
      <c r="L915" s="14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</row>
    <row r="916" spans="1:27" ht="15.6">
      <c r="A916" s="121"/>
      <c r="B916" s="121"/>
      <c r="C916" s="121"/>
      <c r="D916" s="139"/>
      <c r="E916" s="139"/>
      <c r="F916" s="139"/>
      <c r="G916" s="147"/>
      <c r="H916" s="147"/>
      <c r="I916" s="121"/>
      <c r="J916" s="121"/>
      <c r="K916" s="121"/>
      <c r="L916" s="14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</row>
    <row r="917" spans="1:27" ht="15.6">
      <c r="A917" s="121"/>
      <c r="B917" s="121"/>
      <c r="C917" s="121"/>
      <c r="D917" s="139"/>
      <c r="E917" s="139"/>
      <c r="F917" s="139"/>
      <c r="G917" s="147"/>
      <c r="H917" s="147"/>
      <c r="I917" s="121"/>
      <c r="J917" s="121"/>
      <c r="K917" s="121"/>
      <c r="L917" s="14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</row>
    <row r="918" spans="1:27" ht="15.6">
      <c r="A918" s="121"/>
      <c r="B918" s="121"/>
      <c r="C918" s="121"/>
      <c r="D918" s="139"/>
      <c r="E918" s="139"/>
      <c r="F918" s="139"/>
      <c r="G918" s="147"/>
      <c r="H918" s="147"/>
      <c r="I918" s="121"/>
      <c r="J918" s="121"/>
      <c r="K918" s="121"/>
      <c r="L918" s="14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</row>
    <row r="919" spans="1:27" ht="15.6">
      <c r="A919" s="121"/>
      <c r="B919" s="121"/>
      <c r="C919" s="121"/>
      <c r="D919" s="139"/>
      <c r="E919" s="139"/>
      <c r="F919" s="139"/>
      <c r="G919" s="147"/>
      <c r="H919" s="147"/>
      <c r="I919" s="121"/>
      <c r="J919" s="121"/>
      <c r="K919" s="121"/>
      <c r="L919" s="14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</row>
    <row r="920" spans="1:27" ht="15.6">
      <c r="A920" s="121"/>
      <c r="B920" s="121"/>
      <c r="C920" s="121"/>
      <c r="D920" s="139"/>
      <c r="E920" s="139"/>
      <c r="F920" s="139"/>
      <c r="G920" s="147"/>
      <c r="H920" s="147"/>
      <c r="I920" s="121"/>
      <c r="J920" s="121"/>
      <c r="K920" s="121"/>
      <c r="L920" s="14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</row>
    <row r="921" spans="1:27" ht="15.6">
      <c r="A921" s="121"/>
      <c r="B921" s="121"/>
      <c r="C921" s="121"/>
      <c r="D921" s="139"/>
      <c r="E921" s="139"/>
      <c r="F921" s="139"/>
      <c r="G921" s="147"/>
      <c r="H921" s="147"/>
      <c r="I921" s="121"/>
      <c r="J921" s="121"/>
      <c r="K921" s="121"/>
      <c r="L921" s="14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</row>
    <row r="922" spans="1:27" ht="15.6">
      <c r="A922" s="121"/>
      <c r="B922" s="121"/>
      <c r="C922" s="121"/>
      <c r="D922" s="139"/>
      <c r="E922" s="139"/>
      <c r="F922" s="139"/>
      <c r="G922" s="147"/>
      <c r="H922" s="147"/>
      <c r="I922" s="121"/>
      <c r="J922" s="121"/>
      <c r="K922" s="121"/>
      <c r="L922" s="14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</row>
    <row r="923" spans="1:27" ht="15.6">
      <c r="A923" s="121"/>
      <c r="B923" s="121"/>
      <c r="C923" s="121"/>
      <c r="D923" s="139"/>
      <c r="E923" s="139"/>
      <c r="F923" s="139"/>
      <c r="G923" s="147"/>
      <c r="H923" s="147"/>
      <c r="I923" s="121"/>
      <c r="J923" s="121"/>
      <c r="K923" s="121"/>
      <c r="L923" s="14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</row>
    <row r="924" spans="1:27" ht="15.6">
      <c r="A924" s="121"/>
      <c r="B924" s="121"/>
      <c r="C924" s="121"/>
      <c r="D924" s="139"/>
      <c r="E924" s="139"/>
      <c r="F924" s="139"/>
      <c r="G924" s="147"/>
      <c r="H924" s="147"/>
      <c r="I924" s="121"/>
      <c r="J924" s="121"/>
      <c r="K924" s="121"/>
      <c r="L924" s="14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</row>
    <row r="925" spans="1:27" ht="15.6">
      <c r="A925" s="121"/>
      <c r="B925" s="121"/>
      <c r="C925" s="121"/>
      <c r="D925" s="139"/>
      <c r="E925" s="139"/>
      <c r="F925" s="139"/>
      <c r="G925" s="147"/>
      <c r="H925" s="147"/>
      <c r="I925" s="121"/>
      <c r="J925" s="121"/>
      <c r="K925" s="121"/>
      <c r="L925" s="14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</row>
    <row r="926" spans="1:27" ht="15.6">
      <c r="A926" s="121"/>
      <c r="B926" s="121"/>
      <c r="C926" s="121"/>
      <c r="D926" s="139"/>
      <c r="E926" s="139"/>
      <c r="F926" s="139"/>
      <c r="G926" s="147"/>
      <c r="H926" s="147"/>
      <c r="I926" s="121"/>
      <c r="J926" s="121"/>
      <c r="K926" s="121"/>
      <c r="L926" s="14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</row>
    <row r="927" spans="1:27" ht="15.6">
      <c r="A927" s="121"/>
      <c r="B927" s="121"/>
      <c r="C927" s="121"/>
      <c r="D927" s="139"/>
      <c r="E927" s="139"/>
      <c r="F927" s="139"/>
      <c r="G927" s="147"/>
      <c r="H927" s="147"/>
      <c r="I927" s="121"/>
      <c r="J927" s="121"/>
      <c r="K927" s="121"/>
      <c r="L927" s="14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</row>
    <row r="928" spans="1:27" ht="15.6">
      <c r="A928" s="121"/>
      <c r="B928" s="121"/>
      <c r="C928" s="121"/>
      <c r="D928" s="139"/>
      <c r="E928" s="139"/>
      <c r="F928" s="139"/>
      <c r="G928" s="147"/>
      <c r="H928" s="147"/>
      <c r="I928" s="121"/>
      <c r="J928" s="121"/>
      <c r="K928" s="121"/>
      <c r="L928" s="14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</row>
    <row r="929" spans="1:27" ht="15.6">
      <c r="A929" s="121"/>
      <c r="B929" s="121"/>
      <c r="C929" s="121"/>
      <c r="D929" s="139"/>
      <c r="E929" s="139"/>
      <c r="F929" s="139"/>
      <c r="G929" s="147"/>
      <c r="H929" s="147"/>
      <c r="I929" s="121"/>
      <c r="J929" s="121"/>
      <c r="K929" s="121"/>
      <c r="L929" s="14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</row>
    <row r="930" spans="1:27" ht="15.6">
      <c r="A930" s="121"/>
      <c r="B930" s="121"/>
      <c r="C930" s="121"/>
      <c r="D930" s="139"/>
      <c r="E930" s="139"/>
      <c r="F930" s="139"/>
      <c r="G930" s="147"/>
      <c r="H930" s="147"/>
      <c r="I930" s="121"/>
      <c r="J930" s="121"/>
      <c r="K930" s="121"/>
      <c r="L930" s="14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</row>
    <row r="931" spans="1:27" ht="15.6">
      <c r="A931" s="121"/>
      <c r="B931" s="121"/>
      <c r="C931" s="121"/>
      <c r="D931" s="139"/>
      <c r="E931" s="139"/>
      <c r="F931" s="139"/>
      <c r="G931" s="147"/>
      <c r="H931" s="147"/>
      <c r="I931" s="121"/>
      <c r="J931" s="121"/>
      <c r="K931" s="121"/>
      <c r="L931" s="14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</row>
    <row r="932" spans="1:27" ht="15.6">
      <c r="A932" s="121"/>
      <c r="B932" s="121"/>
      <c r="C932" s="121"/>
      <c r="D932" s="139"/>
      <c r="E932" s="139"/>
      <c r="F932" s="139"/>
      <c r="G932" s="147"/>
      <c r="H932" s="147"/>
      <c r="I932" s="121"/>
      <c r="J932" s="121"/>
      <c r="K932" s="121"/>
      <c r="L932" s="14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</row>
    <row r="933" spans="1:27" ht="15.6">
      <c r="A933" s="121"/>
      <c r="B933" s="121"/>
      <c r="C933" s="121"/>
      <c r="D933" s="139"/>
      <c r="E933" s="139"/>
      <c r="F933" s="139"/>
      <c r="G933" s="147"/>
      <c r="H933" s="147"/>
      <c r="I933" s="121"/>
      <c r="J933" s="121"/>
      <c r="K933" s="121"/>
      <c r="L933" s="14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</row>
    <row r="934" spans="1:27" ht="15.6">
      <c r="A934" s="121"/>
      <c r="B934" s="121"/>
      <c r="C934" s="121"/>
      <c r="D934" s="139"/>
      <c r="E934" s="139"/>
      <c r="F934" s="139"/>
      <c r="G934" s="147"/>
      <c r="H934" s="147"/>
      <c r="I934" s="121"/>
      <c r="J934" s="121"/>
      <c r="K934" s="121"/>
      <c r="L934" s="14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</row>
    <row r="935" spans="1:27" ht="15.6">
      <c r="A935" s="121"/>
      <c r="B935" s="121"/>
      <c r="C935" s="121"/>
      <c r="D935" s="139"/>
      <c r="E935" s="139"/>
      <c r="F935" s="139"/>
      <c r="G935" s="147"/>
      <c r="H935" s="147"/>
      <c r="I935" s="121"/>
      <c r="J935" s="121"/>
      <c r="K935" s="121"/>
      <c r="L935" s="14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</row>
    <row r="936" spans="1:27" ht="15.6">
      <c r="A936" s="121"/>
      <c r="B936" s="121"/>
      <c r="C936" s="121"/>
      <c r="D936" s="139"/>
      <c r="E936" s="139"/>
      <c r="F936" s="139"/>
      <c r="G936" s="147"/>
      <c r="H936" s="147"/>
      <c r="I936" s="121"/>
      <c r="J936" s="121"/>
      <c r="K936" s="121"/>
      <c r="L936" s="14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</row>
    <row r="937" spans="1:27" ht="15.6">
      <c r="A937" s="121"/>
      <c r="B937" s="121"/>
      <c r="C937" s="121"/>
      <c r="D937" s="139"/>
      <c r="E937" s="139"/>
      <c r="F937" s="139"/>
      <c r="G937" s="147"/>
      <c r="H937" s="147"/>
      <c r="I937" s="121"/>
      <c r="J937" s="121"/>
      <c r="K937" s="121"/>
      <c r="L937" s="14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</row>
    <row r="938" spans="1:27" ht="15.6">
      <c r="A938" s="121"/>
      <c r="B938" s="121"/>
      <c r="C938" s="121"/>
      <c r="D938" s="139"/>
      <c r="E938" s="139"/>
      <c r="F938" s="139"/>
      <c r="G938" s="147"/>
      <c r="H938" s="147"/>
      <c r="I938" s="121"/>
      <c r="J938" s="121"/>
      <c r="K938" s="121"/>
      <c r="L938" s="14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</row>
    <row r="939" spans="1:27" ht="15.6">
      <c r="A939" s="121"/>
      <c r="B939" s="121"/>
      <c r="C939" s="121"/>
      <c r="D939" s="139"/>
      <c r="E939" s="139"/>
      <c r="F939" s="139"/>
      <c r="G939" s="147"/>
      <c r="H939" s="147"/>
      <c r="I939" s="121"/>
      <c r="J939" s="121"/>
      <c r="K939" s="121"/>
      <c r="L939" s="14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</row>
    <row r="940" spans="1:27" ht="15.6">
      <c r="A940" s="121"/>
      <c r="B940" s="121"/>
      <c r="C940" s="121"/>
      <c r="D940" s="139"/>
      <c r="E940" s="139"/>
      <c r="F940" s="139"/>
      <c r="G940" s="147"/>
      <c r="H940" s="147"/>
      <c r="I940" s="121"/>
      <c r="J940" s="121"/>
      <c r="K940" s="121"/>
      <c r="L940" s="14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</row>
    <row r="941" spans="1:27" ht="15.6">
      <c r="A941" s="121"/>
      <c r="B941" s="121"/>
      <c r="C941" s="121"/>
      <c r="D941" s="139"/>
      <c r="E941" s="139"/>
      <c r="F941" s="139"/>
      <c r="G941" s="147"/>
      <c r="H941" s="147"/>
      <c r="I941" s="121"/>
      <c r="J941" s="121"/>
      <c r="K941" s="121"/>
      <c r="L941" s="14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</row>
    <row r="942" spans="1:27" ht="15.6">
      <c r="A942" s="121"/>
      <c r="B942" s="121"/>
      <c r="C942" s="121"/>
      <c r="D942" s="139"/>
      <c r="E942" s="139"/>
      <c r="F942" s="139"/>
      <c r="G942" s="147"/>
      <c r="H942" s="147"/>
      <c r="I942" s="121"/>
      <c r="J942" s="121"/>
      <c r="K942" s="121"/>
      <c r="L942" s="14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</row>
    <row r="943" spans="1:27" ht="15.6">
      <c r="A943" s="121"/>
      <c r="B943" s="121"/>
      <c r="C943" s="121"/>
      <c r="D943" s="139"/>
      <c r="E943" s="139"/>
      <c r="F943" s="139"/>
      <c r="G943" s="147"/>
      <c r="H943" s="147"/>
      <c r="I943" s="121"/>
      <c r="J943" s="121"/>
      <c r="K943" s="121"/>
      <c r="L943" s="14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</row>
    <row r="944" spans="1:27" ht="15.6">
      <c r="A944" s="121"/>
      <c r="B944" s="121"/>
      <c r="C944" s="121"/>
      <c r="D944" s="139"/>
      <c r="E944" s="139"/>
      <c r="F944" s="139"/>
      <c r="G944" s="147"/>
      <c r="H944" s="147"/>
      <c r="I944" s="121"/>
      <c r="J944" s="121"/>
      <c r="K944" s="121"/>
      <c r="L944" s="14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</row>
    <row r="945" spans="1:27" ht="15.6">
      <c r="A945" s="121"/>
      <c r="B945" s="121"/>
      <c r="C945" s="121"/>
      <c r="D945" s="139"/>
      <c r="E945" s="139"/>
      <c r="F945" s="139"/>
      <c r="G945" s="147"/>
      <c r="H945" s="147"/>
      <c r="I945" s="121"/>
      <c r="J945" s="121"/>
      <c r="K945" s="121"/>
      <c r="L945" s="14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</row>
    <row r="946" spans="1:27" ht="15.6">
      <c r="A946" s="121"/>
      <c r="B946" s="121"/>
      <c r="C946" s="121"/>
      <c r="D946" s="139"/>
      <c r="E946" s="139"/>
      <c r="F946" s="139"/>
      <c r="G946" s="147"/>
      <c r="H946" s="147"/>
      <c r="I946" s="121"/>
      <c r="J946" s="121"/>
      <c r="K946" s="121"/>
      <c r="L946" s="14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</row>
    <row r="947" spans="1:27" ht="15.6">
      <c r="A947" s="121"/>
      <c r="B947" s="121"/>
      <c r="C947" s="121"/>
      <c r="D947" s="139"/>
      <c r="E947" s="139"/>
      <c r="F947" s="139"/>
      <c r="G947" s="147"/>
      <c r="H947" s="147"/>
      <c r="I947" s="121"/>
      <c r="J947" s="121"/>
      <c r="K947" s="121"/>
      <c r="L947" s="14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</row>
    <row r="948" spans="1:27" ht="15.6">
      <c r="A948" s="121"/>
      <c r="B948" s="121"/>
      <c r="C948" s="121"/>
      <c r="D948" s="139"/>
      <c r="E948" s="139"/>
      <c r="F948" s="139"/>
      <c r="G948" s="147"/>
      <c r="H948" s="147"/>
      <c r="I948" s="121"/>
      <c r="J948" s="121"/>
      <c r="K948" s="121"/>
      <c r="L948" s="14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</row>
    <row r="949" spans="1:27" ht="15.6">
      <c r="A949" s="121"/>
      <c r="B949" s="121"/>
      <c r="C949" s="121"/>
      <c r="D949" s="139"/>
      <c r="E949" s="139"/>
      <c r="F949" s="139"/>
      <c r="G949" s="147"/>
      <c r="H949" s="147"/>
      <c r="I949" s="121"/>
      <c r="J949" s="121"/>
      <c r="K949" s="121"/>
      <c r="L949" s="14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</row>
    <row r="950" spans="1:27" ht="15.6">
      <c r="A950" s="121"/>
      <c r="B950" s="121"/>
      <c r="C950" s="121"/>
      <c r="D950" s="139"/>
      <c r="E950" s="139"/>
      <c r="F950" s="139"/>
      <c r="G950" s="147"/>
      <c r="H950" s="147"/>
      <c r="I950" s="121"/>
      <c r="J950" s="121"/>
      <c r="K950" s="121"/>
      <c r="L950" s="14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</row>
    <row r="951" spans="1:27" ht="15.6">
      <c r="A951" s="121"/>
      <c r="B951" s="121"/>
      <c r="C951" s="121"/>
      <c r="D951" s="139"/>
      <c r="E951" s="139"/>
      <c r="F951" s="139"/>
      <c r="G951" s="147"/>
      <c r="H951" s="147"/>
      <c r="I951" s="121"/>
      <c r="J951" s="121"/>
      <c r="K951" s="121"/>
      <c r="L951" s="14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</row>
    <row r="952" spans="1:27" ht="15.6">
      <c r="A952" s="121"/>
      <c r="B952" s="121"/>
      <c r="C952" s="121"/>
      <c r="D952" s="139"/>
      <c r="E952" s="139"/>
      <c r="F952" s="139"/>
      <c r="G952" s="147"/>
      <c r="H952" s="147"/>
      <c r="I952" s="121"/>
      <c r="J952" s="121"/>
      <c r="K952" s="121"/>
      <c r="L952" s="14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</row>
    <row r="953" spans="1:27" ht="15.6">
      <c r="A953" s="121"/>
      <c r="B953" s="121"/>
      <c r="C953" s="121"/>
      <c r="D953" s="139"/>
      <c r="E953" s="139"/>
      <c r="F953" s="139"/>
      <c r="G953" s="147"/>
      <c r="H953" s="147"/>
      <c r="I953" s="121"/>
      <c r="J953" s="121"/>
      <c r="K953" s="121"/>
      <c r="L953" s="14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</row>
    <row r="954" spans="1:27" ht="15.6">
      <c r="A954" s="121"/>
      <c r="B954" s="121"/>
      <c r="C954" s="121"/>
      <c r="D954" s="139"/>
      <c r="E954" s="139"/>
      <c r="F954" s="139"/>
      <c r="G954" s="147"/>
      <c r="H954" s="147"/>
      <c r="I954" s="121"/>
      <c r="J954" s="121"/>
      <c r="K954" s="121"/>
      <c r="L954" s="14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</row>
    <row r="955" spans="1:27" ht="15.6">
      <c r="A955" s="121"/>
      <c r="B955" s="121"/>
      <c r="C955" s="121"/>
      <c r="D955" s="139"/>
      <c r="E955" s="139"/>
      <c r="F955" s="139"/>
      <c r="G955" s="147"/>
      <c r="H955" s="147"/>
      <c r="I955" s="121"/>
      <c r="J955" s="121"/>
      <c r="K955" s="121"/>
      <c r="L955" s="14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</row>
    <row r="956" spans="1:27" ht="15.6">
      <c r="A956" s="121"/>
      <c r="B956" s="121"/>
      <c r="C956" s="121"/>
      <c r="D956" s="139"/>
      <c r="E956" s="139"/>
      <c r="F956" s="139"/>
      <c r="G956" s="147"/>
      <c r="H956" s="147"/>
      <c r="I956" s="121"/>
      <c r="J956" s="121"/>
      <c r="K956" s="121"/>
      <c r="L956" s="14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</row>
    <row r="957" spans="1:27" ht="15.6">
      <c r="A957" s="121"/>
      <c r="B957" s="121"/>
      <c r="C957" s="121"/>
      <c r="D957" s="139"/>
      <c r="E957" s="139"/>
      <c r="F957" s="139"/>
      <c r="G957" s="147"/>
      <c r="H957" s="147"/>
      <c r="I957" s="121"/>
      <c r="J957" s="121"/>
      <c r="K957" s="121"/>
      <c r="L957" s="14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</row>
    <row r="958" spans="1:27" ht="15.6">
      <c r="A958" s="121"/>
      <c r="B958" s="121"/>
      <c r="C958" s="121"/>
      <c r="D958" s="139"/>
      <c r="E958" s="139"/>
      <c r="F958" s="139"/>
      <c r="G958" s="147"/>
      <c r="H958" s="147"/>
      <c r="I958" s="121"/>
      <c r="J958" s="121"/>
      <c r="K958" s="121"/>
      <c r="L958" s="14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</row>
    <row r="959" spans="1:27" ht="15.6">
      <c r="A959" s="121"/>
      <c r="B959" s="121"/>
      <c r="C959" s="121"/>
      <c r="D959" s="139"/>
      <c r="E959" s="139"/>
      <c r="F959" s="139"/>
      <c r="G959" s="147"/>
      <c r="H959" s="147"/>
      <c r="I959" s="121"/>
      <c r="J959" s="121"/>
      <c r="K959" s="121"/>
      <c r="L959" s="14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</row>
    <row r="960" spans="1:27" ht="15.6">
      <c r="A960" s="121"/>
      <c r="B960" s="121"/>
      <c r="C960" s="121"/>
      <c r="D960" s="139"/>
      <c r="E960" s="139"/>
      <c r="F960" s="139"/>
      <c r="G960" s="147"/>
      <c r="H960" s="147"/>
      <c r="I960" s="121"/>
      <c r="J960" s="121"/>
      <c r="K960" s="121"/>
      <c r="L960" s="14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</row>
    <row r="961" spans="1:27" ht="15.6">
      <c r="A961" s="121"/>
      <c r="B961" s="121"/>
      <c r="C961" s="121"/>
      <c r="D961" s="139"/>
      <c r="E961" s="139"/>
      <c r="F961" s="139"/>
      <c r="G961" s="147"/>
      <c r="H961" s="147"/>
      <c r="I961" s="121"/>
      <c r="J961" s="121"/>
      <c r="K961" s="121"/>
      <c r="L961" s="14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</row>
    <row r="962" spans="1:27" ht="15.6">
      <c r="A962" s="121"/>
      <c r="B962" s="121"/>
      <c r="C962" s="121"/>
      <c r="D962" s="139"/>
      <c r="E962" s="139"/>
      <c r="F962" s="139"/>
      <c r="G962" s="147"/>
      <c r="H962" s="147"/>
      <c r="I962" s="121"/>
      <c r="J962" s="121"/>
      <c r="K962" s="121"/>
      <c r="L962" s="14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</row>
    <row r="963" spans="1:27" ht="15.6">
      <c r="A963" s="121"/>
      <c r="B963" s="121"/>
      <c r="C963" s="121"/>
      <c r="D963" s="139"/>
      <c r="E963" s="139"/>
      <c r="F963" s="139"/>
      <c r="G963" s="147"/>
      <c r="H963" s="147"/>
      <c r="I963" s="121"/>
      <c r="J963" s="121"/>
      <c r="K963" s="121"/>
      <c r="L963" s="14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</row>
    <row r="964" spans="1:27" ht="15.6">
      <c r="A964" s="121"/>
      <c r="B964" s="121"/>
      <c r="C964" s="121"/>
      <c r="D964" s="139"/>
      <c r="E964" s="139"/>
      <c r="F964" s="139"/>
      <c r="G964" s="147"/>
      <c r="H964" s="147"/>
      <c r="I964" s="121"/>
      <c r="J964" s="121"/>
      <c r="K964" s="121"/>
      <c r="L964" s="14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</row>
    <row r="965" spans="1:27" ht="15.6">
      <c r="A965" s="121"/>
      <c r="B965" s="121"/>
      <c r="C965" s="121"/>
      <c r="D965" s="139"/>
      <c r="E965" s="139"/>
      <c r="F965" s="139"/>
      <c r="G965" s="147"/>
      <c r="H965" s="147"/>
      <c r="I965" s="121"/>
      <c r="J965" s="121"/>
      <c r="K965" s="121"/>
      <c r="L965" s="14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</row>
    <row r="966" spans="1:27" ht="15.6">
      <c r="A966" s="121"/>
      <c r="B966" s="121"/>
      <c r="C966" s="121"/>
      <c r="D966" s="139"/>
      <c r="E966" s="139"/>
      <c r="F966" s="139"/>
      <c r="G966" s="147"/>
      <c r="H966" s="147"/>
      <c r="I966" s="121"/>
      <c r="J966" s="121"/>
      <c r="K966" s="121"/>
      <c r="L966" s="14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</row>
    <row r="967" spans="1:27" ht="15.6">
      <c r="A967" s="121"/>
      <c r="B967" s="121"/>
      <c r="C967" s="121"/>
      <c r="D967" s="139"/>
      <c r="E967" s="139"/>
      <c r="F967" s="139"/>
      <c r="G967" s="147"/>
      <c r="H967" s="147"/>
      <c r="I967" s="121"/>
      <c r="J967" s="121"/>
      <c r="K967" s="121"/>
      <c r="L967" s="14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</row>
    <row r="968" spans="1:27" ht="15.6">
      <c r="A968" s="121"/>
      <c r="B968" s="121"/>
      <c r="C968" s="121"/>
      <c r="D968" s="139"/>
      <c r="E968" s="139"/>
      <c r="F968" s="139"/>
      <c r="G968" s="147"/>
      <c r="H968" s="147"/>
      <c r="I968" s="121"/>
      <c r="J968" s="121"/>
      <c r="K968" s="121"/>
      <c r="L968" s="14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</row>
    <row r="969" spans="1:27" ht="15.6">
      <c r="A969" s="121"/>
      <c r="B969" s="121"/>
      <c r="C969" s="121"/>
      <c r="D969" s="139"/>
      <c r="E969" s="139"/>
      <c r="F969" s="139"/>
      <c r="G969" s="147"/>
      <c r="H969" s="147"/>
      <c r="I969" s="121"/>
      <c r="J969" s="121"/>
      <c r="K969" s="121"/>
      <c r="L969" s="14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</row>
    <row r="970" spans="1:27" ht="15.6">
      <c r="A970" s="121"/>
      <c r="B970" s="121"/>
      <c r="C970" s="121"/>
      <c r="D970" s="139"/>
      <c r="E970" s="139"/>
      <c r="F970" s="139"/>
      <c r="G970" s="147"/>
      <c r="H970" s="147"/>
      <c r="I970" s="121"/>
      <c r="J970" s="121"/>
      <c r="K970" s="121"/>
      <c r="L970" s="14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</row>
    <row r="971" spans="1:27" ht="15.6">
      <c r="A971" s="121"/>
      <c r="B971" s="121"/>
      <c r="C971" s="121"/>
      <c r="D971" s="139"/>
      <c r="E971" s="139"/>
      <c r="F971" s="139"/>
      <c r="G971" s="147"/>
      <c r="H971" s="147"/>
      <c r="I971" s="121"/>
      <c r="J971" s="121"/>
      <c r="K971" s="121"/>
      <c r="L971" s="14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</row>
    <row r="972" spans="1:27" ht="15.6">
      <c r="A972" s="121"/>
      <c r="B972" s="121"/>
      <c r="C972" s="121"/>
      <c r="D972" s="139"/>
      <c r="E972" s="139"/>
      <c r="F972" s="139"/>
      <c r="G972" s="147"/>
      <c r="H972" s="147"/>
      <c r="I972" s="121"/>
      <c r="J972" s="121"/>
      <c r="K972" s="121"/>
      <c r="L972" s="14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</row>
    <row r="973" spans="1:27" ht="15.6">
      <c r="A973" s="121"/>
      <c r="B973" s="121"/>
      <c r="C973" s="121"/>
      <c r="D973" s="139"/>
      <c r="E973" s="139"/>
      <c r="F973" s="139"/>
      <c r="G973" s="147"/>
      <c r="H973" s="147"/>
      <c r="I973" s="121"/>
      <c r="J973" s="121"/>
      <c r="K973" s="121"/>
      <c r="L973" s="14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</row>
    <row r="974" spans="1:27" ht="15.6">
      <c r="A974" s="121"/>
      <c r="B974" s="121"/>
      <c r="C974" s="121"/>
      <c r="D974" s="139"/>
      <c r="E974" s="139"/>
      <c r="F974" s="139"/>
      <c r="G974" s="147"/>
      <c r="H974" s="147"/>
      <c r="I974" s="121"/>
      <c r="J974" s="121"/>
      <c r="K974" s="121"/>
      <c r="L974" s="14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</row>
    <row r="975" spans="1:27" ht="15.6">
      <c r="A975" s="121"/>
      <c r="B975" s="121"/>
      <c r="C975" s="121"/>
      <c r="D975" s="139"/>
      <c r="E975" s="139"/>
      <c r="F975" s="139"/>
      <c r="G975" s="147"/>
      <c r="H975" s="147"/>
      <c r="I975" s="121"/>
      <c r="J975" s="121"/>
      <c r="K975" s="121"/>
      <c r="L975" s="14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</row>
    <row r="976" spans="1:27" ht="15.6">
      <c r="A976" s="121"/>
      <c r="B976" s="121"/>
      <c r="C976" s="121"/>
      <c r="D976" s="139"/>
      <c r="E976" s="139"/>
      <c r="F976" s="139"/>
      <c r="G976" s="147"/>
      <c r="H976" s="147"/>
      <c r="I976" s="121"/>
      <c r="J976" s="121"/>
      <c r="K976" s="121"/>
      <c r="L976" s="14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</row>
    <row r="977" spans="1:27" ht="15.6">
      <c r="A977" s="121"/>
      <c r="B977" s="121"/>
      <c r="C977" s="121"/>
      <c r="D977" s="139"/>
      <c r="E977" s="139"/>
      <c r="F977" s="139"/>
      <c r="G977" s="147"/>
      <c r="H977" s="147"/>
      <c r="I977" s="121"/>
      <c r="J977" s="121"/>
      <c r="K977" s="121"/>
      <c r="L977" s="14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</row>
    <row r="978" spans="1:27" ht="15.6">
      <c r="A978" s="121"/>
      <c r="B978" s="121"/>
      <c r="C978" s="121"/>
      <c r="D978" s="139"/>
      <c r="E978" s="139"/>
      <c r="F978" s="139"/>
      <c r="G978" s="147"/>
      <c r="H978" s="147"/>
      <c r="I978" s="121"/>
      <c r="J978" s="121"/>
      <c r="K978" s="121"/>
      <c r="L978" s="14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</row>
    <row r="979" spans="1:27" ht="15.6">
      <c r="A979" s="121"/>
      <c r="B979" s="121"/>
      <c r="C979" s="121"/>
      <c r="D979" s="139"/>
      <c r="E979" s="139"/>
      <c r="F979" s="139"/>
      <c r="G979" s="147"/>
      <c r="H979" s="147"/>
      <c r="I979" s="121"/>
      <c r="J979" s="121"/>
      <c r="K979" s="121"/>
      <c r="L979" s="14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</row>
    <row r="980" spans="1:27" ht="15.6">
      <c r="A980" s="121"/>
      <c r="B980" s="121"/>
      <c r="C980" s="121"/>
      <c r="D980" s="139"/>
      <c r="E980" s="139"/>
      <c r="F980" s="139"/>
      <c r="G980" s="147"/>
      <c r="H980" s="147"/>
      <c r="I980" s="121"/>
      <c r="J980" s="121"/>
      <c r="K980" s="121"/>
      <c r="L980" s="14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</row>
    <row r="981" spans="1:27" ht="15.6">
      <c r="A981" s="121"/>
      <c r="B981" s="121"/>
      <c r="C981" s="121"/>
      <c r="D981" s="139"/>
      <c r="E981" s="139"/>
      <c r="F981" s="139"/>
      <c r="G981" s="147"/>
      <c r="H981" s="147"/>
      <c r="I981" s="121"/>
      <c r="J981" s="121"/>
      <c r="K981" s="121"/>
      <c r="L981" s="14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</row>
    <row r="982" spans="1:27" ht="15.6">
      <c r="A982" s="121"/>
      <c r="B982" s="121"/>
      <c r="C982" s="121"/>
      <c r="D982" s="139"/>
      <c r="E982" s="139"/>
      <c r="F982" s="139"/>
      <c r="G982" s="147"/>
      <c r="H982" s="147"/>
      <c r="I982" s="121"/>
      <c r="J982" s="121"/>
      <c r="K982" s="121"/>
      <c r="L982" s="14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</row>
    <row r="983" spans="1:27" ht="15.6">
      <c r="A983" s="121"/>
      <c r="B983" s="121"/>
      <c r="C983" s="121"/>
      <c r="D983" s="139"/>
      <c r="E983" s="139"/>
      <c r="F983" s="139"/>
      <c r="G983" s="147"/>
      <c r="H983" s="147"/>
      <c r="I983" s="121"/>
      <c r="J983" s="121"/>
      <c r="K983" s="121"/>
      <c r="L983" s="14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</row>
    <row r="984" spans="1:27" ht="15.6">
      <c r="A984" s="121"/>
      <c r="B984" s="121"/>
      <c r="C984" s="121"/>
      <c r="D984" s="139"/>
      <c r="E984" s="139"/>
      <c r="F984" s="139"/>
      <c r="G984" s="147"/>
      <c r="H984" s="147"/>
      <c r="I984" s="121"/>
      <c r="J984" s="121"/>
      <c r="K984" s="121"/>
      <c r="L984" s="14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</row>
    <row r="985" spans="1:27" ht="15.6">
      <c r="A985" s="121"/>
      <c r="B985" s="121"/>
      <c r="C985" s="121"/>
      <c r="D985" s="139"/>
      <c r="E985" s="139"/>
      <c r="F985" s="139"/>
      <c r="G985" s="147"/>
      <c r="H985" s="147"/>
      <c r="I985" s="121"/>
      <c r="J985" s="121"/>
      <c r="K985" s="121"/>
      <c r="L985" s="14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</row>
    <row r="986" spans="1:27" ht="15.6">
      <c r="A986" s="121"/>
      <c r="B986" s="121"/>
      <c r="C986" s="121"/>
      <c r="D986" s="139"/>
      <c r="E986" s="139"/>
      <c r="F986" s="139"/>
      <c r="G986" s="147"/>
      <c r="H986" s="147"/>
      <c r="I986" s="121"/>
      <c r="J986" s="121"/>
      <c r="K986" s="121"/>
      <c r="L986" s="14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</row>
    <row r="987" spans="1:27" ht="15.6">
      <c r="A987" s="121"/>
      <c r="B987" s="121"/>
      <c r="C987" s="121"/>
      <c r="D987" s="139"/>
      <c r="E987" s="139"/>
      <c r="F987" s="139"/>
      <c r="G987" s="147"/>
      <c r="H987" s="147"/>
      <c r="I987" s="121"/>
      <c r="J987" s="121"/>
      <c r="K987" s="121"/>
      <c r="L987" s="14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</row>
    <row r="988" spans="1:27" ht="15.6">
      <c r="A988" s="121"/>
      <c r="B988" s="121"/>
      <c r="C988" s="121"/>
      <c r="D988" s="139"/>
      <c r="E988" s="139"/>
      <c r="F988" s="139"/>
      <c r="G988" s="147"/>
      <c r="H988" s="147"/>
      <c r="I988" s="121"/>
      <c r="J988" s="121"/>
      <c r="K988" s="121"/>
      <c r="L988" s="14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</row>
    <row r="989" spans="1:27" ht="15.6">
      <c r="A989" s="121"/>
      <c r="B989" s="121"/>
      <c r="C989" s="121"/>
      <c r="D989" s="139"/>
      <c r="E989" s="139"/>
      <c r="F989" s="139"/>
      <c r="G989" s="147"/>
      <c r="H989" s="147"/>
      <c r="I989" s="121"/>
      <c r="J989" s="121"/>
      <c r="K989" s="121"/>
      <c r="L989" s="14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</row>
    <row r="990" spans="1:27" ht="15.6">
      <c r="A990" s="121"/>
      <c r="B990" s="121"/>
      <c r="C990" s="121"/>
      <c r="D990" s="139"/>
      <c r="E990" s="139"/>
      <c r="F990" s="139"/>
      <c r="G990" s="147"/>
      <c r="H990" s="147"/>
      <c r="I990" s="121"/>
      <c r="J990" s="121"/>
      <c r="K990" s="121"/>
      <c r="L990" s="14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</row>
    <row r="991" spans="1:27" ht="15.6">
      <c r="A991" s="121"/>
      <c r="B991" s="121"/>
      <c r="C991" s="121"/>
      <c r="D991" s="139"/>
      <c r="E991" s="139"/>
      <c r="F991" s="139"/>
      <c r="G991" s="147"/>
      <c r="H991" s="147"/>
      <c r="I991" s="121"/>
      <c r="J991" s="121"/>
      <c r="K991" s="121"/>
      <c r="L991" s="14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</row>
    <row r="992" spans="1:27" ht="15.6">
      <c r="A992" s="121"/>
      <c r="B992" s="121"/>
      <c r="C992" s="121"/>
      <c r="D992" s="139"/>
      <c r="E992" s="139"/>
      <c r="F992" s="139"/>
      <c r="G992" s="147"/>
      <c r="H992" s="147"/>
      <c r="I992" s="121"/>
      <c r="J992" s="121"/>
      <c r="K992" s="121"/>
      <c r="L992" s="14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</row>
    <row r="993" spans="1:27" ht="15.6">
      <c r="A993" s="121"/>
      <c r="B993" s="121"/>
      <c r="C993" s="121"/>
      <c r="D993" s="139"/>
      <c r="E993" s="139"/>
      <c r="F993" s="139"/>
      <c r="G993" s="147"/>
      <c r="H993" s="147"/>
      <c r="I993" s="121"/>
      <c r="J993" s="121"/>
      <c r="K993" s="121"/>
      <c r="L993" s="14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</row>
    <row r="994" spans="1:27" ht="15.6">
      <c r="A994" s="121"/>
      <c r="B994" s="121"/>
      <c r="C994" s="121"/>
      <c r="D994" s="139"/>
      <c r="E994" s="139"/>
      <c r="F994" s="139"/>
      <c r="G994" s="147"/>
      <c r="H994" s="147"/>
      <c r="I994" s="121"/>
      <c r="J994" s="121"/>
      <c r="K994" s="121"/>
      <c r="L994" s="14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</row>
    <row r="995" spans="1:27" ht="15.6">
      <c r="A995" s="121"/>
      <c r="B995" s="121"/>
      <c r="C995" s="121"/>
      <c r="D995" s="139"/>
      <c r="E995" s="139"/>
      <c r="F995" s="139"/>
      <c r="G995" s="147"/>
      <c r="H995" s="147"/>
      <c r="I995" s="121"/>
      <c r="J995" s="121"/>
      <c r="K995" s="121"/>
      <c r="L995" s="14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</row>
    <row r="996" spans="1:27" ht="15.6">
      <c r="A996" s="121"/>
      <c r="B996" s="121"/>
      <c r="C996" s="121"/>
      <c r="D996" s="139"/>
      <c r="E996" s="139"/>
      <c r="F996" s="139"/>
      <c r="G996" s="147"/>
      <c r="H996" s="147"/>
      <c r="I996" s="121"/>
      <c r="J996" s="121"/>
      <c r="K996" s="121"/>
      <c r="L996" s="14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</row>
  </sheetData>
  <autoFilter ref="A1:AA39" xr:uid="{00000000-0009-0000-0000-000004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0"/>
  <sheetViews>
    <sheetView workbookViewId="0"/>
  </sheetViews>
  <sheetFormatPr defaultColWidth="11.19921875" defaultRowHeight="15" customHeight="1"/>
  <cols>
    <col min="1" max="1" width="44" customWidth="1"/>
    <col min="9" max="9" width="33.3984375" customWidth="1"/>
    <col min="10" max="10" width="15.296875" customWidth="1"/>
  </cols>
  <sheetData>
    <row r="1" spans="1:10">
      <c r="A1" s="91" t="s">
        <v>1639</v>
      </c>
      <c r="B1" s="91" t="s">
        <v>1640</v>
      </c>
      <c r="I1" s="148" t="s">
        <v>1641</v>
      </c>
      <c r="J1" s="148" t="s">
        <v>1641</v>
      </c>
    </row>
    <row r="2" spans="1:10">
      <c r="A2" s="149" t="s">
        <v>1605</v>
      </c>
      <c r="B2" s="150" t="s">
        <v>1642</v>
      </c>
      <c r="I2" s="151" t="s">
        <v>22</v>
      </c>
      <c r="J2" s="151" t="s">
        <v>46</v>
      </c>
    </row>
    <row r="3" spans="1:10">
      <c r="A3" s="149" t="s">
        <v>493</v>
      </c>
      <c r="B3" s="150" t="s">
        <v>1643</v>
      </c>
      <c r="I3" s="152" t="s">
        <v>91</v>
      </c>
      <c r="J3" s="153">
        <v>1</v>
      </c>
    </row>
    <row r="4" spans="1:10">
      <c r="A4" s="149" t="s">
        <v>657</v>
      </c>
      <c r="B4" s="150" t="s">
        <v>1644</v>
      </c>
      <c r="I4" s="152" t="s">
        <v>91</v>
      </c>
      <c r="J4" s="153">
        <v>0.99</v>
      </c>
    </row>
    <row r="5" spans="1:10">
      <c r="A5" s="149" t="s">
        <v>851</v>
      </c>
      <c r="B5" s="150" t="s">
        <v>1645</v>
      </c>
      <c r="I5" s="152" t="s">
        <v>91</v>
      </c>
      <c r="J5" s="153">
        <v>1</v>
      </c>
    </row>
    <row r="6" spans="1:10">
      <c r="A6" s="149" t="s">
        <v>1466</v>
      </c>
      <c r="B6" s="150" t="s">
        <v>1646</v>
      </c>
      <c r="I6" s="152" t="s">
        <v>91</v>
      </c>
      <c r="J6" s="153">
        <v>0.63</v>
      </c>
    </row>
    <row r="7" spans="1:10">
      <c r="I7" s="152" t="s">
        <v>91</v>
      </c>
      <c r="J7" s="153">
        <v>1</v>
      </c>
    </row>
    <row r="8" spans="1:10">
      <c r="I8" s="152" t="s">
        <v>91</v>
      </c>
      <c r="J8" s="153">
        <v>1</v>
      </c>
    </row>
    <row r="9" spans="1:10">
      <c r="I9" s="152" t="s">
        <v>91</v>
      </c>
      <c r="J9" s="153">
        <v>0.88</v>
      </c>
    </row>
    <row r="10" spans="1:10">
      <c r="I10" s="152" t="s">
        <v>135</v>
      </c>
      <c r="J10" s="153">
        <v>1</v>
      </c>
    </row>
    <row r="11" spans="1:10">
      <c r="I11" s="152" t="s">
        <v>139</v>
      </c>
      <c r="J11" s="153">
        <v>1</v>
      </c>
    </row>
    <row r="12" spans="1:10">
      <c r="I12" s="152" t="s">
        <v>139</v>
      </c>
      <c r="J12" s="153">
        <v>1</v>
      </c>
    </row>
    <row r="13" spans="1:10">
      <c r="I13" s="152" t="s">
        <v>139</v>
      </c>
      <c r="J13" s="153">
        <v>0.95</v>
      </c>
    </row>
    <row r="14" spans="1:10">
      <c r="I14" s="152" t="s">
        <v>135</v>
      </c>
      <c r="J14" s="153">
        <v>0.9</v>
      </c>
    </row>
    <row r="15" spans="1:10">
      <c r="I15" s="152" t="s">
        <v>135</v>
      </c>
      <c r="J15" s="153">
        <v>1</v>
      </c>
    </row>
    <row r="16" spans="1:10">
      <c r="I16" s="152" t="s">
        <v>135</v>
      </c>
      <c r="J16" s="153">
        <v>0.95</v>
      </c>
    </row>
    <row r="17" spans="9:10">
      <c r="I17" s="152" t="s">
        <v>135</v>
      </c>
      <c r="J17" s="153">
        <v>1</v>
      </c>
    </row>
    <row r="18" spans="9:10">
      <c r="I18" s="152" t="s">
        <v>135</v>
      </c>
      <c r="J18" s="153">
        <v>1</v>
      </c>
    </row>
    <row r="19" spans="9:10">
      <c r="I19" s="152" t="s">
        <v>135</v>
      </c>
      <c r="J19" s="153">
        <v>1</v>
      </c>
    </row>
    <row r="20" spans="9:10">
      <c r="I20" s="152" t="s">
        <v>135</v>
      </c>
      <c r="J20" s="153">
        <v>1</v>
      </c>
    </row>
    <row r="21" spans="9:10">
      <c r="I21" s="152" t="s">
        <v>135</v>
      </c>
      <c r="J21" s="153">
        <v>0.98</v>
      </c>
    </row>
    <row r="22" spans="9:10">
      <c r="I22" s="152" t="s">
        <v>135</v>
      </c>
      <c r="J22" s="153">
        <v>0.88</v>
      </c>
    </row>
    <row r="23" spans="9:10">
      <c r="I23" s="152" t="s">
        <v>135</v>
      </c>
      <c r="J23" s="153">
        <v>1</v>
      </c>
    </row>
    <row r="24" spans="9:10">
      <c r="I24" s="152" t="s">
        <v>135</v>
      </c>
      <c r="J24" s="153">
        <v>1</v>
      </c>
    </row>
    <row r="25" spans="9:10">
      <c r="I25" s="152" t="s">
        <v>135</v>
      </c>
      <c r="J25" s="153">
        <v>1</v>
      </c>
    </row>
    <row r="26" spans="9:10">
      <c r="I26" s="152" t="s">
        <v>206</v>
      </c>
      <c r="J26" s="153">
        <v>0</v>
      </c>
    </row>
    <row r="27" spans="9:10">
      <c r="I27" s="152" t="s">
        <v>206</v>
      </c>
      <c r="J27" s="153">
        <v>1</v>
      </c>
    </row>
    <row r="28" spans="9:10">
      <c r="I28" s="152" t="s">
        <v>206</v>
      </c>
      <c r="J28" s="153">
        <v>1</v>
      </c>
    </row>
    <row r="29" spans="9:10">
      <c r="I29" s="152" t="s">
        <v>206</v>
      </c>
      <c r="J29" s="153">
        <v>0</v>
      </c>
    </row>
    <row r="30" spans="9:10">
      <c r="I30" s="152" t="s">
        <v>206</v>
      </c>
      <c r="J30" s="153">
        <v>1</v>
      </c>
    </row>
    <row r="31" spans="9:10">
      <c r="I31" s="152" t="s">
        <v>206</v>
      </c>
      <c r="J31" s="153">
        <v>0.6</v>
      </c>
    </row>
    <row r="32" spans="9:10">
      <c r="I32" s="152" t="s">
        <v>206</v>
      </c>
      <c r="J32" s="153">
        <v>1</v>
      </c>
    </row>
    <row r="33" spans="9:10">
      <c r="I33" s="152" t="s">
        <v>206</v>
      </c>
      <c r="J33" s="153">
        <v>0</v>
      </c>
    </row>
    <row r="34" spans="9:10">
      <c r="I34" s="152" t="s">
        <v>206</v>
      </c>
      <c r="J34" s="153">
        <v>0.3</v>
      </c>
    </row>
    <row r="35" spans="9:10">
      <c r="I35" s="152" t="s">
        <v>206</v>
      </c>
      <c r="J35" s="153">
        <v>0.25</v>
      </c>
    </row>
    <row r="36" spans="9:10">
      <c r="I36" s="152" t="s">
        <v>206</v>
      </c>
      <c r="J36" s="153">
        <v>1</v>
      </c>
    </row>
    <row r="37" spans="9:10">
      <c r="I37" s="152" t="s">
        <v>263</v>
      </c>
      <c r="J37" s="153">
        <v>0.98</v>
      </c>
    </row>
    <row r="38" spans="9:10">
      <c r="I38" s="152" t="s">
        <v>263</v>
      </c>
      <c r="J38" s="153">
        <v>0.8</v>
      </c>
    </row>
    <row r="39" spans="9:10">
      <c r="I39" s="152" t="s">
        <v>263</v>
      </c>
      <c r="J39" s="153">
        <v>0.95</v>
      </c>
    </row>
    <row r="40" spans="9:10">
      <c r="I40" s="152" t="s">
        <v>135</v>
      </c>
      <c r="J40" s="153">
        <v>1</v>
      </c>
    </row>
    <row r="41" spans="9:10">
      <c r="I41" s="152" t="s">
        <v>206</v>
      </c>
      <c r="J41" s="153">
        <v>0</v>
      </c>
    </row>
    <row r="42" spans="9:10">
      <c r="I42" s="152" t="s">
        <v>206</v>
      </c>
      <c r="J42" s="153">
        <v>2</v>
      </c>
    </row>
    <row r="43" spans="9:10">
      <c r="I43" s="152" t="s">
        <v>135</v>
      </c>
      <c r="J43" s="153">
        <v>1</v>
      </c>
    </row>
    <row r="44" spans="9:10">
      <c r="I44" s="152" t="s">
        <v>206</v>
      </c>
      <c r="J44" s="153">
        <v>1</v>
      </c>
    </row>
    <row r="45" spans="9:10">
      <c r="I45" s="152" t="s">
        <v>206</v>
      </c>
      <c r="J45" s="153">
        <v>1</v>
      </c>
    </row>
    <row r="46" spans="9:10">
      <c r="I46" s="152" t="s">
        <v>206</v>
      </c>
      <c r="J46" s="153">
        <v>1</v>
      </c>
    </row>
    <row r="47" spans="9:10">
      <c r="I47" s="152" t="s">
        <v>91</v>
      </c>
      <c r="J47" s="153">
        <v>1</v>
      </c>
    </row>
    <row r="48" spans="9:10">
      <c r="I48" s="152" t="s">
        <v>206</v>
      </c>
      <c r="J48" s="153">
        <v>0.99</v>
      </c>
    </row>
    <row r="49" spans="9:10">
      <c r="I49" s="152" t="s">
        <v>206</v>
      </c>
      <c r="J49" s="153">
        <v>1</v>
      </c>
    </row>
    <row r="50" spans="9:10">
      <c r="I50" s="152" t="s">
        <v>206</v>
      </c>
      <c r="J50" s="153">
        <v>1</v>
      </c>
    </row>
    <row r="51" spans="9:10">
      <c r="I51" s="152" t="s">
        <v>206</v>
      </c>
      <c r="J51" s="153">
        <v>1</v>
      </c>
    </row>
    <row r="52" spans="9:10">
      <c r="I52" s="152" t="s">
        <v>206</v>
      </c>
      <c r="J52" s="153">
        <v>1</v>
      </c>
    </row>
    <row r="53" spans="9:10">
      <c r="I53" s="152" t="s">
        <v>206</v>
      </c>
      <c r="J53" s="153">
        <v>0</v>
      </c>
    </row>
    <row r="54" spans="9:10">
      <c r="I54" s="152" t="s">
        <v>206</v>
      </c>
      <c r="J54" s="153">
        <v>1</v>
      </c>
    </row>
    <row r="55" spans="9:10">
      <c r="I55" s="152" t="s">
        <v>206</v>
      </c>
      <c r="J55" s="153">
        <v>1.0900000000000001</v>
      </c>
    </row>
    <row r="56" spans="9:10">
      <c r="I56" s="152" t="s">
        <v>206</v>
      </c>
      <c r="J56" s="153">
        <v>0.75</v>
      </c>
    </row>
    <row r="57" spans="9:10">
      <c r="I57" s="152" t="s">
        <v>206</v>
      </c>
      <c r="J57" s="153">
        <v>1</v>
      </c>
    </row>
    <row r="58" spans="9:10">
      <c r="I58" s="152" t="s">
        <v>206</v>
      </c>
      <c r="J58" s="153">
        <v>0</v>
      </c>
    </row>
    <row r="59" spans="9:10">
      <c r="I59" s="152" t="s">
        <v>206</v>
      </c>
      <c r="J59" s="153">
        <v>0</v>
      </c>
    </row>
    <row r="60" spans="9:10">
      <c r="I60" s="152" t="s">
        <v>206</v>
      </c>
      <c r="J60" s="153">
        <v>1</v>
      </c>
    </row>
    <row r="61" spans="9:10">
      <c r="I61" s="152" t="s">
        <v>206</v>
      </c>
      <c r="J61" s="153">
        <v>1</v>
      </c>
    </row>
    <row r="62" spans="9:10">
      <c r="I62" s="152" t="s">
        <v>206</v>
      </c>
      <c r="J62" s="153">
        <v>1</v>
      </c>
    </row>
    <row r="63" spans="9:10">
      <c r="I63" s="152" t="s">
        <v>206</v>
      </c>
      <c r="J63" s="153">
        <v>0</v>
      </c>
    </row>
    <row r="64" spans="9:10">
      <c r="I64" s="152" t="s">
        <v>206</v>
      </c>
      <c r="J64" s="153">
        <v>0</v>
      </c>
    </row>
    <row r="65" spans="9:10">
      <c r="I65" s="152" t="s">
        <v>417</v>
      </c>
      <c r="J65" s="153">
        <v>0</v>
      </c>
    </row>
    <row r="66" spans="9:10">
      <c r="I66" s="152" t="s">
        <v>417</v>
      </c>
      <c r="J66" s="153">
        <v>0</v>
      </c>
    </row>
    <row r="67" spans="9:10">
      <c r="I67" s="152" t="s">
        <v>206</v>
      </c>
      <c r="J67" s="153">
        <v>1</v>
      </c>
    </row>
    <row r="68" spans="9:10">
      <c r="I68" s="152" t="s">
        <v>206</v>
      </c>
      <c r="J68" s="153">
        <v>0</v>
      </c>
    </row>
    <row r="69" spans="9:10">
      <c r="I69" s="152" t="s">
        <v>206</v>
      </c>
      <c r="J69" s="153">
        <v>0</v>
      </c>
    </row>
    <row r="70" spans="9:10">
      <c r="I70" s="152" t="s">
        <v>417</v>
      </c>
      <c r="J70" s="153">
        <v>0</v>
      </c>
    </row>
    <row r="71" spans="9:10">
      <c r="I71" s="152" t="s">
        <v>417</v>
      </c>
      <c r="J71" s="153">
        <v>1</v>
      </c>
    </row>
    <row r="72" spans="9:10">
      <c r="I72" s="152" t="s">
        <v>417</v>
      </c>
      <c r="J72" s="153">
        <v>0</v>
      </c>
    </row>
    <row r="73" spans="9:10">
      <c r="I73" s="152" t="s">
        <v>417</v>
      </c>
      <c r="J73" s="153">
        <v>1</v>
      </c>
    </row>
    <row r="74" spans="9:10">
      <c r="I74" s="152" t="s">
        <v>206</v>
      </c>
      <c r="J74" s="153">
        <v>0</v>
      </c>
    </row>
    <row r="75" spans="9:10">
      <c r="I75" s="152" t="s">
        <v>206</v>
      </c>
      <c r="J75" s="153">
        <v>0</v>
      </c>
    </row>
    <row r="76" spans="9:10">
      <c r="I76" s="152" t="s">
        <v>139</v>
      </c>
      <c r="J76" s="153">
        <v>0</v>
      </c>
    </row>
    <row r="77" spans="9:10">
      <c r="I77" s="152" t="s">
        <v>206</v>
      </c>
      <c r="J77" s="153">
        <v>1</v>
      </c>
    </row>
    <row r="78" spans="9:10">
      <c r="I78" s="152" t="s">
        <v>139</v>
      </c>
      <c r="J78" s="153">
        <v>0</v>
      </c>
    </row>
    <row r="79" spans="9:10">
      <c r="I79" s="152" t="s">
        <v>206</v>
      </c>
      <c r="J79" s="153">
        <v>0</v>
      </c>
    </row>
    <row r="80" spans="9:10">
      <c r="I80" s="152" t="s">
        <v>91</v>
      </c>
      <c r="J80" s="153">
        <v>0</v>
      </c>
    </row>
    <row r="81" spans="9:10">
      <c r="I81" s="154" t="s">
        <v>417</v>
      </c>
      <c r="J81" s="155">
        <v>1</v>
      </c>
    </row>
    <row r="82" spans="9:10">
      <c r="I82" s="154" t="s">
        <v>417</v>
      </c>
      <c r="J82" s="155">
        <v>1</v>
      </c>
    </row>
    <row r="83" spans="9:10">
      <c r="I83" s="154" t="s">
        <v>417</v>
      </c>
      <c r="J83" s="155">
        <v>0</v>
      </c>
    </row>
    <row r="84" spans="9:10">
      <c r="I84" s="154" t="s">
        <v>417</v>
      </c>
      <c r="J84" s="155">
        <v>1</v>
      </c>
    </row>
    <row r="85" spans="9:10">
      <c r="I85" s="154" t="s">
        <v>417</v>
      </c>
      <c r="J85" s="155">
        <v>1</v>
      </c>
    </row>
    <row r="86" spans="9:10">
      <c r="I86" s="154" t="s">
        <v>417</v>
      </c>
      <c r="J86" s="155">
        <v>1</v>
      </c>
    </row>
    <row r="87" spans="9:10">
      <c r="I87" s="154" t="s">
        <v>417</v>
      </c>
      <c r="J87" s="155">
        <v>1</v>
      </c>
    </row>
    <row r="88" spans="9:10">
      <c r="I88" s="154" t="s">
        <v>417</v>
      </c>
      <c r="J88" s="155">
        <v>1</v>
      </c>
    </row>
    <row r="89" spans="9:10">
      <c r="I89" s="154" t="s">
        <v>417</v>
      </c>
      <c r="J89" s="155">
        <v>0.6</v>
      </c>
    </row>
    <row r="90" spans="9:10">
      <c r="I90" s="154" t="s">
        <v>206</v>
      </c>
      <c r="J90" s="155">
        <v>1</v>
      </c>
    </row>
    <row r="91" spans="9:10">
      <c r="I91" s="154" t="s">
        <v>206</v>
      </c>
      <c r="J91" s="155">
        <v>0</v>
      </c>
    </row>
    <row r="92" spans="9:10">
      <c r="I92" s="154" t="s">
        <v>206</v>
      </c>
      <c r="J92" s="155">
        <v>1</v>
      </c>
    </row>
    <row r="93" spans="9:10">
      <c r="I93" s="154" t="s">
        <v>417</v>
      </c>
      <c r="J93" s="155">
        <v>0</v>
      </c>
    </row>
    <row r="94" spans="9:10">
      <c r="I94" s="154" t="s">
        <v>417</v>
      </c>
      <c r="J94" s="155">
        <v>0</v>
      </c>
    </row>
    <row r="95" spans="9:10">
      <c r="I95" s="154" t="s">
        <v>417</v>
      </c>
      <c r="J95" s="155">
        <v>1</v>
      </c>
    </row>
    <row r="96" spans="9:10">
      <c r="I96" s="154" t="s">
        <v>135</v>
      </c>
      <c r="J96" s="155">
        <v>0</v>
      </c>
    </row>
    <row r="97" spans="9:10">
      <c r="I97" s="154" t="s">
        <v>417</v>
      </c>
      <c r="J97" s="155">
        <v>1</v>
      </c>
    </row>
    <row r="98" spans="9:10">
      <c r="I98" s="154" t="s">
        <v>567</v>
      </c>
      <c r="J98" s="155">
        <v>1</v>
      </c>
    </row>
    <row r="99" spans="9:10">
      <c r="I99" s="154" t="s">
        <v>417</v>
      </c>
      <c r="J99" s="155">
        <v>1</v>
      </c>
    </row>
    <row r="100" spans="9:10">
      <c r="I100" s="154" t="s">
        <v>417</v>
      </c>
      <c r="J100" s="155">
        <v>1</v>
      </c>
    </row>
    <row r="101" spans="9:10">
      <c r="I101" s="154" t="s">
        <v>584</v>
      </c>
      <c r="J101" s="155">
        <v>0</v>
      </c>
    </row>
    <row r="102" spans="9:10">
      <c r="I102" s="154" t="s">
        <v>417</v>
      </c>
      <c r="J102" s="155">
        <v>0</v>
      </c>
    </row>
    <row r="103" spans="9:10">
      <c r="I103" s="154" t="s">
        <v>584</v>
      </c>
      <c r="J103" s="155">
        <v>1</v>
      </c>
    </row>
    <row r="104" spans="9:10">
      <c r="I104" s="154" t="s">
        <v>584</v>
      </c>
      <c r="J104" s="155">
        <v>1</v>
      </c>
    </row>
    <row r="105" spans="9:10">
      <c r="I105" s="154" t="s">
        <v>584</v>
      </c>
      <c r="J105" s="155">
        <v>0.97</v>
      </c>
    </row>
    <row r="106" spans="9:10">
      <c r="I106" s="154" t="s">
        <v>584</v>
      </c>
      <c r="J106" s="155">
        <v>0</v>
      </c>
    </row>
    <row r="107" spans="9:10">
      <c r="I107" s="154" t="s">
        <v>584</v>
      </c>
      <c r="J107" s="155">
        <v>1</v>
      </c>
    </row>
    <row r="108" spans="9:10">
      <c r="I108" s="154" t="s">
        <v>584</v>
      </c>
      <c r="J108" s="155">
        <v>1</v>
      </c>
    </row>
    <row r="109" spans="9:10">
      <c r="I109" s="154" t="s">
        <v>584</v>
      </c>
      <c r="J109" s="155">
        <v>1</v>
      </c>
    </row>
    <row r="110" spans="9:10">
      <c r="I110" s="154" t="s">
        <v>584</v>
      </c>
      <c r="J110" s="155">
        <v>1</v>
      </c>
    </row>
    <row r="111" spans="9:10">
      <c r="I111" s="154" t="s">
        <v>417</v>
      </c>
      <c r="J111" s="155">
        <v>0</v>
      </c>
    </row>
    <row r="112" spans="9:10">
      <c r="I112" s="154" t="s">
        <v>417</v>
      </c>
      <c r="J112" s="155">
        <v>0</v>
      </c>
    </row>
    <row r="113" spans="9:10">
      <c r="I113" s="154" t="s">
        <v>417</v>
      </c>
      <c r="J113" s="155">
        <v>0</v>
      </c>
    </row>
    <row r="114" spans="9:10">
      <c r="I114" s="154" t="s">
        <v>417</v>
      </c>
      <c r="J114" s="155">
        <v>0</v>
      </c>
    </row>
    <row r="115" spans="9:10">
      <c r="I115" s="154" t="s">
        <v>206</v>
      </c>
      <c r="J115" s="155">
        <v>1</v>
      </c>
    </row>
    <row r="116" spans="9:10">
      <c r="I116" s="154" t="s">
        <v>417</v>
      </c>
      <c r="J116" s="155">
        <v>1</v>
      </c>
    </row>
    <row r="117" spans="9:10">
      <c r="I117" s="154" t="s">
        <v>206</v>
      </c>
      <c r="J117" s="155">
        <v>1</v>
      </c>
    </row>
    <row r="118" spans="9:10">
      <c r="I118" s="154" t="s">
        <v>417</v>
      </c>
      <c r="J118" s="155">
        <v>1</v>
      </c>
    </row>
    <row r="119" spans="9:10">
      <c r="I119" s="156" t="s">
        <v>666</v>
      </c>
      <c r="J119" s="157">
        <v>0.25</v>
      </c>
    </row>
    <row r="120" spans="9:10">
      <c r="I120" s="156" t="s">
        <v>666</v>
      </c>
      <c r="J120" s="157">
        <v>0</v>
      </c>
    </row>
    <row r="121" spans="9:10">
      <c r="I121" s="156" t="s">
        <v>666</v>
      </c>
      <c r="J121" s="157">
        <v>0</v>
      </c>
    </row>
    <row r="122" spans="9:10">
      <c r="I122" s="156" t="s">
        <v>666</v>
      </c>
      <c r="J122" s="157">
        <v>1</v>
      </c>
    </row>
    <row r="123" spans="9:10">
      <c r="I123" s="156" t="s">
        <v>666</v>
      </c>
      <c r="J123" s="157">
        <v>0.83</v>
      </c>
    </row>
    <row r="124" spans="9:10">
      <c r="I124" s="156" t="s">
        <v>666</v>
      </c>
      <c r="J124" s="157">
        <v>1.2</v>
      </c>
    </row>
    <row r="125" spans="9:10">
      <c r="I125" s="156" t="s">
        <v>666</v>
      </c>
      <c r="J125" s="157">
        <v>1</v>
      </c>
    </row>
    <row r="126" spans="9:10">
      <c r="I126" s="156" t="s">
        <v>666</v>
      </c>
      <c r="J126" s="157">
        <v>1</v>
      </c>
    </row>
    <row r="127" spans="9:10">
      <c r="I127" s="156" t="s">
        <v>666</v>
      </c>
      <c r="J127" s="157">
        <v>0.8</v>
      </c>
    </row>
    <row r="128" spans="9:10">
      <c r="I128" s="156" t="s">
        <v>666</v>
      </c>
      <c r="J128" s="157">
        <v>1</v>
      </c>
    </row>
    <row r="129" spans="9:10">
      <c r="I129" s="156" t="s">
        <v>666</v>
      </c>
      <c r="J129" s="157">
        <v>1</v>
      </c>
    </row>
    <row r="130" spans="9:10">
      <c r="I130" s="156" t="s">
        <v>666</v>
      </c>
      <c r="J130" s="157">
        <v>1</v>
      </c>
    </row>
    <row r="131" spans="9:10">
      <c r="I131" s="156" t="s">
        <v>666</v>
      </c>
      <c r="J131" s="157">
        <v>1</v>
      </c>
    </row>
    <row r="132" spans="9:10">
      <c r="I132" s="156" t="s">
        <v>666</v>
      </c>
      <c r="J132" s="157">
        <v>0.97</v>
      </c>
    </row>
    <row r="133" spans="9:10">
      <c r="I133" s="156" t="s">
        <v>666</v>
      </c>
      <c r="J133" s="157">
        <v>0.9</v>
      </c>
    </row>
    <row r="134" spans="9:10">
      <c r="I134" s="156" t="s">
        <v>666</v>
      </c>
      <c r="J134" s="157">
        <v>4.75</v>
      </c>
    </row>
    <row r="135" spans="9:10">
      <c r="I135" s="156" t="s">
        <v>666</v>
      </c>
      <c r="J135" s="157">
        <v>1</v>
      </c>
    </row>
    <row r="136" spans="9:10">
      <c r="I136" s="156" t="s">
        <v>206</v>
      </c>
      <c r="J136" s="157">
        <v>1</v>
      </c>
    </row>
    <row r="137" spans="9:10">
      <c r="I137" s="156" t="s">
        <v>666</v>
      </c>
      <c r="J137" s="157">
        <v>0</v>
      </c>
    </row>
    <row r="138" spans="9:10">
      <c r="I138" s="156" t="s">
        <v>666</v>
      </c>
      <c r="J138" s="157">
        <v>1</v>
      </c>
    </row>
    <row r="139" spans="9:10">
      <c r="I139" s="156" t="s">
        <v>666</v>
      </c>
      <c r="J139" s="157">
        <v>1</v>
      </c>
    </row>
    <row r="140" spans="9:10">
      <c r="I140" s="156" t="s">
        <v>91</v>
      </c>
      <c r="J140" s="157">
        <v>0.81</v>
      </c>
    </row>
    <row r="141" spans="9:10">
      <c r="I141" s="156" t="s">
        <v>91</v>
      </c>
      <c r="J141" s="157">
        <v>1</v>
      </c>
    </row>
    <row r="142" spans="9:10">
      <c r="I142" s="156" t="s">
        <v>91</v>
      </c>
      <c r="J142" s="157">
        <v>1</v>
      </c>
    </row>
    <row r="143" spans="9:10">
      <c r="I143" s="156" t="s">
        <v>91</v>
      </c>
      <c r="J143" s="157">
        <v>0.99</v>
      </c>
    </row>
    <row r="144" spans="9:10">
      <c r="I144" s="156" t="s">
        <v>91</v>
      </c>
      <c r="J144" s="157">
        <v>0.9</v>
      </c>
    </row>
    <row r="145" spans="9:10">
      <c r="I145" s="156" t="s">
        <v>91</v>
      </c>
      <c r="J145" s="157">
        <v>1</v>
      </c>
    </row>
    <row r="146" spans="9:10">
      <c r="I146" s="156" t="s">
        <v>91</v>
      </c>
      <c r="J146" s="157">
        <v>1</v>
      </c>
    </row>
    <row r="147" spans="9:10">
      <c r="I147" s="156" t="s">
        <v>417</v>
      </c>
      <c r="J147" s="157">
        <v>0</v>
      </c>
    </row>
    <row r="148" spans="9:10">
      <c r="I148" s="156" t="s">
        <v>91</v>
      </c>
      <c r="J148" s="157">
        <v>0.96</v>
      </c>
    </row>
    <row r="149" spans="9:10">
      <c r="I149" s="156" t="s">
        <v>91</v>
      </c>
      <c r="J149" s="157">
        <v>1</v>
      </c>
    </row>
    <row r="150" spans="9:10">
      <c r="I150" s="156" t="s">
        <v>91</v>
      </c>
      <c r="J150" s="157">
        <v>0.98</v>
      </c>
    </row>
    <row r="151" spans="9:10">
      <c r="I151" s="156" t="s">
        <v>91</v>
      </c>
      <c r="J151" s="157">
        <v>0.96</v>
      </c>
    </row>
    <row r="152" spans="9:10">
      <c r="I152" s="156" t="s">
        <v>91</v>
      </c>
      <c r="J152" s="157">
        <v>0.94</v>
      </c>
    </row>
    <row r="153" spans="9:10">
      <c r="I153" s="156" t="s">
        <v>91</v>
      </c>
      <c r="J153" s="157">
        <v>1</v>
      </c>
    </row>
    <row r="154" spans="9:10">
      <c r="I154" s="156" t="s">
        <v>91</v>
      </c>
      <c r="J154" s="157">
        <v>0</v>
      </c>
    </row>
    <row r="155" spans="9:10">
      <c r="I155" s="156" t="s">
        <v>91</v>
      </c>
      <c r="J155" s="157">
        <v>1</v>
      </c>
    </row>
    <row r="156" spans="9:10">
      <c r="I156" s="156" t="s">
        <v>206</v>
      </c>
      <c r="J156" s="157">
        <v>0.85</v>
      </c>
    </row>
    <row r="157" spans="9:10">
      <c r="I157" s="156" t="s">
        <v>91</v>
      </c>
      <c r="J157" s="157">
        <v>0</v>
      </c>
    </row>
    <row r="158" spans="9:10">
      <c r="I158" s="156" t="s">
        <v>1647</v>
      </c>
      <c r="J158" s="157">
        <v>1</v>
      </c>
    </row>
    <row r="159" spans="9:10">
      <c r="I159" s="156" t="s">
        <v>1647</v>
      </c>
      <c r="J159" s="157">
        <v>0</v>
      </c>
    </row>
    <row r="160" spans="9:10">
      <c r="I160" s="156" t="s">
        <v>1647</v>
      </c>
      <c r="J160" s="157">
        <v>0</v>
      </c>
    </row>
    <row r="161" spans="9:10">
      <c r="I161" s="156" t="s">
        <v>91</v>
      </c>
      <c r="J161" s="157">
        <v>0</v>
      </c>
    </row>
    <row r="162" spans="9:10">
      <c r="I162" s="156" t="s">
        <v>91</v>
      </c>
      <c r="J162" s="157">
        <v>0.2</v>
      </c>
    </row>
    <row r="163" spans="9:10">
      <c r="I163" s="158" t="s">
        <v>1647</v>
      </c>
      <c r="J163" s="159">
        <v>1</v>
      </c>
    </row>
    <row r="164" spans="9:10">
      <c r="I164" s="158" t="s">
        <v>1647</v>
      </c>
      <c r="J164" s="159">
        <v>1</v>
      </c>
    </row>
    <row r="165" spans="9:10">
      <c r="I165" s="158" t="s">
        <v>1647</v>
      </c>
      <c r="J165" s="159">
        <v>1</v>
      </c>
    </row>
    <row r="166" spans="9:10">
      <c r="I166" s="158" t="s">
        <v>1647</v>
      </c>
      <c r="J166" s="159">
        <v>0.9</v>
      </c>
    </row>
    <row r="167" spans="9:10">
      <c r="I167" s="158" t="s">
        <v>1647</v>
      </c>
      <c r="J167" s="159">
        <v>1</v>
      </c>
    </row>
    <row r="168" spans="9:10">
      <c r="I168" s="158" t="s">
        <v>206</v>
      </c>
      <c r="J168" s="159">
        <v>0</v>
      </c>
    </row>
    <row r="169" spans="9:10">
      <c r="I169" s="158" t="s">
        <v>1647</v>
      </c>
      <c r="J169" s="159">
        <v>0</v>
      </c>
    </row>
    <row r="170" spans="9:10">
      <c r="I170" s="158" t="s">
        <v>1647</v>
      </c>
      <c r="J170" s="159">
        <v>1</v>
      </c>
    </row>
    <row r="171" spans="9:10">
      <c r="I171" s="158" t="s">
        <v>206</v>
      </c>
      <c r="J171" s="159">
        <v>0</v>
      </c>
    </row>
    <row r="172" spans="9:10">
      <c r="I172" s="158" t="s">
        <v>1647</v>
      </c>
      <c r="J172" s="159">
        <v>1</v>
      </c>
    </row>
    <row r="173" spans="9:10">
      <c r="I173" s="158" t="s">
        <v>1647</v>
      </c>
      <c r="J173" s="159">
        <v>0</v>
      </c>
    </row>
    <row r="174" spans="9:10">
      <c r="I174" s="158" t="s">
        <v>1647</v>
      </c>
      <c r="J174" s="159">
        <v>1</v>
      </c>
    </row>
    <row r="175" spans="9:10">
      <c r="I175" s="158" t="s">
        <v>1647</v>
      </c>
      <c r="J175" s="159">
        <v>1</v>
      </c>
    </row>
    <row r="176" spans="9:10">
      <c r="I176" s="158" t="s">
        <v>1647</v>
      </c>
      <c r="J176" s="159">
        <v>1</v>
      </c>
    </row>
    <row r="177" spans="9:10">
      <c r="I177" s="158" t="s">
        <v>1647</v>
      </c>
      <c r="J177" s="159">
        <v>0</v>
      </c>
    </row>
    <row r="178" spans="9:10">
      <c r="I178" s="158" t="s">
        <v>1647</v>
      </c>
      <c r="J178" s="159">
        <v>1</v>
      </c>
    </row>
    <row r="179" spans="9:10">
      <c r="I179" s="158" t="s">
        <v>1647</v>
      </c>
      <c r="J179" s="159">
        <v>1</v>
      </c>
    </row>
    <row r="180" spans="9:10">
      <c r="I180" s="158" t="s">
        <v>1647</v>
      </c>
      <c r="J180" s="159">
        <v>1</v>
      </c>
    </row>
    <row r="181" spans="9:10">
      <c r="I181" s="158" t="s">
        <v>1647</v>
      </c>
      <c r="J181" s="159">
        <v>1</v>
      </c>
    </row>
    <row r="182" spans="9:10">
      <c r="I182" s="158" t="s">
        <v>1647</v>
      </c>
      <c r="J182" s="159">
        <v>1</v>
      </c>
    </row>
    <row r="183" spans="9:10">
      <c r="I183" s="158" t="s">
        <v>1647</v>
      </c>
      <c r="J183" s="159">
        <v>1.28</v>
      </c>
    </row>
    <row r="184" spans="9:10">
      <c r="I184" s="158" t="s">
        <v>1647</v>
      </c>
      <c r="J184" s="159">
        <v>1</v>
      </c>
    </row>
    <row r="185" spans="9:10">
      <c r="I185" s="158" t="s">
        <v>1647</v>
      </c>
      <c r="J185" s="159">
        <v>0.8</v>
      </c>
    </row>
    <row r="186" spans="9:10">
      <c r="I186" s="158" t="s">
        <v>1647</v>
      </c>
      <c r="J186" s="159">
        <v>1</v>
      </c>
    </row>
    <row r="187" spans="9:10">
      <c r="I187" s="158" t="s">
        <v>1647</v>
      </c>
      <c r="J187" s="159">
        <v>3.67</v>
      </c>
    </row>
    <row r="188" spans="9:10">
      <c r="I188" s="158" t="s">
        <v>1647</v>
      </c>
      <c r="J188" s="159">
        <v>1</v>
      </c>
    </row>
    <row r="189" spans="9:10">
      <c r="I189" s="158" t="s">
        <v>584</v>
      </c>
      <c r="J189" s="159">
        <v>1.08</v>
      </c>
    </row>
    <row r="190" spans="9:10">
      <c r="I190" s="158" t="s">
        <v>584</v>
      </c>
      <c r="J190" s="159">
        <v>0.95</v>
      </c>
    </row>
    <row r="191" spans="9:10">
      <c r="I191" s="158" t="s">
        <v>584</v>
      </c>
      <c r="J191" s="159">
        <v>1</v>
      </c>
    </row>
    <row r="192" spans="9:10">
      <c r="I192" s="158" t="s">
        <v>584</v>
      </c>
      <c r="J192" s="159">
        <v>1</v>
      </c>
    </row>
    <row r="193" spans="9:10">
      <c r="I193" s="158" t="s">
        <v>584</v>
      </c>
      <c r="J193" s="159">
        <v>0.97</v>
      </c>
    </row>
    <row r="194" spans="9:10">
      <c r="I194" s="158" t="s">
        <v>584</v>
      </c>
      <c r="J194" s="159">
        <v>0.95</v>
      </c>
    </row>
    <row r="195" spans="9:10">
      <c r="I195" s="158" t="s">
        <v>584</v>
      </c>
      <c r="J195" s="159">
        <v>0.65</v>
      </c>
    </row>
    <row r="196" spans="9:10">
      <c r="I196" s="158" t="s">
        <v>584</v>
      </c>
      <c r="J196" s="159">
        <v>0.95</v>
      </c>
    </row>
    <row r="197" spans="9:10">
      <c r="I197" s="158" t="s">
        <v>584</v>
      </c>
      <c r="J197" s="159">
        <v>0</v>
      </c>
    </row>
    <row r="198" spans="9:10">
      <c r="I198" s="158" t="s">
        <v>584</v>
      </c>
      <c r="J198" s="159">
        <v>1</v>
      </c>
    </row>
    <row r="199" spans="9:10">
      <c r="I199" s="158" t="s">
        <v>584</v>
      </c>
      <c r="J199" s="159">
        <v>1.01</v>
      </c>
    </row>
    <row r="200" spans="9:10">
      <c r="I200" s="158" t="s">
        <v>584</v>
      </c>
      <c r="J200" s="159">
        <v>0.97</v>
      </c>
    </row>
    <row r="201" spans="9:10">
      <c r="I201" s="158" t="s">
        <v>584</v>
      </c>
      <c r="J201" s="159">
        <v>1</v>
      </c>
    </row>
    <row r="202" spans="9:10">
      <c r="I202" s="158" t="s">
        <v>584</v>
      </c>
      <c r="J202" s="159">
        <v>1</v>
      </c>
    </row>
    <row r="203" spans="9:10">
      <c r="I203" s="158" t="s">
        <v>584</v>
      </c>
      <c r="J203" s="159">
        <v>1</v>
      </c>
    </row>
    <row r="204" spans="9:10">
      <c r="I204" s="158" t="s">
        <v>584</v>
      </c>
      <c r="J204" s="159">
        <v>1</v>
      </c>
    </row>
    <row r="205" spans="9:10">
      <c r="I205" s="158" t="s">
        <v>584</v>
      </c>
      <c r="J205" s="159">
        <v>1</v>
      </c>
    </row>
    <row r="206" spans="9:10">
      <c r="I206" s="158" t="s">
        <v>584</v>
      </c>
      <c r="J206" s="159">
        <v>0.57999999999999996</v>
      </c>
    </row>
    <row r="207" spans="9:10">
      <c r="I207" s="158" t="s">
        <v>584</v>
      </c>
      <c r="J207" s="159">
        <v>0.9</v>
      </c>
    </row>
    <row r="208" spans="9:10">
      <c r="I208" s="158" t="s">
        <v>584</v>
      </c>
      <c r="J208" s="159">
        <v>0.9</v>
      </c>
    </row>
    <row r="209" spans="9:10">
      <c r="I209" s="158" t="s">
        <v>666</v>
      </c>
      <c r="J209" s="159">
        <v>1</v>
      </c>
    </row>
    <row r="210" spans="9:10">
      <c r="I210" s="158" t="s">
        <v>666</v>
      </c>
      <c r="J210" s="159">
        <v>0.85</v>
      </c>
    </row>
    <row r="211" spans="9:10">
      <c r="I211" s="158" t="s">
        <v>666</v>
      </c>
      <c r="J211" s="159">
        <v>0.7</v>
      </c>
    </row>
    <row r="212" spans="9:10">
      <c r="I212" s="158" t="s">
        <v>666</v>
      </c>
      <c r="J212" s="159">
        <v>0.67</v>
      </c>
    </row>
    <row r="213" spans="9:10">
      <c r="I213" s="158" t="s">
        <v>666</v>
      </c>
      <c r="J213" s="159">
        <v>1.5</v>
      </c>
    </row>
    <row r="214" spans="9:10">
      <c r="I214" s="158" t="s">
        <v>666</v>
      </c>
      <c r="J214" s="159">
        <v>1.06</v>
      </c>
    </row>
    <row r="215" spans="9:10">
      <c r="I215" s="158" t="s">
        <v>666</v>
      </c>
      <c r="J215" s="159">
        <v>0.81</v>
      </c>
    </row>
    <row r="216" spans="9:10">
      <c r="I216" s="158" t="s">
        <v>666</v>
      </c>
      <c r="J216" s="159">
        <v>0.99</v>
      </c>
    </row>
    <row r="217" spans="9:10">
      <c r="I217" s="158" t="s">
        <v>666</v>
      </c>
      <c r="J217" s="159">
        <v>1</v>
      </c>
    </row>
    <row r="218" spans="9:10">
      <c r="I218" s="158" t="s">
        <v>666</v>
      </c>
      <c r="J218" s="159">
        <v>1</v>
      </c>
    </row>
    <row r="219" spans="9:10">
      <c r="I219" s="158" t="s">
        <v>666</v>
      </c>
      <c r="J219" s="159">
        <v>1</v>
      </c>
    </row>
    <row r="220" spans="9:10">
      <c r="I220" s="158" t="s">
        <v>666</v>
      </c>
      <c r="J220" s="159">
        <v>0.9</v>
      </c>
    </row>
    <row r="221" spans="9:10">
      <c r="I221" s="158" t="s">
        <v>666</v>
      </c>
      <c r="J221" s="159">
        <v>0.97</v>
      </c>
    </row>
    <row r="222" spans="9:10">
      <c r="I222" s="158" t="s">
        <v>666</v>
      </c>
      <c r="J222" s="159">
        <v>1</v>
      </c>
    </row>
    <row r="223" spans="9:10">
      <c r="I223" s="158" t="s">
        <v>666</v>
      </c>
      <c r="J223" s="159">
        <v>1</v>
      </c>
    </row>
    <row r="224" spans="9:10">
      <c r="I224" s="158" t="s">
        <v>666</v>
      </c>
      <c r="J224" s="159">
        <v>1</v>
      </c>
    </row>
    <row r="225" spans="9:10">
      <c r="I225" s="158" t="s">
        <v>666</v>
      </c>
      <c r="J225" s="159">
        <v>1</v>
      </c>
    </row>
    <row r="226" spans="9:10">
      <c r="I226" s="158" t="s">
        <v>206</v>
      </c>
      <c r="J226" s="159">
        <v>1</v>
      </c>
    </row>
    <row r="227" spans="9:10">
      <c r="I227" s="158" t="s">
        <v>666</v>
      </c>
      <c r="J227" s="159">
        <v>0</v>
      </c>
    </row>
    <row r="228" spans="9:10">
      <c r="I228" s="158" t="s">
        <v>139</v>
      </c>
      <c r="J228" s="159">
        <v>0</v>
      </c>
    </row>
    <row r="229" spans="9:10">
      <c r="I229" s="158" t="s">
        <v>666</v>
      </c>
      <c r="J229" s="159">
        <v>1</v>
      </c>
    </row>
    <row r="230" spans="9:10">
      <c r="I230" s="158" t="s">
        <v>666</v>
      </c>
      <c r="J230" s="159">
        <v>1</v>
      </c>
    </row>
    <row r="231" spans="9:10">
      <c r="I231" s="158" t="s">
        <v>567</v>
      </c>
      <c r="J231" s="159">
        <v>0.95</v>
      </c>
    </row>
    <row r="232" spans="9:10">
      <c r="I232" s="158" t="s">
        <v>206</v>
      </c>
      <c r="J232" s="159">
        <v>1</v>
      </c>
    </row>
    <row r="233" spans="9:10">
      <c r="I233" s="158" t="s">
        <v>567</v>
      </c>
      <c r="J233" s="159">
        <v>1</v>
      </c>
    </row>
    <row r="234" spans="9:10">
      <c r="I234" s="158" t="s">
        <v>567</v>
      </c>
      <c r="J234" s="159">
        <v>0</v>
      </c>
    </row>
    <row r="235" spans="9:10">
      <c r="I235" s="158" t="s">
        <v>206</v>
      </c>
      <c r="J235" s="159">
        <v>1</v>
      </c>
    </row>
    <row r="236" spans="9:10">
      <c r="I236" s="158" t="s">
        <v>206</v>
      </c>
      <c r="J236" s="159">
        <v>1</v>
      </c>
    </row>
    <row r="237" spans="9:10">
      <c r="I237" s="158" t="s">
        <v>567</v>
      </c>
      <c r="J237" s="159">
        <v>1</v>
      </c>
    </row>
    <row r="238" spans="9:10">
      <c r="I238" s="158" t="s">
        <v>206</v>
      </c>
      <c r="J238" s="159">
        <v>0</v>
      </c>
    </row>
    <row r="239" spans="9:10">
      <c r="I239" s="158" t="s">
        <v>567</v>
      </c>
      <c r="J239" s="159">
        <v>1</v>
      </c>
    </row>
    <row r="240" spans="9:10">
      <c r="I240" s="158" t="s">
        <v>567</v>
      </c>
      <c r="J240" s="159">
        <v>0</v>
      </c>
    </row>
    <row r="241" spans="9:10">
      <c r="I241" s="158" t="s">
        <v>567</v>
      </c>
      <c r="J241" s="159">
        <v>1</v>
      </c>
    </row>
    <row r="242" spans="9:10">
      <c r="I242" s="158" t="s">
        <v>567</v>
      </c>
      <c r="J242" s="159">
        <v>1</v>
      </c>
    </row>
    <row r="243" spans="9:10">
      <c r="I243" s="158" t="s">
        <v>567</v>
      </c>
      <c r="J243" s="159">
        <v>1</v>
      </c>
    </row>
    <row r="244" spans="9:10">
      <c r="I244" s="158" t="s">
        <v>567</v>
      </c>
      <c r="J244" s="159">
        <v>1.1200000000000001</v>
      </c>
    </row>
    <row r="245" spans="9:10">
      <c r="I245" s="158" t="s">
        <v>567</v>
      </c>
      <c r="J245" s="159">
        <v>1.07</v>
      </c>
    </row>
    <row r="246" spans="9:10">
      <c r="I246" s="158" t="s">
        <v>567</v>
      </c>
      <c r="J246" s="159">
        <v>2</v>
      </c>
    </row>
    <row r="247" spans="9:10">
      <c r="I247" s="158" t="s">
        <v>567</v>
      </c>
      <c r="J247" s="159">
        <v>0</v>
      </c>
    </row>
    <row r="248" spans="9:10">
      <c r="I248" s="158" t="s">
        <v>567</v>
      </c>
      <c r="J248" s="159">
        <v>0</v>
      </c>
    </row>
    <row r="249" spans="9:10">
      <c r="I249" s="158" t="s">
        <v>567</v>
      </c>
      <c r="J249" s="159">
        <v>0.5</v>
      </c>
    </row>
    <row r="250" spans="9:10">
      <c r="I250" s="158" t="s">
        <v>567</v>
      </c>
      <c r="J250" s="159">
        <v>0</v>
      </c>
    </row>
    <row r="251" spans="9:10">
      <c r="I251" s="158" t="s">
        <v>584</v>
      </c>
      <c r="J251" s="159">
        <v>0.93</v>
      </c>
    </row>
    <row r="252" spans="9:10">
      <c r="I252" s="158" t="s">
        <v>584</v>
      </c>
      <c r="J252" s="159">
        <v>0.97</v>
      </c>
    </row>
    <row r="253" spans="9:10">
      <c r="I253" s="158" t="s">
        <v>584</v>
      </c>
      <c r="J253" s="159">
        <v>0.98</v>
      </c>
    </row>
    <row r="254" spans="9:10">
      <c r="I254" s="158" t="s">
        <v>584</v>
      </c>
      <c r="J254" s="159">
        <v>0.99</v>
      </c>
    </row>
    <row r="255" spans="9:10">
      <c r="I255" s="158" t="s">
        <v>584</v>
      </c>
      <c r="J255" s="159">
        <v>1</v>
      </c>
    </row>
    <row r="256" spans="9:10">
      <c r="I256" s="158" t="s">
        <v>417</v>
      </c>
      <c r="J256" s="159">
        <v>1</v>
      </c>
    </row>
    <row r="257" spans="9:10">
      <c r="I257" s="158" t="s">
        <v>584</v>
      </c>
      <c r="J257" s="159">
        <v>1</v>
      </c>
    </row>
    <row r="258" spans="9:10">
      <c r="I258" s="158" t="s">
        <v>1647</v>
      </c>
      <c r="J258" s="159">
        <v>0</v>
      </c>
    </row>
    <row r="259" spans="9:10">
      <c r="I259" s="158" t="s">
        <v>91</v>
      </c>
      <c r="J259" s="159">
        <v>0</v>
      </c>
    </row>
    <row r="260" spans="9:10">
      <c r="I260" s="158" t="s">
        <v>567</v>
      </c>
      <c r="J260" s="159">
        <v>1</v>
      </c>
    </row>
    <row r="261" spans="9:10">
      <c r="I261" s="158" t="s">
        <v>567</v>
      </c>
      <c r="J261" s="159">
        <v>1</v>
      </c>
    </row>
    <row r="262" spans="9:10">
      <c r="I262" s="158" t="s">
        <v>91</v>
      </c>
      <c r="J262" s="159">
        <v>0.8</v>
      </c>
    </row>
    <row r="263" spans="9:10">
      <c r="I263" s="158" t="s">
        <v>417</v>
      </c>
      <c r="J263" s="159">
        <v>0</v>
      </c>
    </row>
    <row r="264" spans="9:10">
      <c r="I264" s="158" t="s">
        <v>584</v>
      </c>
      <c r="J264" s="159">
        <v>0</v>
      </c>
    </row>
    <row r="265" spans="9:10">
      <c r="I265" s="158" t="s">
        <v>1292</v>
      </c>
      <c r="J265" s="159">
        <v>1</v>
      </c>
    </row>
    <row r="266" spans="9:10">
      <c r="I266" s="158" t="s">
        <v>1292</v>
      </c>
      <c r="J266" s="159">
        <v>1</v>
      </c>
    </row>
    <row r="267" spans="9:10">
      <c r="I267" s="158" t="s">
        <v>1292</v>
      </c>
      <c r="J267" s="159">
        <v>1</v>
      </c>
    </row>
    <row r="268" spans="9:10">
      <c r="I268" s="158" t="s">
        <v>1292</v>
      </c>
      <c r="J268" s="159">
        <v>0</v>
      </c>
    </row>
    <row r="269" spans="9:10">
      <c r="I269" s="158" t="s">
        <v>567</v>
      </c>
      <c r="J269" s="159">
        <v>1</v>
      </c>
    </row>
    <row r="270" spans="9:10">
      <c r="I270" s="158" t="s">
        <v>1292</v>
      </c>
      <c r="J270" s="159">
        <v>1</v>
      </c>
    </row>
    <row r="271" spans="9:10">
      <c r="I271" s="158" t="s">
        <v>1292</v>
      </c>
      <c r="J271" s="159">
        <v>0.87</v>
      </c>
    </row>
    <row r="272" spans="9:10">
      <c r="I272" s="158" t="s">
        <v>1292</v>
      </c>
      <c r="J272" s="159">
        <v>1</v>
      </c>
    </row>
    <row r="273" spans="9:10">
      <c r="I273" s="158" t="s">
        <v>1292</v>
      </c>
      <c r="J273" s="159">
        <v>0</v>
      </c>
    </row>
    <row r="274" spans="9:10">
      <c r="I274" s="158" t="s">
        <v>1292</v>
      </c>
      <c r="J274" s="159">
        <v>1</v>
      </c>
    </row>
    <row r="275" spans="9:10">
      <c r="I275" s="158" t="s">
        <v>1292</v>
      </c>
      <c r="J275" s="159">
        <v>1</v>
      </c>
    </row>
    <row r="276" spans="9:10">
      <c r="I276" s="158" t="s">
        <v>1292</v>
      </c>
      <c r="J276" s="159">
        <v>0.95</v>
      </c>
    </row>
    <row r="277" spans="9:10">
      <c r="I277" s="158" t="s">
        <v>1292</v>
      </c>
      <c r="J277" s="159">
        <v>1</v>
      </c>
    </row>
    <row r="278" spans="9:10">
      <c r="I278" s="158" t="s">
        <v>1292</v>
      </c>
      <c r="J278" s="159">
        <v>0</v>
      </c>
    </row>
    <row r="279" spans="9:10">
      <c r="I279" s="158" t="s">
        <v>1292</v>
      </c>
      <c r="J279" s="159">
        <v>0</v>
      </c>
    </row>
    <row r="280" spans="9:10">
      <c r="I280" s="158" t="s">
        <v>1292</v>
      </c>
      <c r="J280" s="159">
        <v>1</v>
      </c>
    </row>
    <row r="281" spans="9:10">
      <c r="I281" s="158" t="s">
        <v>584</v>
      </c>
      <c r="J281" s="159">
        <v>0</v>
      </c>
    </row>
    <row r="282" spans="9:10">
      <c r="I282" s="158" t="s">
        <v>584</v>
      </c>
      <c r="J282" s="159">
        <v>0</v>
      </c>
    </row>
    <row r="283" spans="9:10">
      <c r="I283" s="158" t="s">
        <v>584</v>
      </c>
      <c r="J283" s="159">
        <v>1</v>
      </c>
    </row>
    <row r="284" spans="9:10">
      <c r="I284" s="158" t="s">
        <v>584</v>
      </c>
      <c r="J284" s="159">
        <v>1</v>
      </c>
    </row>
    <row r="285" spans="9:10">
      <c r="I285" s="158" t="s">
        <v>567</v>
      </c>
      <c r="J285" s="159">
        <v>1</v>
      </c>
    </row>
    <row r="286" spans="9:10">
      <c r="I286" s="158" t="s">
        <v>584</v>
      </c>
      <c r="J286" s="159">
        <v>1</v>
      </c>
    </row>
    <row r="287" spans="9:10">
      <c r="I287" s="158" t="s">
        <v>584</v>
      </c>
      <c r="J287" s="159">
        <v>1</v>
      </c>
    </row>
    <row r="288" spans="9:10">
      <c r="I288" s="158" t="s">
        <v>206</v>
      </c>
      <c r="J288" s="159">
        <v>0</v>
      </c>
    </row>
    <row r="289" spans="9:10">
      <c r="I289" s="158" t="s">
        <v>584</v>
      </c>
      <c r="J289" s="159">
        <v>1</v>
      </c>
    </row>
    <row r="290" spans="9:10">
      <c r="I290" s="158" t="s">
        <v>584</v>
      </c>
      <c r="J290" s="159">
        <v>1</v>
      </c>
    </row>
    <row r="291" spans="9:10">
      <c r="I291" s="158" t="s">
        <v>584</v>
      </c>
      <c r="J291" s="159">
        <v>0</v>
      </c>
    </row>
    <row r="292" spans="9:10">
      <c r="I292" s="158" t="s">
        <v>584</v>
      </c>
      <c r="J292" s="159">
        <v>1</v>
      </c>
    </row>
    <row r="293" spans="9:10">
      <c r="I293" s="158" t="s">
        <v>584</v>
      </c>
      <c r="J293" s="159">
        <v>0.6</v>
      </c>
    </row>
    <row r="294" spans="9:10">
      <c r="I294" s="158" t="s">
        <v>584</v>
      </c>
      <c r="J294" s="159">
        <v>1</v>
      </c>
    </row>
    <row r="295" spans="9:10">
      <c r="I295" s="158" t="s">
        <v>584</v>
      </c>
      <c r="J295" s="159">
        <v>0</v>
      </c>
    </row>
    <row r="296" spans="9:10">
      <c r="I296" s="158" t="s">
        <v>206</v>
      </c>
      <c r="J296" s="159">
        <v>0</v>
      </c>
    </row>
    <row r="297" spans="9:10">
      <c r="I297" s="158" t="s">
        <v>584</v>
      </c>
      <c r="J297" s="159">
        <v>1</v>
      </c>
    </row>
    <row r="298" spans="9:10">
      <c r="I298" s="158" t="s">
        <v>584</v>
      </c>
      <c r="J298" s="159">
        <v>1</v>
      </c>
    </row>
    <row r="299" spans="9:10">
      <c r="I299" s="158" t="s">
        <v>567</v>
      </c>
      <c r="J299" s="159">
        <v>1</v>
      </c>
    </row>
    <row r="300" spans="9:10">
      <c r="I300" s="158" t="s">
        <v>584</v>
      </c>
      <c r="J300" s="159">
        <v>1</v>
      </c>
    </row>
    <row r="301" spans="9:10">
      <c r="I301" s="158" t="s">
        <v>584</v>
      </c>
      <c r="J301" s="159">
        <v>1</v>
      </c>
    </row>
    <row r="302" spans="9:10">
      <c r="I302" s="158" t="s">
        <v>584</v>
      </c>
      <c r="J302" s="159">
        <v>1</v>
      </c>
    </row>
    <row r="303" spans="9:10">
      <c r="I303" s="158" t="s">
        <v>584</v>
      </c>
      <c r="J303" s="159">
        <v>1</v>
      </c>
    </row>
    <row r="304" spans="9:10">
      <c r="I304" s="158" t="s">
        <v>584</v>
      </c>
      <c r="J304" s="159">
        <v>1</v>
      </c>
    </row>
    <row r="305" spans="9:10">
      <c r="I305" s="158" t="s">
        <v>584</v>
      </c>
      <c r="J305" s="159">
        <v>1</v>
      </c>
    </row>
    <row r="306" spans="9:10">
      <c r="I306" s="160" t="s">
        <v>1476</v>
      </c>
      <c r="J306" s="161">
        <v>0.7</v>
      </c>
    </row>
    <row r="307" spans="9:10">
      <c r="I307" s="160" t="s">
        <v>1476</v>
      </c>
      <c r="J307" s="161">
        <v>0</v>
      </c>
    </row>
    <row r="308" spans="9:10">
      <c r="I308" s="160" t="s">
        <v>1476</v>
      </c>
      <c r="J308" s="161">
        <v>1</v>
      </c>
    </row>
    <row r="309" spans="9:10">
      <c r="I309" s="160" t="s">
        <v>1476</v>
      </c>
      <c r="J309" s="161">
        <v>0.95</v>
      </c>
    </row>
    <row r="310" spans="9:10">
      <c r="I310" s="160" t="s">
        <v>1476</v>
      </c>
      <c r="J310" s="161">
        <v>0.98</v>
      </c>
    </row>
    <row r="311" spans="9:10">
      <c r="I311" s="160" t="s">
        <v>1496</v>
      </c>
      <c r="J311" s="161">
        <v>0.95</v>
      </c>
    </row>
    <row r="312" spans="9:10">
      <c r="I312" s="160" t="s">
        <v>1503</v>
      </c>
      <c r="J312" s="161">
        <v>0.94</v>
      </c>
    </row>
    <row r="313" spans="9:10">
      <c r="I313" s="160" t="s">
        <v>1503</v>
      </c>
      <c r="J313" s="161">
        <v>0.97</v>
      </c>
    </row>
    <row r="314" spans="9:10">
      <c r="I314" s="160" t="s">
        <v>1476</v>
      </c>
      <c r="J314" s="161">
        <v>0.6</v>
      </c>
    </row>
    <row r="315" spans="9:10">
      <c r="I315" s="160" t="s">
        <v>1476</v>
      </c>
      <c r="J315" s="161">
        <v>0</v>
      </c>
    </row>
    <row r="316" spans="9:10">
      <c r="I316" s="160" t="s">
        <v>1476</v>
      </c>
      <c r="J316" s="161">
        <v>1</v>
      </c>
    </row>
    <row r="317" spans="9:10">
      <c r="I317" s="160" t="s">
        <v>1476</v>
      </c>
      <c r="J317" s="161">
        <v>0.8</v>
      </c>
    </row>
    <row r="318" spans="9:10">
      <c r="I318" s="160" t="s">
        <v>1476</v>
      </c>
      <c r="J318" s="161">
        <v>0.99</v>
      </c>
    </row>
    <row r="319" spans="9:10">
      <c r="I319" s="160" t="s">
        <v>1476</v>
      </c>
      <c r="J319" s="161">
        <v>0.78</v>
      </c>
    </row>
    <row r="320" spans="9:10">
      <c r="I320" s="160" t="s">
        <v>1476</v>
      </c>
      <c r="J320" s="161">
        <v>0</v>
      </c>
    </row>
    <row r="321" spans="9:10">
      <c r="I321" s="160" t="s">
        <v>1476</v>
      </c>
      <c r="J321" s="161">
        <v>1</v>
      </c>
    </row>
    <row r="322" spans="9:10">
      <c r="I322" s="160" t="s">
        <v>1476</v>
      </c>
      <c r="J322" s="161">
        <v>1</v>
      </c>
    </row>
    <row r="323" spans="9:10">
      <c r="I323" s="160" t="s">
        <v>1476</v>
      </c>
      <c r="J323" s="161">
        <v>0</v>
      </c>
    </row>
    <row r="324" spans="9:10">
      <c r="I324" s="160" t="s">
        <v>206</v>
      </c>
      <c r="J324" s="161">
        <v>1</v>
      </c>
    </row>
    <row r="325" spans="9:10">
      <c r="I325" s="160" t="s">
        <v>206</v>
      </c>
      <c r="J325" s="161">
        <v>0</v>
      </c>
    </row>
    <row r="326" spans="9:10">
      <c r="I326" s="160" t="s">
        <v>1648</v>
      </c>
      <c r="J326" s="161">
        <v>1</v>
      </c>
    </row>
    <row r="327" spans="9:10">
      <c r="I327" s="160" t="s">
        <v>1576</v>
      </c>
      <c r="J327" s="161">
        <v>0.9</v>
      </c>
    </row>
    <row r="328" spans="9:10">
      <c r="I328" s="160" t="s">
        <v>1576</v>
      </c>
      <c r="J328" s="161">
        <v>1</v>
      </c>
    </row>
    <row r="329" spans="9:10">
      <c r="I329" s="160" t="s">
        <v>1576</v>
      </c>
      <c r="J329" s="161">
        <v>1</v>
      </c>
    </row>
    <row r="330" spans="9:10">
      <c r="I330" s="160" t="s">
        <v>1576</v>
      </c>
      <c r="J330" s="161">
        <v>0</v>
      </c>
    </row>
    <row r="331" spans="9:10">
      <c r="I331" s="160" t="s">
        <v>1576</v>
      </c>
      <c r="J331" s="161">
        <v>1</v>
      </c>
    </row>
    <row r="332" spans="9:10">
      <c r="I332" s="160" t="s">
        <v>1576</v>
      </c>
      <c r="J332" s="161">
        <v>0</v>
      </c>
    </row>
    <row r="333" spans="9:10">
      <c r="I333" s="160" t="s">
        <v>1576</v>
      </c>
      <c r="J333" s="161">
        <v>1</v>
      </c>
    </row>
    <row r="334" spans="9:10">
      <c r="I334" s="162"/>
      <c r="J334" s="162"/>
    </row>
    <row r="335" spans="9:10">
      <c r="I335" s="162"/>
      <c r="J335" s="162"/>
    </row>
    <row r="336" spans="9:10">
      <c r="I336" s="162"/>
      <c r="J336" s="162"/>
    </row>
    <row r="337" spans="9:10">
      <c r="I337" s="162"/>
      <c r="J337" s="162"/>
    </row>
    <row r="338" spans="9:10">
      <c r="I338" s="162"/>
      <c r="J338" s="162"/>
    </row>
    <row r="339" spans="9:10">
      <c r="I339" s="162"/>
      <c r="J339" s="162"/>
    </row>
    <row r="340" spans="9:10">
      <c r="I340" s="162"/>
      <c r="J340" s="162"/>
    </row>
    <row r="341" spans="9:10">
      <c r="I341" s="162"/>
      <c r="J341" s="162"/>
    </row>
    <row r="342" spans="9:10">
      <c r="I342" s="162"/>
      <c r="J342" s="162"/>
    </row>
    <row r="343" spans="9:10">
      <c r="I343" s="162"/>
      <c r="J343" s="162"/>
    </row>
    <row r="344" spans="9:10">
      <c r="I344" s="162"/>
      <c r="J344" s="162"/>
    </row>
    <row r="345" spans="9:10">
      <c r="I345" s="162"/>
      <c r="J345" s="162"/>
    </row>
    <row r="346" spans="9:10">
      <c r="I346" s="162"/>
      <c r="J346" s="162"/>
    </row>
    <row r="347" spans="9:10">
      <c r="I347" s="162"/>
      <c r="J347" s="162"/>
    </row>
    <row r="348" spans="9:10">
      <c r="I348" s="162"/>
      <c r="J348" s="162"/>
    </row>
    <row r="349" spans="9:10">
      <c r="I349" s="162"/>
      <c r="J349" s="162"/>
    </row>
    <row r="350" spans="9:10">
      <c r="I350" s="162"/>
      <c r="J350" s="162"/>
    </row>
    <row r="351" spans="9:10">
      <c r="I351" s="162"/>
      <c r="J351" s="162"/>
    </row>
    <row r="352" spans="9:10">
      <c r="I352" s="162"/>
      <c r="J352" s="162"/>
    </row>
    <row r="353" spans="9:10">
      <c r="I353" s="162"/>
      <c r="J353" s="162"/>
    </row>
    <row r="354" spans="9:10">
      <c r="I354" s="162"/>
      <c r="J354" s="162"/>
    </row>
    <row r="355" spans="9:10">
      <c r="I355" s="162"/>
      <c r="J355" s="162"/>
    </row>
    <row r="356" spans="9:10">
      <c r="I356" s="162"/>
      <c r="J356" s="162"/>
    </row>
    <row r="357" spans="9:10">
      <c r="I357" s="162"/>
      <c r="J357" s="162"/>
    </row>
    <row r="358" spans="9:10">
      <c r="I358" s="162"/>
      <c r="J358" s="162"/>
    </row>
    <row r="359" spans="9:10">
      <c r="I359" s="162"/>
      <c r="J359" s="162"/>
    </row>
    <row r="360" spans="9:10">
      <c r="I360" s="162"/>
      <c r="J360" s="162"/>
    </row>
    <row r="361" spans="9:10">
      <c r="I361" s="162"/>
      <c r="J361" s="162"/>
    </row>
    <row r="362" spans="9:10">
      <c r="I362" s="162"/>
      <c r="J362" s="162"/>
    </row>
    <row r="363" spans="9:10">
      <c r="I363" s="162"/>
      <c r="J363" s="162"/>
    </row>
    <row r="364" spans="9:10">
      <c r="I364" s="162"/>
      <c r="J364" s="162"/>
    </row>
    <row r="365" spans="9:10">
      <c r="I365" s="162"/>
      <c r="J365" s="162"/>
    </row>
    <row r="366" spans="9:10">
      <c r="I366" s="162"/>
      <c r="J366" s="162"/>
    </row>
    <row r="367" spans="9:10">
      <c r="I367" s="162"/>
      <c r="J367" s="162"/>
    </row>
    <row r="368" spans="9:10">
      <c r="I368" s="162"/>
      <c r="J368" s="162"/>
    </row>
    <row r="369" spans="9:10">
      <c r="I369" s="162"/>
      <c r="J369" s="162"/>
    </row>
    <row r="370" spans="9:10">
      <c r="I370" s="162"/>
      <c r="J370" s="162"/>
    </row>
    <row r="371" spans="9:10">
      <c r="I371" s="162"/>
      <c r="J371" s="162"/>
    </row>
    <row r="372" spans="9:10">
      <c r="I372" s="162"/>
      <c r="J372" s="162"/>
    </row>
    <row r="373" spans="9:10">
      <c r="I373" s="162"/>
      <c r="J373" s="162"/>
    </row>
    <row r="374" spans="9:10">
      <c r="I374" s="162"/>
      <c r="J374" s="162"/>
    </row>
    <row r="375" spans="9:10">
      <c r="I375" s="162"/>
      <c r="J375" s="162"/>
    </row>
    <row r="376" spans="9:10">
      <c r="I376" s="162"/>
      <c r="J376" s="162"/>
    </row>
    <row r="377" spans="9:10">
      <c r="I377" s="162"/>
      <c r="J377" s="162"/>
    </row>
    <row r="378" spans="9:10">
      <c r="I378" s="162"/>
      <c r="J378" s="162"/>
    </row>
    <row r="379" spans="9:10">
      <c r="I379" s="162"/>
      <c r="J379" s="162"/>
    </row>
    <row r="380" spans="9:10">
      <c r="I380" s="162"/>
      <c r="J380" s="162"/>
    </row>
    <row r="381" spans="9:10">
      <c r="I381" s="162"/>
      <c r="J381" s="162"/>
    </row>
    <row r="382" spans="9:10">
      <c r="I382" s="162"/>
      <c r="J382" s="162"/>
    </row>
    <row r="383" spans="9:10">
      <c r="I383" s="162"/>
      <c r="J383" s="162"/>
    </row>
    <row r="384" spans="9:10">
      <c r="I384" s="162"/>
      <c r="J384" s="162"/>
    </row>
    <row r="385" spans="9:10">
      <c r="I385" s="162"/>
      <c r="J385" s="162"/>
    </row>
    <row r="386" spans="9:10">
      <c r="I386" s="162"/>
      <c r="J386" s="162"/>
    </row>
    <row r="387" spans="9:10">
      <c r="I387" s="162"/>
      <c r="J387" s="162"/>
    </row>
    <row r="388" spans="9:10">
      <c r="I388" s="162"/>
      <c r="J388" s="162"/>
    </row>
    <row r="389" spans="9:10">
      <c r="I389" s="162"/>
      <c r="J389" s="162"/>
    </row>
    <row r="390" spans="9:10">
      <c r="I390" s="162"/>
      <c r="J390" s="162"/>
    </row>
    <row r="391" spans="9:10">
      <c r="I391" s="162"/>
      <c r="J391" s="162"/>
    </row>
    <row r="392" spans="9:10">
      <c r="I392" s="162"/>
      <c r="J392" s="162"/>
    </row>
    <row r="393" spans="9:10">
      <c r="I393" s="162"/>
      <c r="J393" s="162"/>
    </row>
    <row r="394" spans="9:10">
      <c r="I394" s="162"/>
      <c r="J394" s="162"/>
    </row>
    <row r="395" spans="9:10">
      <c r="I395" s="162"/>
      <c r="J395" s="162"/>
    </row>
    <row r="396" spans="9:10">
      <c r="I396" s="162"/>
      <c r="J396" s="162"/>
    </row>
    <row r="397" spans="9:10">
      <c r="I397" s="162"/>
      <c r="J397" s="162"/>
    </row>
    <row r="398" spans="9:10">
      <c r="I398" s="162"/>
      <c r="J398" s="162"/>
    </row>
    <row r="399" spans="9:10">
      <c r="I399" s="162"/>
      <c r="J399" s="162"/>
    </row>
    <row r="400" spans="9:10">
      <c r="I400" s="162"/>
      <c r="J400" s="162"/>
    </row>
    <row r="401" spans="9:10">
      <c r="I401" s="162"/>
      <c r="J401" s="162"/>
    </row>
    <row r="402" spans="9:10">
      <c r="I402" s="162"/>
      <c r="J402" s="162"/>
    </row>
    <row r="403" spans="9:10">
      <c r="I403" s="162"/>
      <c r="J403" s="162"/>
    </row>
    <row r="404" spans="9:10">
      <c r="I404" s="162"/>
      <c r="J404" s="162"/>
    </row>
    <row r="405" spans="9:10">
      <c r="I405" s="162"/>
      <c r="J405" s="162"/>
    </row>
    <row r="406" spans="9:10">
      <c r="I406" s="162"/>
      <c r="J406" s="162"/>
    </row>
    <row r="407" spans="9:10">
      <c r="I407" s="162"/>
      <c r="J407" s="162"/>
    </row>
    <row r="408" spans="9:10">
      <c r="I408" s="162"/>
      <c r="J408" s="162"/>
    </row>
    <row r="409" spans="9:10">
      <c r="I409" s="162"/>
      <c r="J409" s="162"/>
    </row>
    <row r="410" spans="9:10">
      <c r="I410" s="162"/>
      <c r="J410" s="162"/>
    </row>
    <row r="411" spans="9:10">
      <c r="I411" s="162"/>
      <c r="J411" s="162"/>
    </row>
    <row r="412" spans="9:10">
      <c r="I412" s="162"/>
      <c r="J412" s="162"/>
    </row>
    <row r="413" spans="9:10">
      <c r="I413" s="162"/>
      <c r="J413" s="162"/>
    </row>
    <row r="414" spans="9:10">
      <c r="I414" s="162"/>
      <c r="J414" s="162"/>
    </row>
    <row r="415" spans="9:10">
      <c r="I415" s="162"/>
      <c r="J415" s="162"/>
    </row>
    <row r="416" spans="9:10">
      <c r="I416" s="162"/>
      <c r="J416" s="162"/>
    </row>
    <row r="417" spans="9:10">
      <c r="I417" s="162"/>
      <c r="J417" s="162"/>
    </row>
    <row r="418" spans="9:10">
      <c r="I418" s="162"/>
      <c r="J418" s="162"/>
    </row>
    <row r="419" spans="9:10">
      <c r="I419" s="162"/>
      <c r="J419" s="162"/>
    </row>
    <row r="420" spans="9:10">
      <c r="I420" s="162"/>
      <c r="J420" s="162"/>
    </row>
    <row r="421" spans="9:10">
      <c r="I421" s="162"/>
      <c r="J421" s="162"/>
    </row>
    <row r="422" spans="9:10">
      <c r="I422" s="162"/>
      <c r="J422" s="162"/>
    </row>
    <row r="423" spans="9:10">
      <c r="I423" s="162"/>
      <c r="J423" s="162"/>
    </row>
    <row r="424" spans="9:10">
      <c r="I424" s="162"/>
      <c r="J424" s="162"/>
    </row>
    <row r="425" spans="9:10">
      <c r="I425" s="162"/>
      <c r="J425" s="162"/>
    </row>
    <row r="426" spans="9:10">
      <c r="I426" s="162"/>
      <c r="J426" s="162"/>
    </row>
    <row r="427" spans="9:10">
      <c r="I427" s="162"/>
      <c r="J427" s="162"/>
    </row>
    <row r="428" spans="9:10">
      <c r="I428" s="162"/>
      <c r="J428" s="162"/>
    </row>
    <row r="429" spans="9:10">
      <c r="I429" s="162"/>
      <c r="J429" s="162"/>
    </row>
    <row r="430" spans="9:10">
      <c r="I430" s="162"/>
      <c r="J430" s="162"/>
    </row>
    <row r="431" spans="9:10">
      <c r="I431" s="162"/>
      <c r="J431" s="162"/>
    </row>
    <row r="432" spans="9:10">
      <c r="I432" s="162"/>
      <c r="J432" s="162"/>
    </row>
    <row r="433" spans="9:10">
      <c r="I433" s="162"/>
      <c r="J433" s="162"/>
    </row>
    <row r="434" spans="9:10">
      <c r="I434" s="162"/>
      <c r="J434" s="162"/>
    </row>
    <row r="435" spans="9:10">
      <c r="I435" s="162"/>
      <c r="J435" s="162"/>
    </row>
    <row r="436" spans="9:10">
      <c r="I436" s="162"/>
      <c r="J436" s="162"/>
    </row>
    <row r="437" spans="9:10">
      <c r="I437" s="162"/>
      <c r="J437" s="162"/>
    </row>
    <row r="438" spans="9:10">
      <c r="I438" s="162"/>
      <c r="J438" s="162"/>
    </row>
    <row r="439" spans="9:10">
      <c r="I439" s="162"/>
      <c r="J439" s="162"/>
    </row>
    <row r="440" spans="9:10">
      <c r="I440" s="162"/>
      <c r="J440" s="162"/>
    </row>
    <row r="441" spans="9:10">
      <c r="I441" s="162"/>
      <c r="J441" s="162"/>
    </row>
    <row r="442" spans="9:10">
      <c r="I442" s="162"/>
      <c r="J442" s="162"/>
    </row>
    <row r="443" spans="9:10">
      <c r="I443" s="162"/>
      <c r="J443" s="162"/>
    </row>
    <row r="444" spans="9:10">
      <c r="I444" s="162"/>
      <c r="J444" s="162"/>
    </row>
    <row r="445" spans="9:10">
      <c r="I445" s="162"/>
      <c r="J445" s="162"/>
    </row>
    <row r="446" spans="9:10">
      <c r="I446" s="162"/>
      <c r="J446" s="162"/>
    </row>
    <row r="447" spans="9:10">
      <c r="I447" s="162"/>
      <c r="J447" s="162"/>
    </row>
    <row r="448" spans="9:10">
      <c r="I448" s="162"/>
      <c r="J448" s="162"/>
    </row>
    <row r="449" spans="9:10">
      <c r="I449" s="162"/>
      <c r="J449" s="162"/>
    </row>
    <row r="450" spans="9:10">
      <c r="I450" s="162"/>
      <c r="J450" s="162"/>
    </row>
    <row r="451" spans="9:10">
      <c r="I451" s="162"/>
      <c r="J451" s="162"/>
    </row>
    <row r="452" spans="9:10">
      <c r="I452" s="162"/>
      <c r="J452" s="162"/>
    </row>
    <row r="453" spans="9:10">
      <c r="I453" s="162"/>
      <c r="J453" s="162"/>
    </row>
    <row r="454" spans="9:10">
      <c r="I454" s="162"/>
      <c r="J454" s="162"/>
    </row>
    <row r="455" spans="9:10">
      <c r="I455" s="162"/>
      <c r="J455" s="162"/>
    </row>
    <row r="456" spans="9:10">
      <c r="I456" s="162"/>
      <c r="J456" s="162"/>
    </row>
    <row r="457" spans="9:10">
      <c r="I457" s="162"/>
      <c r="J457" s="162"/>
    </row>
    <row r="458" spans="9:10">
      <c r="I458" s="162"/>
      <c r="J458" s="162"/>
    </row>
    <row r="459" spans="9:10">
      <c r="I459" s="162"/>
      <c r="J459" s="162"/>
    </row>
    <row r="460" spans="9:10">
      <c r="I460" s="162"/>
      <c r="J460" s="162"/>
    </row>
    <row r="461" spans="9:10">
      <c r="I461" s="162"/>
      <c r="J461" s="162"/>
    </row>
    <row r="462" spans="9:10">
      <c r="I462" s="162"/>
      <c r="J462" s="162"/>
    </row>
    <row r="463" spans="9:10">
      <c r="I463" s="162"/>
      <c r="J463" s="162"/>
    </row>
    <row r="464" spans="9:10">
      <c r="I464" s="162"/>
      <c r="J464" s="162"/>
    </row>
    <row r="465" spans="9:10">
      <c r="I465" s="162"/>
      <c r="J465" s="162"/>
    </row>
    <row r="466" spans="9:10">
      <c r="I466" s="162"/>
      <c r="J466" s="162"/>
    </row>
    <row r="467" spans="9:10">
      <c r="I467" s="162"/>
      <c r="J467" s="162"/>
    </row>
    <row r="468" spans="9:10">
      <c r="I468" s="162"/>
      <c r="J468" s="162"/>
    </row>
    <row r="469" spans="9:10">
      <c r="I469" s="162"/>
      <c r="J469" s="162"/>
    </row>
    <row r="470" spans="9:10">
      <c r="I470" s="162"/>
      <c r="J470" s="162"/>
    </row>
    <row r="471" spans="9:10">
      <c r="I471" s="162"/>
      <c r="J471" s="162"/>
    </row>
    <row r="472" spans="9:10">
      <c r="I472" s="162"/>
      <c r="J472" s="162"/>
    </row>
    <row r="473" spans="9:10">
      <c r="I473" s="162"/>
      <c r="J473" s="162"/>
    </row>
    <row r="474" spans="9:10">
      <c r="I474" s="162"/>
      <c r="J474" s="162"/>
    </row>
    <row r="475" spans="9:10">
      <c r="I475" s="162"/>
      <c r="J475" s="162"/>
    </row>
    <row r="476" spans="9:10">
      <c r="I476" s="162"/>
      <c r="J476" s="162"/>
    </row>
    <row r="477" spans="9:10">
      <c r="I477" s="162"/>
      <c r="J477" s="162"/>
    </row>
    <row r="478" spans="9:10">
      <c r="I478" s="162"/>
      <c r="J478" s="162"/>
    </row>
    <row r="479" spans="9:10">
      <c r="I479" s="162"/>
      <c r="J479" s="162"/>
    </row>
    <row r="480" spans="9:10">
      <c r="I480" s="162"/>
      <c r="J480" s="162"/>
    </row>
    <row r="481" spans="9:10">
      <c r="I481" s="162"/>
      <c r="J481" s="162"/>
    </row>
    <row r="482" spans="9:10">
      <c r="I482" s="162"/>
      <c r="J482" s="162"/>
    </row>
    <row r="483" spans="9:10">
      <c r="I483" s="162"/>
      <c r="J483" s="162"/>
    </row>
    <row r="484" spans="9:10">
      <c r="I484" s="162"/>
      <c r="J484" s="162"/>
    </row>
    <row r="485" spans="9:10">
      <c r="I485" s="162"/>
      <c r="J485" s="162"/>
    </row>
    <row r="486" spans="9:10">
      <c r="I486" s="162"/>
      <c r="J486" s="162"/>
    </row>
    <row r="487" spans="9:10">
      <c r="I487" s="162"/>
      <c r="J487" s="162"/>
    </row>
    <row r="488" spans="9:10">
      <c r="I488" s="162"/>
      <c r="J488" s="162"/>
    </row>
    <row r="489" spans="9:10">
      <c r="I489" s="162"/>
      <c r="J489" s="162"/>
    </row>
    <row r="490" spans="9:10">
      <c r="I490" s="162"/>
      <c r="J490" s="162"/>
    </row>
    <row r="491" spans="9:10">
      <c r="I491" s="162"/>
      <c r="J491" s="162"/>
    </row>
    <row r="492" spans="9:10">
      <c r="I492" s="162"/>
      <c r="J492" s="162"/>
    </row>
    <row r="493" spans="9:10">
      <c r="I493" s="162"/>
      <c r="J493" s="162"/>
    </row>
    <row r="494" spans="9:10">
      <c r="I494" s="162"/>
      <c r="J494" s="162"/>
    </row>
    <row r="495" spans="9:10">
      <c r="I495" s="162"/>
      <c r="J495" s="162"/>
    </row>
    <row r="496" spans="9:10">
      <c r="I496" s="162"/>
      <c r="J496" s="162"/>
    </row>
    <row r="497" spans="9:10">
      <c r="I497" s="162"/>
      <c r="J497" s="162"/>
    </row>
    <row r="498" spans="9:10">
      <c r="I498" s="162"/>
      <c r="J498" s="162"/>
    </row>
    <row r="499" spans="9:10">
      <c r="I499" s="162"/>
      <c r="J499" s="162"/>
    </row>
    <row r="500" spans="9:10">
      <c r="I500" s="162"/>
      <c r="J500" s="162"/>
    </row>
    <row r="501" spans="9:10">
      <c r="I501" s="162"/>
      <c r="J501" s="162"/>
    </row>
    <row r="502" spans="9:10">
      <c r="I502" s="162"/>
      <c r="J502" s="162"/>
    </row>
    <row r="503" spans="9:10">
      <c r="I503" s="162"/>
      <c r="J503" s="162"/>
    </row>
    <row r="504" spans="9:10">
      <c r="I504" s="162"/>
      <c r="J504" s="162"/>
    </row>
    <row r="505" spans="9:10">
      <c r="I505" s="162"/>
      <c r="J505" s="162"/>
    </row>
    <row r="506" spans="9:10">
      <c r="I506" s="162"/>
      <c r="J506" s="162"/>
    </row>
    <row r="507" spans="9:10">
      <c r="I507" s="162"/>
      <c r="J507" s="162"/>
    </row>
    <row r="508" spans="9:10">
      <c r="I508" s="162"/>
      <c r="J508" s="162"/>
    </row>
    <row r="509" spans="9:10">
      <c r="I509" s="162"/>
      <c r="J509" s="162"/>
    </row>
    <row r="510" spans="9:10">
      <c r="I510" s="162"/>
      <c r="J510" s="162"/>
    </row>
    <row r="511" spans="9:10">
      <c r="I511" s="162"/>
      <c r="J511" s="162"/>
    </row>
    <row r="512" spans="9:10">
      <c r="I512" s="162"/>
      <c r="J512" s="162"/>
    </row>
    <row r="513" spans="9:10">
      <c r="I513" s="162"/>
      <c r="J513" s="162"/>
    </row>
    <row r="514" spans="9:10">
      <c r="I514" s="162"/>
      <c r="J514" s="162"/>
    </row>
    <row r="515" spans="9:10">
      <c r="I515" s="162"/>
      <c r="J515" s="162"/>
    </row>
    <row r="516" spans="9:10">
      <c r="I516" s="162"/>
      <c r="J516" s="162"/>
    </row>
    <row r="517" spans="9:10">
      <c r="I517" s="162"/>
      <c r="J517" s="162"/>
    </row>
    <row r="518" spans="9:10">
      <c r="I518" s="162"/>
      <c r="J518" s="162"/>
    </row>
    <row r="519" spans="9:10">
      <c r="I519" s="162"/>
      <c r="J519" s="162"/>
    </row>
    <row r="520" spans="9:10">
      <c r="I520" s="162"/>
      <c r="J520" s="162"/>
    </row>
    <row r="521" spans="9:10">
      <c r="I521" s="162"/>
      <c r="J521" s="162"/>
    </row>
    <row r="522" spans="9:10">
      <c r="I522" s="162"/>
      <c r="J522" s="162"/>
    </row>
    <row r="523" spans="9:10">
      <c r="I523" s="162"/>
      <c r="J523" s="162"/>
    </row>
    <row r="524" spans="9:10">
      <c r="I524" s="162"/>
      <c r="J524" s="162"/>
    </row>
    <row r="525" spans="9:10">
      <c r="I525" s="162"/>
      <c r="J525" s="162"/>
    </row>
    <row r="526" spans="9:10">
      <c r="I526" s="162"/>
      <c r="J526" s="162"/>
    </row>
    <row r="527" spans="9:10">
      <c r="I527" s="162"/>
      <c r="J527" s="162"/>
    </row>
    <row r="528" spans="9:10">
      <c r="I528" s="162"/>
      <c r="J528" s="162"/>
    </row>
    <row r="529" spans="9:10">
      <c r="I529" s="162"/>
      <c r="J529" s="162"/>
    </row>
    <row r="530" spans="9:10">
      <c r="I530" s="162"/>
      <c r="J530" s="162"/>
    </row>
    <row r="531" spans="9:10">
      <c r="I531" s="162"/>
      <c r="J531" s="162"/>
    </row>
    <row r="532" spans="9:10">
      <c r="I532" s="162"/>
      <c r="J532" s="162"/>
    </row>
    <row r="533" spans="9:10">
      <c r="I533" s="162"/>
      <c r="J533" s="162"/>
    </row>
    <row r="534" spans="9:10">
      <c r="I534" s="162"/>
      <c r="J534" s="162"/>
    </row>
    <row r="535" spans="9:10">
      <c r="I535" s="162"/>
      <c r="J535" s="162"/>
    </row>
    <row r="536" spans="9:10">
      <c r="I536" s="162"/>
      <c r="J536" s="162"/>
    </row>
    <row r="537" spans="9:10">
      <c r="I537" s="162"/>
      <c r="J537" s="162"/>
    </row>
    <row r="538" spans="9:10">
      <c r="I538" s="162"/>
      <c r="J538" s="162"/>
    </row>
    <row r="539" spans="9:10">
      <c r="I539" s="162"/>
      <c r="J539" s="162"/>
    </row>
    <row r="540" spans="9:10">
      <c r="I540" s="162"/>
      <c r="J540" s="162"/>
    </row>
    <row r="541" spans="9:10">
      <c r="I541" s="162"/>
      <c r="J541" s="162"/>
    </row>
    <row r="542" spans="9:10">
      <c r="I542" s="162"/>
      <c r="J542" s="162"/>
    </row>
    <row r="543" spans="9:10">
      <c r="I543" s="162"/>
      <c r="J543" s="162"/>
    </row>
    <row r="544" spans="9:10">
      <c r="I544" s="162"/>
      <c r="J544" s="162"/>
    </row>
    <row r="545" spans="9:10">
      <c r="I545" s="162"/>
      <c r="J545" s="162"/>
    </row>
    <row r="546" spans="9:10">
      <c r="I546" s="162"/>
      <c r="J546" s="162"/>
    </row>
    <row r="547" spans="9:10">
      <c r="I547" s="162"/>
      <c r="J547" s="162"/>
    </row>
    <row r="548" spans="9:10">
      <c r="I548" s="162"/>
      <c r="J548" s="162"/>
    </row>
    <row r="549" spans="9:10">
      <c r="I549" s="162"/>
      <c r="J549" s="162"/>
    </row>
    <row r="550" spans="9:10">
      <c r="I550" s="162"/>
      <c r="J550" s="162"/>
    </row>
    <row r="551" spans="9:10">
      <c r="I551" s="162"/>
      <c r="J551" s="162"/>
    </row>
    <row r="552" spans="9:10">
      <c r="I552" s="162"/>
      <c r="J552" s="162"/>
    </row>
    <row r="553" spans="9:10">
      <c r="I553" s="162"/>
      <c r="J553" s="162"/>
    </row>
    <row r="554" spans="9:10">
      <c r="I554" s="162"/>
      <c r="J554" s="162"/>
    </row>
    <row r="555" spans="9:10">
      <c r="I555" s="162"/>
      <c r="J555" s="162"/>
    </row>
    <row r="556" spans="9:10">
      <c r="I556" s="162"/>
      <c r="J556" s="162"/>
    </row>
    <row r="557" spans="9:10">
      <c r="I557" s="162"/>
      <c r="J557" s="162"/>
    </row>
    <row r="558" spans="9:10">
      <c r="I558" s="162"/>
      <c r="J558" s="162"/>
    </row>
    <row r="559" spans="9:10">
      <c r="I559" s="162"/>
      <c r="J559" s="162"/>
    </row>
    <row r="560" spans="9:10">
      <c r="I560" s="162"/>
      <c r="J560" s="162"/>
    </row>
    <row r="561" spans="9:10">
      <c r="I561" s="162"/>
      <c r="J561" s="162"/>
    </row>
    <row r="562" spans="9:10">
      <c r="I562" s="162"/>
      <c r="J562" s="162"/>
    </row>
    <row r="563" spans="9:10">
      <c r="I563" s="162"/>
      <c r="J563" s="162"/>
    </row>
    <row r="564" spans="9:10">
      <c r="I564" s="162"/>
      <c r="J564" s="162"/>
    </row>
    <row r="565" spans="9:10">
      <c r="I565" s="162"/>
      <c r="J565" s="162"/>
    </row>
    <row r="566" spans="9:10">
      <c r="I566" s="162"/>
      <c r="J566" s="162"/>
    </row>
    <row r="567" spans="9:10">
      <c r="I567" s="162"/>
      <c r="J567" s="162"/>
    </row>
    <row r="568" spans="9:10">
      <c r="I568" s="162"/>
      <c r="J568" s="162"/>
    </row>
    <row r="569" spans="9:10">
      <c r="I569" s="162"/>
      <c r="J569" s="162"/>
    </row>
    <row r="570" spans="9:10">
      <c r="I570" s="162"/>
      <c r="J570" s="162"/>
    </row>
    <row r="571" spans="9:10">
      <c r="I571" s="162"/>
      <c r="J571" s="162"/>
    </row>
    <row r="572" spans="9:10">
      <c r="I572" s="162"/>
      <c r="J572" s="162"/>
    </row>
    <row r="573" spans="9:10">
      <c r="I573" s="162"/>
      <c r="J573" s="162"/>
    </row>
    <row r="574" spans="9:10">
      <c r="I574" s="162"/>
      <c r="J574" s="162"/>
    </row>
    <row r="575" spans="9:10">
      <c r="I575" s="162"/>
      <c r="J575" s="162"/>
    </row>
    <row r="576" spans="9:10">
      <c r="I576" s="162"/>
      <c r="J576" s="162"/>
    </row>
    <row r="577" spans="9:10">
      <c r="I577" s="162"/>
      <c r="J577" s="162"/>
    </row>
    <row r="578" spans="9:10">
      <c r="I578" s="162"/>
      <c r="J578" s="162"/>
    </row>
    <row r="579" spans="9:10">
      <c r="I579" s="162"/>
      <c r="J579" s="162"/>
    </row>
    <row r="580" spans="9:10">
      <c r="I580" s="162"/>
      <c r="J580" s="162"/>
    </row>
    <row r="581" spans="9:10">
      <c r="I581" s="162"/>
      <c r="J581" s="162"/>
    </row>
    <row r="582" spans="9:10">
      <c r="I582" s="162"/>
      <c r="J582" s="162"/>
    </row>
    <row r="583" spans="9:10">
      <c r="I583" s="162"/>
      <c r="J583" s="162"/>
    </row>
    <row r="584" spans="9:10">
      <c r="I584" s="162"/>
      <c r="J584" s="162"/>
    </row>
    <row r="585" spans="9:10">
      <c r="I585" s="162"/>
      <c r="J585" s="162"/>
    </row>
    <row r="586" spans="9:10">
      <c r="I586" s="162"/>
      <c r="J586" s="162"/>
    </row>
    <row r="587" spans="9:10">
      <c r="I587" s="162"/>
      <c r="J587" s="162"/>
    </row>
    <row r="588" spans="9:10">
      <c r="I588" s="162"/>
      <c r="J588" s="162"/>
    </row>
    <row r="589" spans="9:10">
      <c r="I589" s="162"/>
      <c r="J589" s="162"/>
    </row>
    <row r="590" spans="9:10">
      <c r="I590" s="162"/>
      <c r="J590" s="162"/>
    </row>
    <row r="591" spans="9:10">
      <c r="I591" s="162"/>
      <c r="J591" s="162"/>
    </row>
    <row r="592" spans="9:10">
      <c r="I592" s="162"/>
      <c r="J592" s="162"/>
    </row>
    <row r="593" spans="9:10">
      <c r="I593" s="162"/>
      <c r="J593" s="162"/>
    </row>
    <row r="594" spans="9:10">
      <c r="I594" s="162"/>
      <c r="J594" s="162"/>
    </row>
    <row r="595" spans="9:10">
      <c r="I595" s="162"/>
      <c r="J595" s="162"/>
    </row>
    <row r="596" spans="9:10">
      <c r="I596" s="162"/>
      <c r="J596" s="162"/>
    </row>
    <row r="597" spans="9:10">
      <c r="I597" s="162"/>
      <c r="J597" s="162"/>
    </row>
    <row r="598" spans="9:10">
      <c r="I598" s="162"/>
      <c r="J598" s="162"/>
    </row>
    <row r="599" spans="9:10">
      <c r="I599" s="162"/>
      <c r="J599" s="162"/>
    </row>
    <row r="600" spans="9:10">
      <c r="I600" s="162"/>
      <c r="J600" s="162"/>
    </row>
    <row r="601" spans="9:10">
      <c r="I601" s="162"/>
      <c r="J601" s="162"/>
    </row>
    <row r="602" spans="9:10">
      <c r="I602" s="162"/>
      <c r="J602" s="162"/>
    </row>
    <row r="603" spans="9:10">
      <c r="I603" s="162"/>
      <c r="J603" s="162"/>
    </row>
    <row r="604" spans="9:10">
      <c r="I604" s="162"/>
      <c r="J604" s="162"/>
    </row>
    <row r="605" spans="9:10">
      <c r="I605" s="162"/>
      <c r="J605" s="162"/>
    </row>
    <row r="606" spans="9:10">
      <c r="I606" s="162"/>
      <c r="J606" s="162"/>
    </row>
    <row r="607" spans="9:10">
      <c r="I607" s="162"/>
      <c r="J607" s="162"/>
    </row>
    <row r="608" spans="9:10">
      <c r="I608" s="162"/>
      <c r="J608" s="162"/>
    </row>
    <row r="609" spans="9:10">
      <c r="I609" s="162"/>
      <c r="J609" s="162"/>
    </row>
    <row r="610" spans="9:10">
      <c r="I610" s="162"/>
      <c r="J610" s="162"/>
    </row>
    <row r="611" spans="9:10">
      <c r="I611" s="162"/>
      <c r="J611" s="162"/>
    </row>
    <row r="612" spans="9:10">
      <c r="I612" s="162"/>
      <c r="J612" s="162"/>
    </row>
    <row r="613" spans="9:10">
      <c r="I613" s="162"/>
      <c r="J613" s="162"/>
    </row>
    <row r="614" spans="9:10">
      <c r="I614" s="162"/>
      <c r="J614" s="162"/>
    </row>
    <row r="615" spans="9:10">
      <c r="I615" s="162"/>
      <c r="J615" s="162"/>
    </row>
    <row r="616" spans="9:10">
      <c r="I616" s="162"/>
      <c r="J616" s="162"/>
    </row>
    <row r="617" spans="9:10">
      <c r="I617" s="162"/>
      <c r="J617" s="162"/>
    </row>
    <row r="618" spans="9:10">
      <c r="I618" s="162"/>
      <c r="J618" s="162"/>
    </row>
    <row r="619" spans="9:10">
      <c r="I619" s="162"/>
      <c r="J619" s="162"/>
    </row>
    <row r="620" spans="9:10">
      <c r="I620" s="162"/>
      <c r="J620" s="162"/>
    </row>
    <row r="621" spans="9:10">
      <c r="I621" s="162"/>
      <c r="J621" s="162"/>
    </row>
    <row r="622" spans="9:10">
      <c r="I622" s="162"/>
      <c r="J622" s="162"/>
    </row>
    <row r="623" spans="9:10">
      <c r="I623" s="162"/>
      <c r="J623" s="162"/>
    </row>
    <row r="624" spans="9:10">
      <c r="I624" s="162"/>
      <c r="J624" s="162"/>
    </row>
    <row r="625" spans="9:10">
      <c r="I625" s="162"/>
      <c r="J625" s="162"/>
    </row>
    <row r="626" spans="9:10">
      <c r="I626" s="162"/>
      <c r="J626" s="162"/>
    </row>
    <row r="627" spans="9:10">
      <c r="I627" s="162"/>
      <c r="J627" s="162"/>
    </row>
    <row r="628" spans="9:10">
      <c r="I628" s="162"/>
      <c r="J628" s="162"/>
    </row>
    <row r="629" spans="9:10">
      <c r="I629" s="162"/>
      <c r="J629" s="162"/>
    </row>
    <row r="630" spans="9:10">
      <c r="I630" s="162"/>
      <c r="J630" s="162"/>
    </row>
    <row r="631" spans="9:10">
      <c r="I631" s="162"/>
      <c r="J631" s="162"/>
    </row>
    <row r="632" spans="9:10">
      <c r="I632" s="162"/>
      <c r="J632" s="162"/>
    </row>
    <row r="633" spans="9:10">
      <c r="I633" s="162"/>
      <c r="J633" s="162"/>
    </row>
    <row r="634" spans="9:10">
      <c r="I634" s="162"/>
      <c r="J634" s="162"/>
    </row>
    <row r="635" spans="9:10">
      <c r="I635" s="162"/>
      <c r="J635" s="162"/>
    </row>
    <row r="636" spans="9:10">
      <c r="I636" s="162"/>
      <c r="J636" s="162"/>
    </row>
    <row r="637" spans="9:10">
      <c r="I637" s="162"/>
      <c r="J637" s="162"/>
    </row>
    <row r="638" spans="9:10">
      <c r="I638" s="162"/>
      <c r="J638" s="162"/>
    </row>
    <row r="639" spans="9:10">
      <c r="I639" s="162"/>
      <c r="J639" s="162"/>
    </row>
    <row r="640" spans="9:10">
      <c r="I640" s="162"/>
      <c r="J640" s="162"/>
    </row>
    <row r="641" spans="9:10">
      <c r="I641" s="162"/>
      <c r="J641" s="162"/>
    </row>
    <row r="642" spans="9:10">
      <c r="I642" s="162"/>
      <c r="J642" s="162"/>
    </row>
    <row r="643" spans="9:10">
      <c r="I643" s="162"/>
      <c r="J643" s="162"/>
    </row>
    <row r="644" spans="9:10">
      <c r="I644" s="162"/>
      <c r="J644" s="162"/>
    </row>
    <row r="645" spans="9:10">
      <c r="I645" s="162"/>
      <c r="J645" s="162"/>
    </row>
    <row r="646" spans="9:10">
      <c r="I646" s="162"/>
      <c r="J646" s="162"/>
    </row>
    <row r="647" spans="9:10">
      <c r="I647" s="162"/>
      <c r="J647" s="162"/>
    </row>
    <row r="648" spans="9:10">
      <c r="I648" s="162"/>
      <c r="J648" s="162"/>
    </row>
    <row r="649" spans="9:10">
      <c r="I649" s="162"/>
      <c r="J649" s="162"/>
    </row>
    <row r="650" spans="9:10">
      <c r="I650" s="162"/>
      <c r="J650" s="162"/>
    </row>
    <row r="651" spans="9:10">
      <c r="I651" s="162"/>
      <c r="J651" s="162"/>
    </row>
    <row r="652" spans="9:10">
      <c r="I652" s="162"/>
      <c r="J652" s="162"/>
    </row>
    <row r="653" spans="9:10">
      <c r="I653" s="162"/>
      <c r="J653" s="162"/>
    </row>
    <row r="654" spans="9:10">
      <c r="I654" s="162"/>
      <c r="J654" s="162"/>
    </row>
    <row r="655" spans="9:10">
      <c r="I655" s="162"/>
      <c r="J655" s="162"/>
    </row>
    <row r="656" spans="9:10">
      <c r="I656" s="162"/>
      <c r="J656" s="162"/>
    </row>
    <row r="657" spans="9:10">
      <c r="I657" s="162"/>
      <c r="J657" s="162"/>
    </row>
    <row r="658" spans="9:10">
      <c r="I658" s="162"/>
      <c r="J658" s="162"/>
    </row>
    <row r="659" spans="9:10">
      <c r="I659" s="162"/>
      <c r="J659" s="162"/>
    </row>
    <row r="660" spans="9:10">
      <c r="I660" s="162"/>
      <c r="J660" s="162"/>
    </row>
    <row r="661" spans="9:10">
      <c r="I661" s="162"/>
      <c r="J661" s="162"/>
    </row>
    <row r="662" spans="9:10">
      <c r="I662" s="162"/>
      <c r="J662" s="162"/>
    </row>
    <row r="663" spans="9:10">
      <c r="I663" s="162"/>
      <c r="J663" s="162"/>
    </row>
    <row r="664" spans="9:10">
      <c r="I664" s="162"/>
      <c r="J664" s="162"/>
    </row>
    <row r="665" spans="9:10">
      <c r="I665" s="162"/>
      <c r="J665" s="162"/>
    </row>
    <row r="666" spans="9:10">
      <c r="I666" s="162"/>
      <c r="J666" s="162"/>
    </row>
    <row r="667" spans="9:10">
      <c r="I667" s="162"/>
      <c r="J667" s="162"/>
    </row>
    <row r="668" spans="9:10">
      <c r="I668" s="162"/>
      <c r="J668" s="162"/>
    </row>
    <row r="669" spans="9:10">
      <c r="I669" s="162"/>
      <c r="J669" s="162"/>
    </row>
    <row r="670" spans="9:10">
      <c r="I670" s="162"/>
      <c r="J670" s="162"/>
    </row>
    <row r="671" spans="9:10">
      <c r="I671" s="162"/>
      <c r="J671" s="162"/>
    </row>
    <row r="672" spans="9:10">
      <c r="I672" s="162"/>
      <c r="J672" s="162"/>
    </row>
    <row r="673" spans="9:10">
      <c r="I673" s="162"/>
      <c r="J673" s="162"/>
    </row>
    <row r="674" spans="9:10">
      <c r="I674" s="162"/>
      <c r="J674" s="162"/>
    </row>
    <row r="675" spans="9:10">
      <c r="I675" s="162"/>
      <c r="J675" s="162"/>
    </row>
    <row r="676" spans="9:10">
      <c r="I676" s="162"/>
      <c r="J676" s="162"/>
    </row>
    <row r="677" spans="9:10">
      <c r="I677" s="162"/>
      <c r="J677" s="162"/>
    </row>
    <row r="678" spans="9:10">
      <c r="I678" s="162"/>
      <c r="J678" s="162"/>
    </row>
    <row r="679" spans="9:10">
      <c r="I679" s="162"/>
      <c r="J679" s="162"/>
    </row>
    <row r="680" spans="9:10">
      <c r="I680" s="162"/>
      <c r="J680" s="162"/>
    </row>
    <row r="681" spans="9:10">
      <c r="I681" s="162"/>
      <c r="J681" s="162"/>
    </row>
    <row r="682" spans="9:10">
      <c r="I682" s="162"/>
      <c r="J682" s="162"/>
    </row>
    <row r="683" spans="9:10">
      <c r="I683" s="162"/>
      <c r="J683" s="162"/>
    </row>
    <row r="684" spans="9:10">
      <c r="I684" s="162"/>
      <c r="J684" s="162"/>
    </row>
    <row r="685" spans="9:10">
      <c r="I685" s="162"/>
      <c r="J685" s="162"/>
    </row>
    <row r="686" spans="9:10">
      <c r="I686" s="162"/>
      <c r="J686" s="162"/>
    </row>
    <row r="687" spans="9:10">
      <c r="I687" s="162"/>
      <c r="J687" s="162"/>
    </row>
    <row r="688" spans="9:10">
      <c r="I688" s="162"/>
      <c r="J688" s="162"/>
    </row>
    <row r="689" spans="9:10">
      <c r="I689" s="162"/>
      <c r="J689" s="162"/>
    </row>
    <row r="690" spans="9:10">
      <c r="I690" s="162"/>
      <c r="J690" s="162"/>
    </row>
    <row r="691" spans="9:10">
      <c r="I691" s="162"/>
      <c r="J691" s="162"/>
    </row>
    <row r="692" spans="9:10">
      <c r="I692" s="162"/>
      <c r="J692" s="162"/>
    </row>
    <row r="693" spans="9:10">
      <c r="I693" s="162"/>
      <c r="J693" s="162"/>
    </row>
    <row r="694" spans="9:10">
      <c r="I694" s="162"/>
      <c r="J694" s="162"/>
    </row>
    <row r="695" spans="9:10">
      <c r="I695" s="162"/>
      <c r="J695" s="162"/>
    </row>
    <row r="696" spans="9:10">
      <c r="I696" s="162"/>
      <c r="J696" s="162"/>
    </row>
    <row r="697" spans="9:10">
      <c r="I697" s="162"/>
      <c r="J697" s="162"/>
    </row>
    <row r="698" spans="9:10">
      <c r="I698" s="162"/>
      <c r="J698" s="162"/>
    </row>
    <row r="699" spans="9:10">
      <c r="I699" s="162"/>
      <c r="J699" s="162"/>
    </row>
    <row r="700" spans="9:10">
      <c r="I700" s="162"/>
      <c r="J700" s="162"/>
    </row>
    <row r="701" spans="9:10">
      <c r="I701" s="162"/>
      <c r="J701" s="162"/>
    </row>
    <row r="702" spans="9:10">
      <c r="I702" s="162"/>
      <c r="J702" s="162"/>
    </row>
    <row r="703" spans="9:10">
      <c r="I703" s="162"/>
      <c r="J703" s="162"/>
    </row>
    <row r="704" spans="9:10">
      <c r="I704" s="162"/>
      <c r="J704" s="162"/>
    </row>
    <row r="705" spans="9:10">
      <c r="I705" s="162"/>
      <c r="J705" s="162"/>
    </row>
    <row r="706" spans="9:10">
      <c r="I706" s="162"/>
      <c r="J706" s="162"/>
    </row>
    <row r="707" spans="9:10">
      <c r="I707" s="162"/>
      <c r="J707" s="162"/>
    </row>
    <row r="708" spans="9:10">
      <c r="I708" s="162"/>
      <c r="J708" s="162"/>
    </row>
    <row r="709" spans="9:10">
      <c r="I709" s="162"/>
      <c r="J709" s="162"/>
    </row>
    <row r="710" spans="9:10">
      <c r="I710" s="162"/>
      <c r="J710" s="162"/>
    </row>
    <row r="711" spans="9:10">
      <c r="I711" s="162"/>
      <c r="J711" s="162"/>
    </row>
    <row r="712" spans="9:10">
      <c r="I712" s="162"/>
      <c r="J712" s="162"/>
    </row>
    <row r="713" spans="9:10">
      <c r="I713" s="162"/>
      <c r="J713" s="162"/>
    </row>
    <row r="714" spans="9:10">
      <c r="I714" s="162"/>
      <c r="J714" s="162"/>
    </row>
    <row r="715" spans="9:10">
      <c r="I715" s="162"/>
      <c r="J715" s="162"/>
    </row>
    <row r="716" spans="9:10">
      <c r="I716" s="162"/>
      <c r="J716" s="162"/>
    </row>
    <row r="717" spans="9:10">
      <c r="I717" s="162"/>
      <c r="J717" s="162"/>
    </row>
    <row r="718" spans="9:10">
      <c r="I718" s="162"/>
      <c r="J718" s="162"/>
    </row>
    <row r="719" spans="9:10">
      <c r="I719" s="162"/>
      <c r="J719" s="162"/>
    </row>
    <row r="720" spans="9:10">
      <c r="I720" s="162"/>
      <c r="J720" s="162"/>
    </row>
    <row r="721" spans="9:10">
      <c r="I721" s="162"/>
      <c r="J721" s="162"/>
    </row>
    <row r="722" spans="9:10">
      <c r="I722" s="162"/>
      <c r="J722" s="162"/>
    </row>
    <row r="723" spans="9:10">
      <c r="I723" s="162"/>
      <c r="J723" s="162"/>
    </row>
    <row r="724" spans="9:10">
      <c r="I724" s="162"/>
      <c r="J724" s="162"/>
    </row>
    <row r="725" spans="9:10">
      <c r="I725" s="162"/>
      <c r="J725" s="162"/>
    </row>
    <row r="726" spans="9:10">
      <c r="I726" s="162"/>
      <c r="J726" s="162"/>
    </row>
    <row r="727" spans="9:10">
      <c r="I727" s="162"/>
      <c r="J727" s="162"/>
    </row>
    <row r="728" spans="9:10">
      <c r="I728" s="162"/>
      <c r="J728" s="162"/>
    </row>
    <row r="729" spans="9:10">
      <c r="I729" s="162"/>
      <c r="J729" s="162"/>
    </row>
    <row r="730" spans="9:10">
      <c r="I730" s="162"/>
      <c r="J730" s="162"/>
    </row>
    <row r="731" spans="9:10">
      <c r="I731" s="162"/>
      <c r="J731" s="162"/>
    </row>
    <row r="732" spans="9:10">
      <c r="I732" s="162"/>
      <c r="J732" s="162"/>
    </row>
    <row r="733" spans="9:10">
      <c r="I733" s="162"/>
      <c r="J733" s="162"/>
    </row>
    <row r="734" spans="9:10">
      <c r="I734" s="162"/>
      <c r="J734" s="162"/>
    </row>
    <row r="735" spans="9:10">
      <c r="I735" s="162"/>
      <c r="J735" s="162"/>
    </row>
    <row r="736" spans="9:10">
      <c r="I736" s="162"/>
      <c r="J736" s="162"/>
    </row>
    <row r="737" spans="9:10">
      <c r="I737" s="162"/>
      <c r="J737" s="162"/>
    </row>
    <row r="738" spans="9:10">
      <c r="I738" s="162"/>
      <c r="J738" s="162"/>
    </row>
    <row r="739" spans="9:10">
      <c r="I739" s="162"/>
      <c r="J739" s="162"/>
    </row>
    <row r="740" spans="9:10">
      <c r="I740" s="162"/>
      <c r="J740" s="162"/>
    </row>
    <row r="741" spans="9:10">
      <c r="I741" s="162"/>
      <c r="J741" s="162"/>
    </row>
    <row r="742" spans="9:10">
      <c r="I742" s="162"/>
      <c r="J742" s="162"/>
    </row>
    <row r="743" spans="9:10">
      <c r="I743" s="162"/>
      <c r="J743" s="162"/>
    </row>
    <row r="744" spans="9:10">
      <c r="I744" s="162"/>
      <c r="J744" s="162"/>
    </row>
    <row r="745" spans="9:10">
      <c r="I745" s="162"/>
      <c r="J745" s="162"/>
    </row>
    <row r="746" spans="9:10">
      <c r="I746" s="162"/>
      <c r="J746" s="162"/>
    </row>
    <row r="747" spans="9:10">
      <c r="I747" s="162"/>
      <c r="J747" s="162"/>
    </row>
    <row r="748" spans="9:10">
      <c r="I748" s="162"/>
      <c r="J748" s="162"/>
    </row>
    <row r="749" spans="9:10">
      <c r="I749" s="162"/>
      <c r="J749" s="162"/>
    </row>
    <row r="750" spans="9:10">
      <c r="I750" s="162"/>
      <c r="J750" s="162"/>
    </row>
    <row r="751" spans="9:10">
      <c r="I751" s="162"/>
      <c r="J751" s="162"/>
    </row>
    <row r="752" spans="9:10">
      <c r="I752" s="162"/>
      <c r="J752" s="162"/>
    </row>
    <row r="753" spans="9:10">
      <c r="I753" s="162"/>
      <c r="J753" s="162"/>
    </row>
    <row r="754" spans="9:10">
      <c r="I754" s="162"/>
      <c r="J754" s="162"/>
    </row>
    <row r="755" spans="9:10">
      <c r="I755" s="162"/>
      <c r="J755" s="162"/>
    </row>
    <row r="756" spans="9:10">
      <c r="I756" s="162"/>
      <c r="J756" s="162"/>
    </row>
    <row r="757" spans="9:10">
      <c r="I757" s="162"/>
      <c r="J757" s="162"/>
    </row>
    <row r="758" spans="9:10">
      <c r="I758" s="162"/>
      <c r="J758" s="162"/>
    </row>
    <row r="759" spans="9:10">
      <c r="I759" s="162"/>
      <c r="J759" s="162"/>
    </row>
    <row r="760" spans="9:10">
      <c r="I760" s="162"/>
      <c r="J760" s="162"/>
    </row>
    <row r="761" spans="9:10">
      <c r="I761" s="162"/>
      <c r="J761" s="162"/>
    </row>
    <row r="762" spans="9:10">
      <c r="I762" s="162"/>
      <c r="J762" s="162"/>
    </row>
    <row r="763" spans="9:10">
      <c r="I763" s="162"/>
      <c r="J763" s="162"/>
    </row>
    <row r="764" spans="9:10">
      <c r="I764" s="162"/>
      <c r="J764" s="162"/>
    </row>
    <row r="765" spans="9:10">
      <c r="I765" s="162"/>
      <c r="J765" s="162"/>
    </row>
    <row r="766" spans="9:10">
      <c r="I766" s="162"/>
      <c r="J766" s="162"/>
    </row>
    <row r="767" spans="9:10">
      <c r="I767" s="162"/>
      <c r="J767" s="162"/>
    </row>
    <row r="768" spans="9:10">
      <c r="I768" s="162"/>
      <c r="J768" s="162"/>
    </row>
    <row r="769" spans="9:10">
      <c r="I769" s="162"/>
      <c r="J769" s="162"/>
    </row>
    <row r="770" spans="9:10">
      <c r="I770" s="162"/>
      <c r="J770" s="162"/>
    </row>
    <row r="771" spans="9:10">
      <c r="I771" s="162"/>
      <c r="J771" s="162"/>
    </row>
    <row r="772" spans="9:10">
      <c r="I772" s="162"/>
      <c r="J772" s="162"/>
    </row>
    <row r="773" spans="9:10">
      <c r="I773" s="162"/>
      <c r="J773" s="162"/>
    </row>
    <row r="774" spans="9:10">
      <c r="I774" s="162"/>
      <c r="J774" s="162"/>
    </row>
    <row r="775" spans="9:10">
      <c r="I775" s="162"/>
      <c r="J775" s="162"/>
    </row>
    <row r="776" spans="9:10">
      <c r="I776" s="162"/>
      <c r="J776" s="162"/>
    </row>
    <row r="777" spans="9:10">
      <c r="I777" s="162"/>
      <c r="J777" s="162"/>
    </row>
    <row r="778" spans="9:10">
      <c r="I778" s="162"/>
      <c r="J778" s="162"/>
    </row>
    <row r="779" spans="9:10">
      <c r="I779" s="162"/>
      <c r="J779" s="162"/>
    </row>
    <row r="780" spans="9:10">
      <c r="I780" s="162"/>
      <c r="J780" s="162"/>
    </row>
    <row r="781" spans="9:10">
      <c r="I781" s="162"/>
      <c r="J781" s="162"/>
    </row>
    <row r="782" spans="9:10">
      <c r="I782" s="162"/>
      <c r="J782" s="162"/>
    </row>
    <row r="783" spans="9:10">
      <c r="I783" s="162"/>
      <c r="J783" s="162"/>
    </row>
    <row r="784" spans="9:10">
      <c r="I784" s="162"/>
      <c r="J784" s="162"/>
    </row>
    <row r="785" spans="9:10">
      <c r="I785" s="162"/>
      <c r="J785" s="162"/>
    </row>
    <row r="786" spans="9:10">
      <c r="I786" s="162"/>
      <c r="J786" s="162"/>
    </row>
    <row r="787" spans="9:10">
      <c r="I787" s="162"/>
      <c r="J787" s="162"/>
    </row>
    <row r="788" spans="9:10">
      <c r="I788" s="162"/>
      <c r="J788" s="162"/>
    </row>
    <row r="789" spans="9:10">
      <c r="I789" s="162"/>
      <c r="J789" s="162"/>
    </row>
    <row r="790" spans="9:10">
      <c r="I790" s="162"/>
      <c r="J790" s="162"/>
    </row>
    <row r="791" spans="9:10">
      <c r="I791" s="162"/>
      <c r="J791" s="162"/>
    </row>
    <row r="792" spans="9:10">
      <c r="I792" s="162"/>
      <c r="J792" s="162"/>
    </row>
    <row r="793" spans="9:10">
      <c r="I793" s="162"/>
      <c r="J793" s="162"/>
    </row>
    <row r="794" spans="9:10">
      <c r="I794" s="162"/>
      <c r="J794" s="162"/>
    </row>
    <row r="795" spans="9:10">
      <c r="I795" s="162"/>
      <c r="J795" s="162"/>
    </row>
    <row r="796" spans="9:10">
      <c r="I796" s="162"/>
      <c r="J796" s="162"/>
    </row>
    <row r="797" spans="9:10">
      <c r="I797" s="162"/>
      <c r="J797" s="162"/>
    </row>
    <row r="798" spans="9:10">
      <c r="I798" s="162"/>
      <c r="J798" s="162"/>
    </row>
    <row r="799" spans="9:10">
      <c r="I799" s="162"/>
      <c r="J799" s="162"/>
    </row>
    <row r="800" spans="9:10">
      <c r="I800" s="162"/>
      <c r="J800" s="162"/>
    </row>
    <row r="801" spans="9:10">
      <c r="I801" s="162"/>
      <c r="J801" s="162"/>
    </row>
    <row r="802" spans="9:10">
      <c r="I802" s="162"/>
      <c r="J802" s="162"/>
    </row>
    <row r="803" spans="9:10">
      <c r="I803" s="162"/>
      <c r="J803" s="162"/>
    </row>
    <row r="804" spans="9:10">
      <c r="I804" s="162"/>
      <c r="J804" s="162"/>
    </row>
    <row r="805" spans="9:10">
      <c r="I805" s="162"/>
      <c r="J805" s="162"/>
    </row>
    <row r="806" spans="9:10">
      <c r="I806" s="162"/>
      <c r="J806" s="162"/>
    </row>
    <row r="807" spans="9:10">
      <c r="I807" s="162"/>
      <c r="J807" s="162"/>
    </row>
    <row r="808" spans="9:10">
      <c r="I808" s="162"/>
      <c r="J808" s="162"/>
    </row>
    <row r="809" spans="9:10">
      <c r="I809" s="162"/>
      <c r="J809" s="162"/>
    </row>
    <row r="810" spans="9:10">
      <c r="I810" s="162"/>
      <c r="J810" s="162"/>
    </row>
    <row r="811" spans="9:10">
      <c r="I811" s="162"/>
      <c r="J811" s="162"/>
    </row>
    <row r="812" spans="9:10">
      <c r="I812" s="162"/>
      <c r="J812" s="162"/>
    </row>
    <row r="813" spans="9:10">
      <c r="I813" s="162"/>
      <c r="J813" s="162"/>
    </row>
    <row r="814" spans="9:10">
      <c r="I814" s="162"/>
      <c r="J814" s="162"/>
    </row>
    <row r="815" spans="9:10">
      <c r="I815" s="162"/>
      <c r="J815" s="162"/>
    </row>
    <row r="816" spans="9:10">
      <c r="I816" s="162"/>
      <c r="J816" s="162"/>
    </row>
    <row r="817" spans="9:10">
      <c r="I817" s="162"/>
      <c r="J817" s="162"/>
    </row>
    <row r="818" spans="9:10">
      <c r="I818" s="162"/>
      <c r="J818" s="162"/>
    </row>
    <row r="819" spans="9:10">
      <c r="I819" s="162"/>
      <c r="J819" s="162"/>
    </row>
    <row r="820" spans="9:10">
      <c r="I820" s="162"/>
      <c r="J820" s="162"/>
    </row>
    <row r="821" spans="9:10">
      <c r="I821" s="162"/>
      <c r="J821" s="162"/>
    </row>
    <row r="822" spans="9:10">
      <c r="I822" s="162"/>
      <c r="J822" s="162"/>
    </row>
    <row r="823" spans="9:10">
      <c r="I823" s="162"/>
      <c r="J823" s="162"/>
    </row>
    <row r="824" spans="9:10">
      <c r="I824" s="162"/>
      <c r="J824" s="162"/>
    </row>
    <row r="825" spans="9:10">
      <c r="I825" s="162"/>
      <c r="J825" s="162"/>
    </row>
    <row r="826" spans="9:10">
      <c r="I826" s="162"/>
      <c r="J826" s="162"/>
    </row>
    <row r="827" spans="9:10">
      <c r="I827" s="162"/>
      <c r="J827" s="162"/>
    </row>
    <row r="828" spans="9:10">
      <c r="I828" s="162"/>
      <c r="J828" s="162"/>
    </row>
    <row r="829" spans="9:10">
      <c r="I829" s="162"/>
      <c r="J829" s="162"/>
    </row>
    <row r="830" spans="9:10">
      <c r="I830" s="162"/>
      <c r="J830" s="162"/>
    </row>
    <row r="831" spans="9:10">
      <c r="I831" s="162"/>
      <c r="J831" s="162"/>
    </row>
    <row r="832" spans="9:10">
      <c r="I832" s="162"/>
      <c r="J832" s="162"/>
    </row>
    <row r="833" spans="9:10">
      <c r="I833" s="162"/>
      <c r="J833" s="162"/>
    </row>
    <row r="834" spans="9:10">
      <c r="I834" s="162"/>
      <c r="J834" s="162"/>
    </row>
    <row r="835" spans="9:10">
      <c r="I835" s="162"/>
      <c r="J835" s="162"/>
    </row>
    <row r="836" spans="9:10">
      <c r="I836" s="162"/>
      <c r="J836" s="162"/>
    </row>
    <row r="837" spans="9:10">
      <c r="I837" s="162"/>
      <c r="J837" s="162"/>
    </row>
    <row r="838" spans="9:10">
      <c r="I838" s="162"/>
      <c r="J838" s="162"/>
    </row>
    <row r="839" spans="9:10">
      <c r="I839" s="162"/>
      <c r="J839" s="162"/>
    </row>
    <row r="840" spans="9:10">
      <c r="I840" s="162"/>
      <c r="J840" s="162"/>
    </row>
    <row r="841" spans="9:10">
      <c r="I841" s="162"/>
      <c r="J841" s="162"/>
    </row>
    <row r="842" spans="9:10">
      <c r="I842" s="162"/>
      <c r="J842" s="162"/>
    </row>
    <row r="843" spans="9:10">
      <c r="I843" s="162"/>
      <c r="J843" s="162"/>
    </row>
    <row r="844" spans="9:10">
      <c r="I844" s="162"/>
      <c r="J844" s="162"/>
    </row>
    <row r="845" spans="9:10">
      <c r="I845" s="162"/>
      <c r="J845" s="162"/>
    </row>
    <row r="846" spans="9:10">
      <c r="I846" s="162"/>
      <c r="J846" s="162"/>
    </row>
    <row r="847" spans="9:10">
      <c r="I847" s="162"/>
      <c r="J847" s="162"/>
    </row>
    <row r="848" spans="9:10">
      <c r="I848" s="162"/>
      <c r="J848" s="162"/>
    </row>
    <row r="849" spans="9:10">
      <c r="I849" s="162"/>
      <c r="J849" s="162"/>
    </row>
    <row r="850" spans="9:10">
      <c r="I850" s="162"/>
      <c r="J850" s="162"/>
    </row>
    <row r="851" spans="9:10">
      <c r="I851" s="162"/>
      <c r="J851" s="162"/>
    </row>
    <row r="852" spans="9:10">
      <c r="I852" s="162"/>
      <c r="J852" s="162"/>
    </row>
    <row r="853" spans="9:10">
      <c r="I853" s="162"/>
      <c r="J853" s="162"/>
    </row>
    <row r="854" spans="9:10">
      <c r="I854" s="162"/>
      <c r="J854" s="162"/>
    </row>
    <row r="855" spans="9:10">
      <c r="I855" s="162"/>
      <c r="J855" s="162"/>
    </row>
    <row r="856" spans="9:10">
      <c r="I856" s="162"/>
      <c r="J856" s="162"/>
    </row>
    <row r="857" spans="9:10">
      <c r="I857" s="162"/>
      <c r="J857" s="162"/>
    </row>
    <row r="858" spans="9:10">
      <c r="I858" s="162"/>
      <c r="J858" s="162"/>
    </row>
    <row r="859" spans="9:10">
      <c r="I859" s="162"/>
      <c r="J859" s="162"/>
    </row>
    <row r="860" spans="9:10">
      <c r="I860" s="162"/>
      <c r="J860" s="162"/>
    </row>
    <row r="861" spans="9:10">
      <c r="I861" s="162"/>
      <c r="J861" s="162"/>
    </row>
    <row r="862" spans="9:10">
      <c r="I862" s="162"/>
      <c r="J862" s="162"/>
    </row>
    <row r="863" spans="9:10">
      <c r="I863" s="162"/>
      <c r="J863" s="162"/>
    </row>
    <row r="864" spans="9:10">
      <c r="I864" s="162"/>
      <c r="J864" s="162"/>
    </row>
    <row r="865" spans="9:10">
      <c r="I865" s="162"/>
      <c r="J865" s="162"/>
    </row>
    <row r="866" spans="9:10">
      <c r="I866" s="162"/>
      <c r="J866" s="162"/>
    </row>
    <row r="867" spans="9:10">
      <c r="I867" s="162"/>
      <c r="J867" s="162"/>
    </row>
    <row r="868" spans="9:10">
      <c r="I868" s="162"/>
      <c r="J868" s="162"/>
    </row>
    <row r="869" spans="9:10">
      <c r="I869" s="162"/>
      <c r="J869" s="162"/>
    </row>
    <row r="870" spans="9:10">
      <c r="I870" s="162"/>
      <c r="J870" s="162"/>
    </row>
    <row r="871" spans="9:10">
      <c r="I871" s="162"/>
      <c r="J871" s="162"/>
    </row>
    <row r="872" spans="9:10">
      <c r="I872" s="162"/>
      <c r="J872" s="162"/>
    </row>
    <row r="873" spans="9:10">
      <c r="I873" s="162"/>
      <c r="J873" s="162"/>
    </row>
    <row r="874" spans="9:10">
      <c r="I874" s="162"/>
      <c r="J874" s="162"/>
    </row>
    <row r="875" spans="9:10">
      <c r="I875" s="162"/>
      <c r="J875" s="162"/>
    </row>
    <row r="876" spans="9:10">
      <c r="I876" s="162"/>
      <c r="J876" s="162"/>
    </row>
    <row r="877" spans="9:10">
      <c r="I877" s="162"/>
      <c r="J877" s="162"/>
    </row>
    <row r="878" spans="9:10">
      <c r="I878" s="162"/>
      <c r="J878" s="162"/>
    </row>
    <row r="879" spans="9:10">
      <c r="I879" s="162"/>
      <c r="J879" s="162"/>
    </row>
    <row r="880" spans="9:10">
      <c r="I880" s="162"/>
      <c r="J880" s="162"/>
    </row>
    <row r="881" spans="9:10">
      <c r="I881" s="162"/>
      <c r="J881" s="162"/>
    </row>
    <row r="882" spans="9:10">
      <c r="I882" s="162"/>
      <c r="J882" s="162"/>
    </row>
    <row r="883" spans="9:10">
      <c r="I883" s="162"/>
      <c r="J883" s="162"/>
    </row>
    <row r="884" spans="9:10">
      <c r="I884" s="162"/>
      <c r="J884" s="162"/>
    </row>
    <row r="885" spans="9:10">
      <c r="I885" s="162"/>
      <c r="J885" s="162"/>
    </row>
    <row r="886" spans="9:10">
      <c r="I886" s="162"/>
      <c r="J886" s="162"/>
    </row>
    <row r="887" spans="9:10">
      <c r="I887" s="162"/>
      <c r="J887" s="162"/>
    </row>
    <row r="888" spans="9:10">
      <c r="I888" s="162"/>
      <c r="J888" s="162"/>
    </row>
    <row r="889" spans="9:10">
      <c r="I889" s="162"/>
      <c r="J889" s="162"/>
    </row>
    <row r="890" spans="9:10">
      <c r="I890" s="162"/>
      <c r="J890" s="162"/>
    </row>
    <row r="891" spans="9:10">
      <c r="I891" s="162"/>
      <c r="J891" s="162"/>
    </row>
    <row r="892" spans="9:10">
      <c r="I892" s="162"/>
      <c r="J892" s="162"/>
    </row>
    <row r="893" spans="9:10">
      <c r="I893" s="162"/>
      <c r="J893" s="162"/>
    </row>
    <row r="894" spans="9:10">
      <c r="I894" s="162"/>
      <c r="J894" s="162"/>
    </row>
    <row r="895" spans="9:10">
      <c r="I895" s="162"/>
      <c r="J895" s="162"/>
    </row>
    <row r="896" spans="9:10">
      <c r="I896" s="162"/>
      <c r="J896" s="162"/>
    </row>
    <row r="897" spans="9:10">
      <c r="I897" s="162"/>
      <c r="J897" s="162"/>
    </row>
    <row r="898" spans="9:10">
      <c r="I898" s="162"/>
      <c r="J898" s="162"/>
    </row>
    <row r="899" spans="9:10">
      <c r="I899" s="162"/>
      <c r="J899" s="162"/>
    </row>
    <row r="900" spans="9:10">
      <c r="I900" s="162"/>
      <c r="J900" s="162"/>
    </row>
    <row r="901" spans="9:10">
      <c r="I901" s="162"/>
      <c r="J901" s="162"/>
    </row>
    <row r="902" spans="9:10">
      <c r="I902" s="162"/>
      <c r="J902" s="162"/>
    </row>
    <row r="903" spans="9:10">
      <c r="I903" s="162"/>
      <c r="J903" s="162"/>
    </row>
    <row r="904" spans="9:10">
      <c r="I904" s="162"/>
      <c r="J904" s="162"/>
    </row>
    <row r="905" spans="9:10">
      <c r="I905" s="162"/>
      <c r="J905" s="162"/>
    </row>
    <row r="906" spans="9:10">
      <c r="I906" s="162"/>
      <c r="J906" s="162"/>
    </row>
    <row r="907" spans="9:10">
      <c r="I907" s="162"/>
      <c r="J907" s="162"/>
    </row>
    <row r="908" spans="9:10">
      <c r="I908" s="162"/>
      <c r="J908" s="162"/>
    </row>
    <row r="909" spans="9:10">
      <c r="I909" s="162"/>
      <c r="J909" s="162"/>
    </row>
    <row r="910" spans="9:10">
      <c r="I910" s="162"/>
      <c r="J910" s="162"/>
    </row>
    <row r="911" spans="9:10">
      <c r="I911" s="162"/>
      <c r="J911" s="162"/>
    </row>
    <row r="912" spans="9:10">
      <c r="I912" s="162"/>
      <c r="J912" s="162"/>
    </row>
    <row r="913" spans="9:10">
      <c r="I913" s="162"/>
      <c r="J913" s="162"/>
    </row>
    <row r="914" spans="9:10">
      <c r="I914" s="162"/>
      <c r="J914" s="162"/>
    </row>
    <row r="915" spans="9:10">
      <c r="I915" s="162"/>
      <c r="J915" s="162"/>
    </row>
    <row r="916" spans="9:10">
      <c r="I916" s="162"/>
      <c r="J916" s="162"/>
    </row>
    <row r="917" spans="9:10">
      <c r="I917" s="162"/>
      <c r="J917" s="162"/>
    </row>
    <row r="918" spans="9:10">
      <c r="I918" s="162"/>
      <c r="J918" s="162"/>
    </row>
    <row r="919" spans="9:10">
      <c r="I919" s="162"/>
      <c r="J919" s="162"/>
    </row>
    <row r="920" spans="9:10">
      <c r="I920" s="162"/>
      <c r="J920" s="162"/>
    </row>
    <row r="921" spans="9:10">
      <c r="I921" s="162"/>
      <c r="J921" s="162"/>
    </row>
    <row r="922" spans="9:10">
      <c r="I922" s="162"/>
      <c r="J922" s="162"/>
    </row>
    <row r="923" spans="9:10">
      <c r="I923" s="162"/>
      <c r="J923" s="162"/>
    </row>
    <row r="924" spans="9:10">
      <c r="I924" s="162"/>
      <c r="J924" s="162"/>
    </row>
    <row r="925" spans="9:10">
      <c r="I925" s="162"/>
      <c r="J925" s="162"/>
    </row>
    <row r="926" spans="9:10">
      <c r="I926" s="162"/>
      <c r="J926" s="162"/>
    </row>
    <row r="927" spans="9:10">
      <c r="I927" s="162"/>
      <c r="J927" s="162"/>
    </row>
    <row r="928" spans="9:10">
      <c r="I928" s="162"/>
      <c r="J928" s="162"/>
    </row>
    <row r="929" spans="9:10">
      <c r="I929" s="162"/>
      <c r="J929" s="162"/>
    </row>
    <row r="930" spans="9:10">
      <c r="I930" s="162"/>
      <c r="J930" s="162"/>
    </row>
    <row r="931" spans="9:10">
      <c r="I931" s="162"/>
      <c r="J931" s="162"/>
    </row>
    <row r="932" spans="9:10">
      <c r="I932" s="162"/>
      <c r="J932" s="162"/>
    </row>
    <row r="933" spans="9:10">
      <c r="I933" s="162"/>
      <c r="J933" s="162"/>
    </row>
    <row r="934" spans="9:10">
      <c r="I934" s="162"/>
      <c r="J934" s="162"/>
    </row>
    <row r="935" spans="9:10">
      <c r="I935" s="162"/>
      <c r="J935" s="162"/>
    </row>
    <row r="936" spans="9:10">
      <c r="I936" s="162"/>
      <c r="J936" s="162"/>
    </row>
    <row r="937" spans="9:10">
      <c r="I937" s="162"/>
      <c r="J937" s="162"/>
    </row>
    <row r="938" spans="9:10">
      <c r="I938" s="162"/>
      <c r="J938" s="162"/>
    </row>
    <row r="939" spans="9:10">
      <c r="I939" s="162"/>
      <c r="J939" s="162"/>
    </row>
    <row r="940" spans="9:10">
      <c r="I940" s="162"/>
      <c r="J940" s="162"/>
    </row>
    <row r="941" spans="9:10">
      <c r="I941" s="162"/>
      <c r="J941" s="162"/>
    </row>
    <row r="942" spans="9:10">
      <c r="I942" s="162"/>
      <c r="J942" s="162"/>
    </row>
    <row r="943" spans="9:10">
      <c r="I943" s="162"/>
      <c r="J943" s="162"/>
    </row>
    <row r="944" spans="9:10">
      <c r="I944" s="162"/>
      <c r="J944" s="162"/>
    </row>
    <row r="945" spans="9:10">
      <c r="I945" s="162"/>
      <c r="J945" s="162"/>
    </row>
    <row r="946" spans="9:10">
      <c r="I946" s="162"/>
      <c r="J946" s="162"/>
    </row>
    <row r="947" spans="9:10">
      <c r="I947" s="162"/>
      <c r="J947" s="162"/>
    </row>
    <row r="948" spans="9:10">
      <c r="I948" s="162"/>
      <c r="J948" s="162"/>
    </row>
    <row r="949" spans="9:10">
      <c r="I949" s="162"/>
      <c r="J949" s="162"/>
    </row>
    <row r="950" spans="9:10">
      <c r="I950" s="162"/>
      <c r="J950" s="162"/>
    </row>
    <row r="951" spans="9:10">
      <c r="I951" s="162"/>
      <c r="J951" s="162"/>
    </row>
    <row r="952" spans="9:10">
      <c r="I952" s="162"/>
      <c r="J952" s="162"/>
    </row>
    <row r="953" spans="9:10">
      <c r="I953" s="162"/>
      <c r="J953" s="162"/>
    </row>
    <row r="954" spans="9:10">
      <c r="I954" s="162"/>
      <c r="J954" s="162"/>
    </row>
    <row r="955" spans="9:10">
      <c r="I955" s="162"/>
      <c r="J955" s="162"/>
    </row>
    <row r="956" spans="9:10">
      <c r="I956" s="162"/>
      <c r="J956" s="162"/>
    </row>
    <row r="957" spans="9:10">
      <c r="I957" s="162"/>
      <c r="J957" s="162"/>
    </row>
    <row r="958" spans="9:10">
      <c r="I958" s="162"/>
      <c r="J958" s="162"/>
    </row>
    <row r="959" spans="9:10">
      <c r="I959" s="162"/>
      <c r="J959" s="162"/>
    </row>
    <row r="960" spans="9:10">
      <c r="I960" s="162"/>
      <c r="J960" s="162"/>
    </row>
    <row r="961" spans="9:10">
      <c r="I961" s="162"/>
      <c r="J961" s="162"/>
    </row>
    <row r="962" spans="9:10">
      <c r="I962" s="162"/>
      <c r="J962" s="162"/>
    </row>
    <row r="963" spans="9:10">
      <c r="I963" s="162"/>
      <c r="J963" s="162"/>
    </row>
    <row r="964" spans="9:10">
      <c r="I964" s="162"/>
      <c r="J964" s="162"/>
    </row>
    <row r="965" spans="9:10">
      <c r="I965" s="162"/>
      <c r="J965" s="162"/>
    </row>
    <row r="966" spans="9:10">
      <c r="I966" s="162"/>
      <c r="J966" s="162"/>
    </row>
    <row r="967" spans="9:10">
      <c r="I967" s="162"/>
      <c r="J967" s="162"/>
    </row>
    <row r="968" spans="9:10">
      <c r="I968" s="162"/>
      <c r="J968" s="162"/>
    </row>
    <row r="969" spans="9:10">
      <c r="I969" s="162"/>
      <c r="J969" s="162"/>
    </row>
    <row r="970" spans="9:10">
      <c r="I970" s="162"/>
      <c r="J970" s="162"/>
    </row>
    <row r="971" spans="9:10">
      <c r="I971" s="162"/>
      <c r="J971" s="162"/>
    </row>
    <row r="972" spans="9:10">
      <c r="I972" s="162"/>
      <c r="J972" s="162"/>
    </row>
    <row r="973" spans="9:10">
      <c r="I973" s="162"/>
      <c r="J973" s="162"/>
    </row>
    <row r="974" spans="9:10">
      <c r="I974" s="162"/>
      <c r="J974" s="162"/>
    </row>
    <row r="975" spans="9:10">
      <c r="I975" s="162"/>
      <c r="J975" s="162"/>
    </row>
    <row r="976" spans="9:10">
      <c r="I976" s="162"/>
      <c r="J976" s="162"/>
    </row>
    <row r="977" spans="9:10">
      <c r="I977" s="162"/>
      <c r="J977" s="162"/>
    </row>
    <row r="978" spans="9:10">
      <c r="I978" s="162"/>
      <c r="J978" s="162"/>
    </row>
    <row r="979" spans="9:10">
      <c r="I979" s="162"/>
      <c r="J979" s="162"/>
    </row>
    <row r="980" spans="9:10">
      <c r="I980" s="162"/>
      <c r="J980" s="162"/>
    </row>
    <row r="981" spans="9:10">
      <c r="I981" s="162"/>
      <c r="J981" s="162"/>
    </row>
    <row r="982" spans="9:10">
      <c r="I982" s="162"/>
      <c r="J982" s="162"/>
    </row>
    <row r="983" spans="9:10">
      <c r="I983" s="162"/>
      <c r="J983" s="162"/>
    </row>
    <row r="984" spans="9:10">
      <c r="I984" s="162"/>
      <c r="J984" s="162"/>
    </row>
    <row r="985" spans="9:10">
      <c r="I985" s="162"/>
      <c r="J985" s="162"/>
    </row>
    <row r="986" spans="9:10">
      <c r="I986" s="162"/>
      <c r="J986" s="162"/>
    </row>
    <row r="987" spans="9:10">
      <c r="I987" s="162"/>
      <c r="J987" s="162"/>
    </row>
    <row r="988" spans="9:10">
      <c r="I988" s="162"/>
      <c r="J988" s="162"/>
    </row>
    <row r="989" spans="9:10">
      <c r="I989" s="162"/>
      <c r="J989" s="162"/>
    </row>
    <row r="990" spans="9:10">
      <c r="I990" s="162"/>
      <c r="J990" s="162"/>
    </row>
    <row r="991" spans="9:10">
      <c r="I991" s="162"/>
      <c r="J991" s="162"/>
    </row>
    <row r="992" spans="9:10">
      <c r="I992" s="162"/>
      <c r="J992" s="162"/>
    </row>
    <row r="993" spans="9:10">
      <c r="I993" s="162"/>
      <c r="J993" s="162"/>
    </row>
    <row r="994" spans="9:10">
      <c r="I994" s="162"/>
      <c r="J994" s="162"/>
    </row>
    <row r="995" spans="9:10">
      <c r="I995" s="162"/>
      <c r="J995" s="162"/>
    </row>
    <row r="996" spans="9:10">
      <c r="I996" s="162"/>
      <c r="J996" s="162"/>
    </row>
    <row r="997" spans="9:10">
      <c r="I997" s="162"/>
      <c r="J997" s="162"/>
    </row>
    <row r="998" spans="9:10">
      <c r="I998" s="162"/>
      <c r="J998" s="162"/>
    </row>
    <row r="999" spans="9:10">
      <c r="I999" s="162"/>
      <c r="J999" s="162"/>
    </row>
    <row r="1000" spans="9:10">
      <c r="I1000" s="162"/>
      <c r="J1000" s="162"/>
    </row>
  </sheetData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PDM</vt:lpstr>
      <vt:lpstr>Hoja 1</vt:lpstr>
      <vt:lpstr>CONSOLIDADO PROGRAMAS</vt:lpstr>
      <vt:lpstr>Nombre Eje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Felipe Toro Gonzalez</cp:lastModifiedBy>
  <dcterms:modified xsi:type="dcterms:W3CDTF">2025-11-27T22:02:55Z</dcterms:modified>
</cp:coreProperties>
</file>